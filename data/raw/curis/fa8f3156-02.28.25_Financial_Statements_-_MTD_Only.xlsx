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Curis\"/>
    </mc:Choice>
  </mc:AlternateContent>
  <xr:revisionPtr revIDLastSave="0" documentId="13_ncr:1_{3988576E-189C-40B7-8AB6-D751EF6475D9}" xr6:coauthVersionLast="47" xr6:coauthVersionMax="47" xr10:uidLastSave="{00000000-0000-0000-0000-000000000000}"/>
  <bookViews>
    <workbookView xWindow="38280" yWindow="-120" windowWidth="38640" windowHeight="21240" activeTab="1" xr2:uid="{00000000-000D-0000-FFFF-FFFF00000000}"/>
  </bookViews>
  <sheets>
    <sheet name="Balance Sheet" sheetId="10" r:id="rId1"/>
    <sheet name="AC - Statement of Operations" sheetId="1" r:id="rId2"/>
    <sheet name="Operating Expenses by Departmen" sheetId="2" r:id="rId3"/>
    <sheet name="G&amp;A Expenses by Department" sheetId="3" r:id="rId4"/>
    <sheet name="Monthly Census by Payor" sheetId="4" r:id="rId5"/>
    <sheet name="Schedule of Resident Income" sheetId="5" r:id="rId6"/>
    <sheet name="Ancillary Expenses by Payor Sum" sheetId="6" r:id="rId7"/>
    <sheet name="Ancillary Expenses by Payor Det" sheetId="7" r:id="rId8"/>
    <sheet name="Payroll and Related Costs" sheetId="8" r:id="rId9"/>
    <sheet name="Salaries by Position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B58" i="1"/>
  <c r="B57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B52" i="1"/>
</calcChain>
</file>

<file path=xl/sharedStrings.xml><?xml version="1.0" encoding="utf-8"?>
<sst xmlns="http://schemas.openxmlformats.org/spreadsheetml/2006/main" count="3167" uniqueCount="402">
  <si>
    <t>Petersen Group</t>
  </si>
  <si>
    <t>AC - Statement of Operations</t>
  </si>
  <si>
    <t>As of February 28, 2025</t>
  </si>
  <si>
    <t>As of Date:</t>
  </si>
  <si>
    <t>02/28/2025</t>
  </si>
  <si>
    <t>Facility Group:</t>
  </si>
  <si>
    <t xml:space="preserve"> </t>
  </si>
  <si>
    <t>Axiom Gardens Flora</t>
  </si>
  <si>
    <t>Axiom Flora</t>
  </si>
  <si>
    <t>Axiom Gardens Mount Vernon</t>
  </si>
  <si>
    <t>Axiom West Frankfort</t>
  </si>
  <si>
    <t>Axiom Mount Vernon</t>
  </si>
  <si>
    <t>Axiom Rosiclare</t>
  </si>
  <si>
    <t>Axiom Harrisburg</t>
  </si>
  <si>
    <t>Arcadia Aledo</t>
  </si>
  <si>
    <t>Avenues at Quad Cities</t>
  </si>
  <si>
    <t>Arcadia Havana</t>
  </si>
  <si>
    <t>Arcadia Kewanee</t>
  </si>
  <si>
    <t>Avenues at Royal Oaks</t>
  </si>
  <si>
    <t>Arcadia Toulon</t>
  </si>
  <si>
    <t>Arcadia Watseka</t>
  </si>
  <si>
    <t>Goldwater Peoria Heights</t>
  </si>
  <si>
    <t>Goldwater Roseville</t>
  </si>
  <si>
    <t>Gardens Kewanee</t>
  </si>
  <si>
    <t>Villas Bushnell</t>
  </si>
  <si>
    <t>Villas at Galva</t>
  </si>
  <si>
    <t>Villas Herscher</t>
  </si>
  <si>
    <t>Villas Kewanee</t>
  </si>
  <si>
    <t>Villas at Havana</t>
  </si>
  <si>
    <t>Month Ending</t>
  </si>
  <si>
    <t>Actual</t>
  </si>
  <si>
    <t xml:space="preserve">  Net Resident Income</t>
  </si>
  <si>
    <t xml:space="preserve">  </t>
  </si>
  <si>
    <t xml:space="preserve">    Gross Resident Income</t>
  </si>
  <si>
    <t xml:space="preserve">    Nursing Home Fee</t>
  </si>
  <si>
    <t xml:space="preserve">    Ancillary Expenses</t>
  </si>
  <si>
    <t xml:space="preserve">  Total Net Resident Income</t>
  </si>
  <si>
    <t xml:space="preserve">  Operating Expenses</t>
  </si>
  <si>
    <t xml:space="preserve">    Nursing Expenses</t>
  </si>
  <si>
    <t xml:space="preserve">    Housekeeping Expenses</t>
  </si>
  <si>
    <t xml:space="preserve">    Plant Expenses</t>
  </si>
  <si>
    <t xml:space="preserve">    Dietary Expenses</t>
  </si>
  <si>
    <t xml:space="preserve">    Employee Welfare Expenses</t>
  </si>
  <si>
    <t xml:space="preserve">    Laundry and Linen Expenses</t>
  </si>
  <si>
    <t xml:space="preserve">  Total Operating Expenses</t>
  </si>
  <si>
    <t xml:space="preserve">  Income Before General and Administrative Expenses</t>
  </si>
  <si>
    <t xml:space="preserve">  General and Administrative Expenses</t>
  </si>
  <si>
    <t xml:space="preserve">  Total Income Before Capital Expenses</t>
  </si>
  <si>
    <t xml:space="preserve">  Rent</t>
  </si>
  <si>
    <t xml:space="preserve">  Real Estate Tax - CY</t>
  </si>
  <si>
    <t xml:space="preserve">  Interest</t>
  </si>
  <si>
    <t xml:space="preserve">  Interest - Other</t>
  </si>
  <si>
    <t xml:space="preserve">  Depreciation</t>
  </si>
  <si>
    <t xml:space="preserve">  Amortization</t>
  </si>
  <si>
    <t xml:space="preserve">  Total Capital Expenses</t>
  </si>
  <si>
    <t xml:space="preserve">  Total Income Before Management Fees</t>
  </si>
  <si>
    <t xml:space="preserve">  Management Fees</t>
  </si>
  <si>
    <t xml:space="preserve">  Total Income Before Other Income</t>
  </si>
  <si>
    <t xml:space="preserve">  Other Income / Expenses</t>
  </si>
  <si>
    <t xml:space="preserve">    Flu Vaccinations</t>
  </si>
  <si>
    <t xml:space="preserve">    Interest Income</t>
  </si>
  <si>
    <t xml:space="preserve">    Early Payment Discounts</t>
  </si>
  <si>
    <t xml:space="preserve">    Other Unclassified Income</t>
  </si>
  <si>
    <t xml:space="preserve">    Visitor / Employee Meals</t>
  </si>
  <si>
    <t xml:space="preserve">    Meals - Residents</t>
  </si>
  <si>
    <t xml:space="preserve">    ALF Application Fee Income</t>
  </si>
  <si>
    <t xml:space="preserve">    Day Care Income</t>
  </si>
  <si>
    <t xml:space="preserve">    QIP Revenue (Illinois)</t>
  </si>
  <si>
    <t xml:space="preserve">    C.N.A. Incentive Payments</t>
  </si>
  <si>
    <t xml:space="preserve">  Total Other Income / Expenses</t>
  </si>
  <si>
    <t xml:space="preserve">  Total Income Before Taxes</t>
  </si>
  <si>
    <t xml:space="preserve">  Net Income</t>
  </si>
  <si>
    <t>Operating Expenses by Department</t>
  </si>
  <si>
    <t xml:space="preserve">    </t>
  </si>
  <si>
    <t xml:space="preserve">      504000 - Salaries - Regular</t>
  </si>
  <si>
    <t xml:space="preserve">      504010 - Salaries - Overtime</t>
  </si>
  <si>
    <t xml:space="preserve">      504020 - Salaries - Sign on Bonus</t>
  </si>
  <si>
    <t xml:space="preserve">      504030 - Salaries - Other Bonus</t>
  </si>
  <si>
    <t xml:space="preserve">      504040 - Salaries - PTO</t>
  </si>
  <si>
    <t xml:space="preserve">      505000 - Medical and Nursing Supplies</t>
  </si>
  <si>
    <t xml:space="preserve">      505001 - Medical and Nursing Supplies-Covid</t>
  </si>
  <si>
    <t xml:space="preserve">      505015 - Durable Medical Equipment</t>
  </si>
  <si>
    <t xml:space="preserve">      505025 - Equipment Rental - Nursing</t>
  </si>
  <si>
    <t xml:space="preserve">      505075 - Activity Program Expense</t>
  </si>
  <si>
    <t xml:space="preserve">      505080 - Activities - Food</t>
  </si>
  <si>
    <t xml:space="preserve">      505150 - Incontinency Supplies</t>
  </si>
  <si>
    <t xml:space="preserve">      505225 - Oxygen</t>
  </si>
  <si>
    <t xml:space="preserve">      505250 - Patient Transportation</t>
  </si>
  <si>
    <t xml:space="preserve">      505325 - Respiratory Therapy</t>
  </si>
  <si>
    <t xml:space="preserve">      505350 - Temporary Nursing Agencies</t>
  </si>
  <si>
    <t xml:space="preserve">      505375 - Uniforms</t>
  </si>
  <si>
    <t xml:space="preserve">      505500 - Consultants - Medical Director</t>
  </si>
  <si>
    <t xml:space="preserve">      505575 - Consultants - Pharmacy</t>
  </si>
  <si>
    <t xml:space="preserve">      505625 - Consultants - RN</t>
  </si>
  <si>
    <t xml:space="preserve">      505645 - Consultants - MDS</t>
  </si>
  <si>
    <t xml:space="preserve">    Total Nursing Expenses</t>
  </si>
  <si>
    <t xml:space="preserve">      506200 - Housekeeping Supplies</t>
  </si>
  <si>
    <t xml:space="preserve">    Total Housekeeping Expenses</t>
  </si>
  <si>
    <t xml:space="preserve">      506260 - Landscaping</t>
  </si>
  <si>
    <t xml:space="preserve">      506275 - Painting</t>
  </si>
  <si>
    <t xml:space="preserve">      506300 - Repairs &amp; Maintenance- Equipment</t>
  </si>
  <si>
    <t xml:space="preserve">      506325 - Repairs &amp; Maintenance - Building</t>
  </si>
  <si>
    <t xml:space="preserve">      506350 - Repairs &amp; Maintenance- Elevator</t>
  </si>
  <si>
    <t xml:space="preserve">      506375 - Building Maintenance &amp; Supplies</t>
  </si>
  <si>
    <t xml:space="preserve">      506400 - Equipment Rental - Building</t>
  </si>
  <si>
    <t xml:space="preserve">      506425 - Snow Removal</t>
  </si>
  <si>
    <t xml:space="preserve">      506475 - Exterminating Services</t>
  </si>
  <si>
    <t xml:space="preserve">      506500 - Fire Service</t>
  </si>
  <si>
    <t xml:space="preserve">      506525 - Scavenger - Regular Waste</t>
  </si>
  <si>
    <t xml:space="preserve">      506550 - Scavenger - Medical Waste</t>
  </si>
  <si>
    <t xml:space="preserve">      506575 - Security Services</t>
  </si>
  <si>
    <t xml:space="preserve">      506600 - Electricity</t>
  </si>
  <si>
    <t xml:space="preserve">      506625 - Gas Heat</t>
  </si>
  <si>
    <t xml:space="preserve">      506650 - Water</t>
  </si>
  <si>
    <t xml:space="preserve">    Total Plant Expenses</t>
  </si>
  <si>
    <t xml:space="preserve">      507200 - Food</t>
  </si>
  <si>
    <t xml:space="preserve">      507225 - Nutritional &amp; Supplements</t>
  </si>
  <si>
    <t xml:space="preserve">      507250 - Tube Feeding Supplies</t>
  </si>
  <si>
    <t xml:space="preserve">      507275 - Dietary Supplies</t>
  </si>
  <si>
    <t xml:space="preserve">      507300 - Kitchen Supplies</t>
  </si>
  <si>
    <t xml:space="preserve">      507325 - Kitchen Chemicals</t>
  </si>
  <si>
    <t xml:space="preserve">      507350 - Repairs &amp; Maintenance - Dietary</t>
  </si>
  <si>
    <t xml:space="preserve">      507375 - Equipment Rental - Dietary</t>
  </si>
  <si>
    <t xml:space="preserve">      507425 - Consultant - Dietary</t>
  </si>
  <si>
    <t xml:space="preserve">    Total Dietary Expenses</t>
  </si>
  <si>
    <t xml:space="preserve">      504100 - Payroll Tax -FICA</t>
  </si>
  <si>
    <t xml:space="preserve">      504110 - Payroll Tax - SUTA</t>
  </si>
  <si>
    <t xml:space="preserve">      504120 - Payroll Tax - FUTA</t>
  </si>
  <si>
    <t xml:space="preserve">      504130 - Workmans Comp Insurance</t>
  </si>
  <si>
    <t xml:space="preserve">      504150 - Health Insurance - Non-Union</t>
  </si>
  <si>
    <t xml:space="preserve">      504180 - Life Insurance Expense</t>
  </si>
  <si>
    <t xml:space="preserve">      504190 - Employee Background/Fingerprint</t>
  </si>
  <si>
    <t xml:space="preserve">      504200 - Employee Physicals</t>
  </si>
  <si>
    <t xml:space="preserve">      504210 - Employee Want Ads</t>
  </si>
  <si>
    <t xml:space="preserve">      504220 - Employee Recruiting Expense</t>
  </si>
  <si>
    <t xml:space="preserve">      504230 - Employee Meals</t>
  </si>
  <si>
    <t xml:space="preserve">      504240 - Employee Benefits - Other</t>
  </si>
  <si>
    <t xml:space="preserve">    Total Employee Welfare Expenses</t>
  </si>
  <si>
    <t xml:space="preserve">      507525 - Laundry Supplies</t>
  </si>
  <si>
    <t xml:space="preserve">      507550 - Repair &amp; Maintenance - Laundry Equip</t>
  </si>
  <si>
    <t xml:space="preserve">      507600 - Linen Replacement</t>
  </si>
  <si>
    <t xml:space="preserve">    Total Laundry and Linen Expenses</t>
  </si>
  <si>
    <t>G&amp;A Expenses by Department</t>
  </si>
  <si>
    <t xml:space="preserve">    Marketing Expenses</t>
  </si>
  <si>
    <t xml:space="preserve">      508150 - Advertising/Marketing</t>
  </si>
  <si>
    <t xml:space="preserve">      508175 - Marketing - Food</t>
  </si>
  <si>
    <t xml:space="preserve">      508200 - Promotional Products</t>
  </si>
  <si>
    <t xml:space="preserve">    Total Marketing Expenses</t>
  </si>
  <si>
    <t xml:space="preserve">    G&amp;A Dept Expenses</t>
  </si>
  <si>
    <t xml:space="preserve">      508250 - Auto Repairs / Maintenance</t>
  </si>
  <si>
    <t xml:space="preserve">      508275 - Bank Charges</t>
  </si>
  <si>
    <t xml:space="preserve">      508300 - Credit Card Processing</t>
  </si>
  <si>
    <t xml:space="preserve">      508350 - Data Processing Fees</t>
  </si>
  <si>
    <t xml:space="preserve">      508425 - Cable TV - Service</t>
  </si>
  <si>
    <t xml:space="preserve">      508500 - Dues &amp; Subscriptions</t>
  </si>
  <si>
    <t xml:space="preserve">      508525 - Education &amp; Seminars</t>
  </si>
  <si>
    <t xml:space="preserve">      508575 - Entertainment - Non Patient Related</t>
  </si>
  <si>
    <t xml:space="preserve">      508625 - Fingerprint/Bckgrd - Resident</t>
  </si>
  <si>
    <t xml:space="preserve">      508650 - General Insurance</t>
  </si>
  <si>
    <t xml:space="preserve">      508700 - Bookeeping Fees</t>
  </si>
  <si>
    <t xml:space="preserve">      508725 - Internet Services</t>
  </si>
  <si>
    <t xml:space="preserve">      508800 - Licenses and permits</t>
  </si>
  <si>
    <t xml:space="preserve">      508850 - Office Expense</t>
  </si>
  <si>
    <t xml:space="preserve">      508875 - Office Equipment Rental</t>
  </si>
  <si>
    <t xml:space="preserve">      508900 - Office Equip Repairs &amp; Maint</t>
  </si>
  <si>
    <t xml:space="preserve">      508960 - Late Fees</t>
  </si>
  <si>
    <t xml:space="preserve">      509000 - Payroll Processing</t>
  </si>
  <si>
    <t xml:space="preserve">      509050 - Postage</t>
  </si>
  <si>
    <t xml:space="preserve">      509100 - Legal Fees</t>
  </si>
  <si>
    <t xml:space="preserve">      509150 - Telephone</t>
  </si>
  <si>
    <t xml:space="preserve">      509200 - Patient Related Expenses</t>
  </si>
  <si>
    <t xml:space="preserve">      509225 - Travel - Staff</t>
  </si>
  <si>
    <t xml:space="preserve">      509250 - Bad debts Write-Off</t>
  </si>
  <si>
    <t xml:space="preserve">      509375 - Facility Apartment Expenses</t>
  </si>
  <si>
    <t xml:space="preserve">      509850 - Sales / Use Tax</t>
  </si>
  <si>
    <t xml:space="preserve">    Other Professional</t>
  </si>
  <si>
    <t xml:space="preserve">  Total General and Administrative Expenses</t>
  </si>
  <si>
    <t>Curis Services</t>
  </si>
  <si>
    <t>Monthly Census by Payor</t>
  </si>
  <si>
    <t>Total Resident Days</t>
  </si>
  <si>
    <t>Current Avg Resident</t>
  </si>
  <si>
    <t xml:space="preserve">  Census</t>
  </si>
  <si>
    <t xml:space="preserve">    Private</t>
  </si>
  <si>
    <t xml:space="preserve">    Medicaid</t>
  </si>
  <si>
    <t xml:space="preserve">    Hospice Medicaid</t>
  </si>
  <si>
    <t xml:space="preserve">    Medicaid Pending</t>
  </si>
  <si>
    <t xml:space="preserve">    Medicare - Part A</t>
  </si>
  <si>
    <t xml:space="preserve">    Insurance - Commercial</t>
  </si>
  <si>
    <t xml:space="preserve">    ALF - Private</t>
  </si>
  <si>
    <t xml:space="preserve">    Managed Medicaid</t>
  </si>
  <si>
    <t xml:space="preserve">    Medicaid MMAI</t>
  </si>
  <si>
    <t xml:space="preserve">    Medicare Advantage</t>
  </si>
  <si>
    <t xml:space="preserve">  Total Census</t>
  </si>
  <si>
    <t>Schedule of Resident Income</t>
  </si>
  <si>
    <t>Per Resident Day</t>
  </si>
  <si>
    <t xml:space="preserve">  Resident Income Detail</t>
  </si>
  <si>
    <t xml:space="preserve">    Resident Income Private</t>
  </si>
  <si>
    <t xml:space="preserve">    Resident Income Medicaid</t>
  </si>
  <si>
    <t xml:space="preserve">    Resident Income Medicare - Part A</t>
  </si>
  <si>
    <t xml:space="preserve">    Resident Income Insurance - Commercial</t>
  </si>
  <si>
    <t xml:space="preserve">    Resident Income Medicare - Part B</t>
  </si>
  <si>
    <t xml:space="preserve">    Resident Income ALF - Private</t>
  </si>
  <si>
    <t xml:space="preserve">    Resident Income Managed Medicaid</t>
  </si>
  <si>
    <t xml:space="preserve">    Resident Income Medicare Advantage</t>
  </si>
  <si>
    <t xml:space="preserve">  Total Resident Income Detail</t>
  </si>
  <si>
    <t>Ancillary Expenses by Payor Summary</t>
  </si>
  <si>
    <t xml:space="preserve">  Ancillary Expense Detail</t>
  </si>
  <si>
    <t xml:space="preserve">    Ancillary Expense Private</t>
  </si>
  <si>
    <t xml:space="preserve">    Ancillary Expense Medicaid</t>
  </si>
  <si>
    <t xml:space="preserve">    Ancillary Expense Medicare - Part A</t>
  </si>
  <si>
    <t xml:space="preserve">    Ancillary Expense Insurance - Commercial</t>
  </si>
  <si>
    <t xml:space="preserve">    Ancillary Expense Medicare - Part B</t>
  </si>
  <si>
    <t xml:space="preserve">    Ancillary Expense Managed Medicaid</t>
  </si>
  <si>
    <t xml:space="preserve">    Ancillary Expense No Payor</t>
  </si>
  <si>
    <t xml:space="preserve">  Total Ancillary Expense Detail</t>
  </si>
  <si>
    <t>Ancillary Expenses by Payor Detail</t>
  </si>
  <si>
    <t xml:space="preserve">      503100 - Ancillary Costs - Physical Therapy</t>
  </si>
  <si>
    <t xml:space="preserve">      503125 - Ancillary Costs - Occupational Therapy</t>
  </si>
  <si>
    <t xml:space="preserve">      503150 - Ancillary Costs - Speech Therapy</t>
  </si>
  <si>
    <t xml:space="preserve">    Total Ancillary Expense Private</t>
  </si>
  <si>
    <t xml:space="preserve">    Total Ancillary Expense Medicaid</t>
  </si>
  <si>
    <t xml:space="preserve">    Total Ancillary Expense Medicare - Part A</t>
  </si>
  <si>
    <t xml:space="preserve">    Total Ancillary Expense Insurance - Commercial</t>
  </si>
  <si>
    <t xml:space="preserve">    Total Ancillary Expense Medicare - Part B</t>
  </si>
  <si>
    <t xml:space="preserve">    Total Ancillary Expense Managed Medicaid</t>
  </si>
  <si>
    <t xml:space="preserve">      503000 - Ancillary Costs - Medical Supplies</t>
  </si>
  <si>
    <t xml:space="preserve">      503025 - Ancillary Costs - Pharmacy</t>
  </si>
  <si>
    <t xml:space="preserve">      503050 - Ancillary Costs - Radiology/Telemetry/EKG</t>
  </si>
  <si>
    <t xml:space="preserve">      503075 - Ancillary Costs - Laboratory</t>
  </si>
  <si>
    <t xml:space="preserve">      503175 - Ancillary Costs - Respiratory Services</t>
  </si>
  <si>
    <t xml:space="preserve">      503200 - Ancillary Costs - Rentals</t>
  </si>
  <si>
    <t xml:space="preserve">      503250 - Ancillary Costs - Nursing Services</t>
  </si>
  <si>
    <t xml:space="preserve">      503300 - Ancillary Costs - Wound Therapy</t>
  </si>
  <si>
    <t xml:space="preserve">    Total Ancillary Expense No Payor</t>
  </si>
  <si>
    <t>Payroll and Related Costs</t>
  </si>
  <si>
    <t xml:space="preserve">  Payroll and Payroll Related Costs</t>
  </si>
  <si>
    <t xml:space="preserve">    Salaries</t>
  </si>
  <si>
    <t xml:space="preserve">      Director of Nursing</t>
  </si>
  <si>
    <t xml:space="preserve">      Asst. Director of Nursing</t>
  </si>
  <si>
    <t xml:space="preserve">      Nurse Supervisor</t>
  </si>
  <si>
    <t xml:space="preserve">      Registered Nurse</t>
  </si>
  <si>
    <t xml:space="preserve">      Wound Care Nurse</t>
  </si>
  <si>
    <t xml:space="preserve">      Quality Assurance</t>
  </si>
  <si>
    <t xml:space="preserve">      MDS Coordinator</t>
  </si>
  <si>
    <t xml:space="preserve">      Licensed Practical Nurse</t>
  </si>
  <si>
    <t xml:space="preserve">      Certified Nurse Aide</t>
  </si>
  <si>
    <t xml:space="preserve">      Psych Social</t>
  </si>
  <si>
    <t xml:space="preserve">      Social Services Director</t>
  </si>
  <si>
    <t xml:space="preserve">      Social Service Designee</t>
  </si>
  <si>
    <t xml:space="preserve">      Activity Director</t>
  </si>
  <si>
    <t xml:space="preserve">      Activity Assistant</t>
  </si>
  <si>
    <t xml:space="preserve">      Resident Escort/Assistant</t>
  </si>
  <si>
    <t xml:space="preserve">      Bus Driver</t>
  </si>
  <si>
    <t xml:space="preserve">      Housekeeping Supervisor</t>
  </si>
  <si>
    <t xml:space="preserve">      Housekeeping Staff</t>
  </si>
  <si>
    <t xml:space="preserve">      Maintenance Supervisor</t>
  </si>
  <si>
    <t xml:space="preserve">      Maintenance Staff</t>
  </si>
  <si>
    <t xml:space="preserve">      Dietary Manager</t>
  </si>
  <si>
    <t xml:space="preserve">      Asst. Dietery Manager</t>
  </si>
  <si>
    <t xml:space="preserve">      Dietary Aides</t>
  </si>
  <si>
    <t xml:space="preserve">      Cooks</t>
  </si>
  <si>
    <t xml:space="preserve">      Laundry Staff</t>
  </si>
  <si>
    <t xml:space="preserve">      Marketing Director</t>
  </si>
  <si>
    <t xml:space="preserve">      Marketing Coordinator</t>
  </si>
  <si>
    <t xml:space="preserve">      Medical Records Staff</t>
  </si>
  <si>
    <t xml:space="preserve">      Administrator</t>
  </si>
  <si>
    <t xml:space="preserve">      Assistant Administrator</t>
  </si>
  <si>
    <t xml:space="preserve">      Business Office Manager</t>
  </si>
  <si>
    <t xml:space="preserve">      Receptionist</t>
  </si>
  <si>
    <t xml:space="preserve">      Office Manager</t>
  </si>
  <si>
    <t xml:space="preserve">      Financial Coordinator</t>
  </si>
  <si>
    <t xml:space="preserve">      Human Resource</t>
  </si>
  <si>
    <t xml:space="preserve">    Total Salaries</t>
  </si>
  <si>
    <t xml:space="preserve">    Payroll Related Costs</t>
  </si>
  <si>
    <t xml:space="preserve">      Payroll Taxes</t>
  </si>
  <si>
    <t xml:space="preserve">      Other Employee Costs</t>
  </si>
  <si>
    <t xml:space="preserve">    Total Payroll Related Costs</t>
  </si>
  <si>
    <t xml:space="preserve">  Total Payroll and Payroll Related Costs</t>
  </si>
  <si>
    <t>Salaries by Position</t>
  </si>
  <si>
    <t xml:space="preserve">  Salaries by Position Detail</t>
  </si>
  <si>
    <t xml:space="preserve">    Salaries Director of Nursing</t>
  </si>
  <si>
    <t xml:space="preserve">    Total Salaries Director of Nursing</t>
  </si>
  <si>
    <t xml:space="preserve">    Salaries Asst. Director of Nursing</t>
  </si>
  <si>
    <t xml:space="preserve">    Total Salaries Asst. Director of Nursing</t>
  </si>
  <si>
    <t xml:space="preserve">    Salaries Nurse Supervisor</t>
  </si>
  <si>
    <t xml:space="preserve">    Total Salaries Nurse Supervisor</t>
  </si>
  <si>
    <t xml:space="preserve">    Salaries Registered Nurse</t>
  </si>
  <si>
    <t xml:space="preserve">    Total Salaries Registered Nurse</t>
  </si>
  <si>
    <t xml:space="preserve">    Salaries Wound Care Nurse</t>
  </si>
  <si>
    <t xml:space="preserve">    Total Salaries Wound Care Nurse</t>
  </si>
  <si>
    <t xml:space="preserve">    Salaries Quality Assurance</t>
  </si>
  <si>
    <t xml:space="preserve">    Total Salaries Quality Assurance</t>
  </si>
  <si>
    <t xml:space="preserve">    Salaries MDS Coordinator</t>
  </si>
  <si>
    <t xml:space="preserve">    Total Salaries MDS Coordinator</t>
  </si>
  <si>
    <t xml:space="preserve">    Salaries Licensed Practical Nurse</t>
  </si>
  <si>
    <t xml:space="preserve">    Total Salaries Licensed Practical Nurse</t>
  </si>
  <si>
    <t xml:space="preserve">    Salaries Certified Nurse Aide</t>
  </si>
  <si>
    <t xml:space="preserve">    Total Salaries Certified Nurse Aide</t>
  </si>
  <si>
    <t xml:space="preserve">    Salaries Psych Social</t>
  </si>
  <si>
    <t xml:space="preserve">    Total Salaries Psych Social</t>
  </si>
  <si>
    <t xml:space="preserve">    Salaries Social Services Director</t>
  </si>
  <si>
    <t xml:space="preserve">    Total Salaries Social Services Director</t>
  </si>
  <si>
    <t xml:space="preserve">    Salaries Social Service Designee</t>
  </si>
  <si>
    <t xml:space="preserve">    Total Salaries Social Service Designee</t>
  </si>
  <si>
    <t xml:space="preserve">    Salaries Activity Director</t>
  </si>
  <si>
    <t xml:space="preserve">    Total Salaries Activity Director</t>
  </si>
  <si>
    <t xml:space="preserve">    Salaries Activity Assistant</t>
  </si>
  <si>
    <t xml:space="preserve">    Total Salaries Activity Assistant</t>
  </si>
  <si>
    <t xml:space="preserve">    Salaries Resident Escort/Assistant</t>
  </si>
  <si>
    <t xml:space="preserve">    Total Salaries Resident Escort/Assistant</t>
  </si>
  <si>
    <t xml:space="preserve">    Salaries Bus Driver</t>
  </si>
  <si>
    <t xml:space="preserve">    Total Salaries Bus Driver</t>
  </si>
  <si>
    <t xml:space="preserve">    Salaries Housekeeping Supervisor</t>
  </si>
  <si>
    <t xml:space="preserve">    Total Salaries Housekeeping Supervisor</t>
  </si>
  <si>
    <t xml:space="preserve">    Salaries Housekeeping Staff</t>
  </si>
  <si>
    <t xml:space="preserve">    Total Salaries Housekeeping Staff</t>
  </si>
  <si>
    <t xml:space="preserve">    Salaries Maintenance Supervisor</t>
  </si>
  <si>
    <t xml:space="preserve">    Total Salaries Maintenance Supervisor</t>
  </si>
  <si>
    <t xml:space="preserve">    Salaries Maintenance Staff</t>
  </si>
  <si>
    <t xml:space="preserve">    Total Salaries Maintenance Staff</t>
  </si>
  <si>
    <t xml:space="preserve">    Salaries Dietary Manager</t>
  </si>
  <si>
    <t xml:space="preserve">    Total Salaries Dietary Manager</t>
  </si>
  <si>
    <t xml:space="preserve">    Salaries Asst. Dietery Manager</t>
  </si>
  <si>
    <t xml:space="preserve">    Total Salaries Asst. Dietery Manager</t>
  </si>
  <si>
    <t xml:space="preserve">    Salaries Dietary Aides</t>
  </si>
  <si>
    <t xml:space="preserve">    Total Salaries Dietary Aides</t>
  </si>
  <si>
    <t xml:space="preserve">    Salaries Cooks</t>
  </si>
  <si>
    <t xml:space="preserve">    Total Salaries Cooks</t>
  </si>
  <si>
    <t xml:space="preserve">    Salaries Laundry Staff</t>
  </si>
  <si>
    <t xml:space="preserve">    Total Salaries Laundry Staff</t>
  </si>
  <si>
    <t xml:space="preserve">    Salaries Marketing Director</t>
  </si>
  <si>
    <t xml:space="preserve">    Total Salaries Marketing Director</t>
  </si>
  <si>
    <t xml:space="preserve">    Salaries Marketing Coordinator</t>
  </si>
  <si>
    <t xml:space="preserve">    Total Salaries Marketing Coordinator</t>
  </si>
  <si>
    <t xml:space="preserve">    Salaries Medical Records Staff</t>
  </si>
  <si>
    <t xml:space="preserve">    Total Salaries Medical Records Staff</t>
  </si>
  <si>
    <t xml:space="preserve">    Salaries Administrator</t>
  </si>
  <si>
    <t xml:space="preserve">    Total Salaries Administrator</t>
  </si>
  <si>
    <t xml:space="preserve">    Salaries Assistant Administrator</t>
  </si>
  <si>
    <t xml:space="preserve">    Total Salaries Assistant Administrator</t>
  </si>
  <si>
    <t xml:space="preserve">    Salaries Business Office Manager</t>
  </si>
  <si>
    <t xml:space="preserve">    Total Salaries Business Office Manager</t>
  </si>
  <si>
    <t xml:space="preserve">    Salaries Receptionist</t>
  </si>
  <si>
    <t xml:space="preserve">    Total Salaries Receptionist</t>
  </si>
  <si>
    <t xml:space="preserve">    Salaries Office Manager</t>
  </si>
  <si>
    <t xml:space="preserve">    Total Salaries Office Manager</t>
  </si>
  <si>
    <t xml:space="preserve">    Salaries Financial Coordinator</t>
  </si>
  <si>
    <t xml:space="preserve">    Total Salaries Financial Coordinator</t>
  </si>
  <si>
    <t xml:space="preserve">    Salaries Human Resource</t>
  </si>
  <si>
    <t xml:space="preserve">    Total Salaries Human Resource</t>
  </si>
  <si>
    <t xml:space="preserve">  Total Salaries by Position Detail</t>
  </si>
  <si>
    <t>EBITDAR</t>
  </si>
  <si>
    <t>Related Party/Non Recurring Addbacks</t>
  </si>
  <si>
    <t>Home Office</t>
  </si>
  <si>
    <t>Nurse Consultant</t>
  </si>
  <si>
    <t>Total Addbacks</t>
  </si>
  <si>
    <t>EBITDAR With Related Party Addbacks</t>
  </si>
  <si>
    <t>Balance Sheet</t>
  </si>
  <si>
    <t>All Facilities</t>
  </si>
  <si>
    <t>Year To Date</t>
  </si>
  <si>
    <t xml:space="preserve">  Assets</t>
  </si>
  <si>
    <t xml:space="preserve">    Current Assets</t>
  </si>
  <si>
    <t xml:space="preserve">      Cash and Cash Equivalents</t>
  </si>
  <si>
    <t xml:space="preserve">      Accounts Receivable, Net</t>
  </si>
  <si>
    <t xml:space="preserve">      Prepaid Expenses</t>
  </si>
  <si>
    <t xml:space="preserve">      Intercompany Receivable</t>
  </si>
  <si>
    <t xml:space="preserve">      Other Current Assets</t>
  </si>
  <si>
    <t xml:space="preserve">    Total Current Assets</t>
  </si>
  <si>
    <t xml:space="preserve">    Fixed Assets, Net</t>
  </si>
  <si>
    <t xml:space="preserve">      Fixed Assets</t>
  </si>
  <si>
    <t xml:space="preserve">      </t>
  </si>
  <si>
    <t xml:space="preserve">        108050 - Building Improvements</t>
  </si>
  <si>
    <t xml:space="preserve">        108150 - Furniture, Fixture, Equipment</t>
  </si>
  <si>
    <t xml:space="preserve">        108200 - Vehicle</t>
  </si>
  <si>
    <t xml:space="preserve">        108250 - Deposits on Fixed Assets</t>
  </si>
  <si>
    <t xml:space="preserve">        108300 - Construction in Process</t>
  </si>
  <si>
    <t xml:space="preserve">      Total Fixed Assets</t>
  </si>
  <si>
    <t xml:space="preserve">      Accumulated Depreciation</t>
  </si>
  <si>
    <t xml:space="preserve">    Total Fixed Assets, Net</t>
  </si>
  <si>
    <t xml:space="preserve">    Intangible Assets, Net</t>
  </si>
  <si>
    <t xml:space="preserve">      Amortization</t>
  </si>
  <si>
    <t xml:space="preserve">    Total Intangible Assets, Net</t>
  </si>
  <si>
    <t xml:space="preserve">    Other Assets</t>
  </si>
  <si>
    <t xml:space="preserve">      Deposits and Prepayments</t>
  </si>
  <si>
    <t xml:space="preserve">      Other Assets</t>
  </si>
  <si>
    <t xml:space="preserve">    Total Other Assets</t>
  </si>
  <si>
    <t xml:space="preserve">  Total Assets</t>
  </si>
  <si>
    <t xml:space="preserve">  Liabilities and Equity</t>
  </si>
  <si>
    <t xml:space="preserve">    Liabilities</t>
  </si>
  <si>
    <t xml:space="preserve">      Current Liabilities</t>
  </si>
  <si>
    <t xml:space="preserve">        Accounts Payable</t>
  </si>
  <si>
    <t xml:space="preserve">        Accrued Liabilities</t>
  </si>
  <si>
    <t xml:space="preserve">        Loan Payable</t>
  </si>
  <si>
    <t xml:space="preserve">        Other Current Liabilities</t>
  </si>
  <si>
    <t xml:space="preserve">      Total Current Liabilities</t>
  </si>
  <si>
    <t xml:space="preserve">    Total Liabilities</t>
  </si>
  <si>
    <t xml:space="preserve">    Stockholders Equity</t>
  </si>
  <si>
    <t xml:space="preserve">      Retained Earnings</t>
  </si>
  <si>
    <t xml:space="preserve">      Net Income (Loss)</t>
  </si>
  <si>
    <t xml:space="preserve">    Total Stockholders Equity</t>
  </si>
  <si>
    <t xml:space="preserve">  Total Liabilities and Equity</t>
  </si>
  <si>
    <t>Created on : 04/08/2025 8:45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</si>
</sst>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9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Helvetica"/>
      <family val="2"/>
    </font>
    <font>
      <sz val="6"/>
      <name val="Helvetica"/>
      <family val="2"/>
    </font>
    <font>
      <b/>
      <sz val="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2" fillId="2" borderId="4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2" fillId="2" borderId="3" xfId="0" applyNumberFormat="1" applyFont="1" applyFill="1" applyBorder="1" applyAlignment="1">
      <alignment horizontal="right"/>
    </xf>
    <xf numFmtId="164" fontId="0" fillId="2" borderId="0" xfId="0" applyNumberFormat="1" applyFill="1"/>
    <xf numFmtId="0" fontId="5" fillId="2" borderId="0" xfId="0" applyFont="1" applyFill="1"/>
    <xf numFmtId="0" fontId="5" fillId="2" borderId="3" xfId="0" applyFont="1" applyFill="1" applyBorder="1"/>
    <xf numFmtId="164" fontId="0" fillId="2" borderId="3" xfId="0" applyNumberFormat="1" applyFill="1" applyBorder="1"/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7" fillId="2" borderId="0" xfId="0" applyFont="1" applyFill="1" applyAlignment="1">
      <alignment horizontal="left"/>
    </xf>
    <xf numFmtId="0" fontId="7" fillId="2" borderId="2" xfId="0" applyFont="1" applyFill="1" applyBorder="1" applyAlignment="1">
      <alignment horizontal="right"/>
    </xf>
    <xf numFmtId="0" fontId="8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right"/>
    </xf>
    <xf numFmtId="165" fontId="3" fillId="2" borderId="3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5" fontId="3" fillId="2" borderId="2" xfId="0" applyNumberFormat="1" applyFont="1" applyFill="1" applyBorder="1" applyAlignment="1">
      <alignment horizontal="right"/>
    </xf>
    <xf numFmtId="165" fontId="8" fillId="2" borderId="4" xfId="0" applyNumberFormat="1" applyFont="1" applyFill="1" applyBorder="1" applyAlignment="1">
      <alignment horizontal="right"/>
    </xf>
    <xf numFmtId="0" fontId="8" fillId="2" borderId="5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770C-76F1-4B15-8255-E568AAF3CE9B}">
  <dimension ref="A1:X52"/>
  <sheetViews>
    <sheetView topLeftCell="E1" workbookViewId="0">
      <selection activeCell="R15" sqref="R15"/>
    </sheetView>
  </sheetViews>
  <sheetFormatPr defaultColWidth="9.140625" defaultRowHeight="12.75" x14ac:dyDescent="0.2"/>
  <cols>
    <col min="1" max="1" width="30.85546875" style="1" customWidth="1"/>
    <col min="2" max="2" width="15.85546875" style="1" customWidth="1"/>
    <col min="3" max="3" width="10.42578125" style="1" customWidth="1"/>
    <col min="4" max="4" width="22.140625" style="1" customWidth="1"/>
    <col min="5" max="5" width="16.28515625" style="1" customWidth="1"/>
    <col min="6" max="6" width="15.7109375" style="1" customWidth="1"/>
    <col min="7" max="7" width="12.42578125" style="1" customWidth="1"/>
    <col min="8" max="8" width="13.28515625" style="1" customWidth="1"/>
    <col min="9" max="9" width="11.140625" style="1" customWidth="1"/>
    <col min="10" max="10" width="17.5703125" style="1" customWidth="1"/>
    <col min="11" max="11" width="12.42578125" style="1" customWidth="1"/>
    <col min="12" max="12" width="13.85546875" style="1" customWidth="1"/>
    <col min="13" max="13" width="17.5703125" style="1" customWidth="1"/>
    <col min="14" max="14" width="11.7109375" style="1" customWidth="1"/>
    <col min="15" max="15" width="13.140625" style="1" customWidth="1"/>
    <col min="16" max="16" width="18.85546875" style="1" customWidth="1"/>
    <col min="17" max="17" width="15.140625" style="1" customWidth="1"/>
    <col min="18" max="18" width="14.42578125" style="1" customWidth="1"/>
    <col min="19" max="19" width="11.28515625" style="1" customWidth="1"/>
    <col min="20" max="20" width="11.140625" style="1" customWidth="1"/>
    <col min="21" max="21" width="11.85546875" style="1" customWidth="1"/>
    <col min="22" max="22" width="12.140625" style="1" customWidth="1"/>
    <col min="23" max="23" width="12.42578125" style="1" customWidth="1"/>
    <col min="24" max="24" width="11.42578125" style="1" customWidth="1"/>
    <col min="25" max="16384" width="9.140625" style="1"/>
  </cols>
  <sheetData>
    <row r="1" spans="1:24" ht="15.75" x14ac:dyDescent="0.25">
      <c r="A1" s="24" t="s">
        <v>177</v>
      </c>
    </row>
    <row r="2" spans="1:24" ht="15.75" x14ac:dyDescent="0.25">
      <c r="A2" s="24" t="s">
        <v>357</v>
      </c>
    </row>
    <row r="3" spans="1:24" x14ac:dyDescent="0.2">
      <c r="A3" s="7" t="s">
        <v>3</v>
      </c>
      <c r="B3" s="7" t="s">
        <v>4</v>
      </c>
    </row>
    <row r="4" spans="1:24" x14ac:dyDescent="0.2">
      <c r="A4" s="7" t="s">
        <v>5</v>
      </c>
      <c r="B4" s="7" t="s">
        <v>0</v>
      </c>
    </row>
    <row r="5" spans="1:24" x14ac:dyDescent="0.2">
      <c r="A5" s="2" t="s">
        <v>6</v>
      </c>
    </row>
    <row r="6" spans="1:24" x14ac:dyDescent="0.2">
      <c r="A6" s="7" t="s">
        <v>6</v>
      </c>
      <c r="B6" s="25" t="s">
        <v>7</v>
      </c>
      <c r="C6" s="25" t="s">
        <v>8</v>
      </c>
      <c r="D6" s="25" t="s">
        <v>9</v>
      </c>
      <c r="E6" s="25" t="s">
        <v>10</v>
      </c>
      <c r="F6" s="25" t="s">
        <v>11</v>
      </c>
      <c r="G6" s="25" t="s">
        <v>12</v>
      </c>
      <c r="H6" s="25" t="s">
        <v>13</v>
      </c>
      <c r="I6" s="25" t="s">
        <v>14</v>
      </c>
      <c r="J6" s="25" t="s">
        <v>15</v>
      </c>
      <c r="K6" s="25" t="s">
        <v>16</v>
      </c>
      <c r="L6" s="25" t="s">
        <v>17</v>
      </c>
      <c r="M6" s="25" t="s">
        <v>18</v>
      </c>
      <c r="N6" s="25" t="s">
        <v>19</v>
      </c>
      <c r="O6" s="25" t="s">
        <v>20</v>
      </c>
      <c r="P6" s="25" t="s">
        <v>21</v>
      </c>
      <c r="Q6" s="25" t="s">
        <v>22</v>
      </c>
      <c r="R6" s="25" t="s">
        <v>23</v>
      </c>
      <c r="S6" s="25" t="s">
        <v>24</v>
      </c>
      <c r="T6" s="25" t="s">
        <v>25</v>
      </c>
      <c r="U6" s="25" t="s">
        <v>26</v>
      </c>
      <c r="V6" s="25" t="s">
        <v>27</v>
      </c>
      <c r="W6" s="25" t="s">
        <v>28</v>
      </c>
      <c r="X6" s="25" t="s">
        <v>358</v>
      </c>
    </row>
    <row r="7" spans="1:24" x14ac:dyDescent="0.2">
      <c r="A7" s="7" t="s">
        <v>6</v>
      </c>
      <c r="B7" s="25" t="s">
        <v>359</v>
      </c>
      <c r="C7" s="25" t="s">
        <v>359</v>
      </c>
      <c r="D7" s="25" t="s">
        <v>359</v>
      </c>
      <c r="E7" s="25" t="s">
        <v>359</v>
      </c>
      <c r="F7" s="25" t="s">
        <v>359</v>
      </c>
      <c r="G7" s="25" t="s">
        <v>359</v>
      </c>
      <c r="H7" s="25" t="s">
        <v>359</v>
      </c>
      <c r="I7" s="25" t="s">
        <v>359</v>
      </c>
      <c r="J7" s="25" t="s">
        <v>359</v>
      </c>
      <c r="K7" s="25" t="s">
        <v>359</v>
      </c>
      <c r="L7" s="25" t="s">
        <v>359</v>
      </c>
      <c r="M7" s="25" t="s">
        <v>359</v>
      </c>
      <c r="N7" s="25" t="s">
        <v>359</v>
      </c>
      <c r="O7" s="25" t="s">
        <v>359</v>
      </c>
      <c r="P7" s="25" t="s">
        <v>359</v>
      </c>
      <c r="Q7" s="25" t="s">
        <v>359</v>
      </c>
      <c r="R7" s="25" t="s">
        <v>359</v>
      </c>
      <c r="S7" s="25" t="s">
        <v>359</v>
      </c>
      <c r="T7" s="25" t="s">
        <v>359</v>
      </c>
      <c r="U7" s="25" t="s">
        <v>359</v>
      </c>
      <c r="V7" s="25" t="s">
        <v>359</v>
      </c>
      <c r="W7" s="25" t="s">
        <v>359</v>
      </c>
      <c r="X7" s="25" t="s">
        <v>359</v>
      </c>
    </row>
    <row r="8" spans="1:24" x14ac:dyDescent="0.2">
      <c r="A8" s="7" t="s">
        <v>6</v>
      </c>
      <c r="B8" s="26" t="s">
        <v>4</v>
      </c>
      <c r="C8" s="26" t="s">
        <v>4</v>
      </c>
      <c r="D8" s="26" t="s">
        <v>4</v>
      </c>
      <c r="E8" s="26" t="s">
        <v>4</v>
      </c>
      <c r="F8" s="26" t="s">
        <v>4</v>
      </c>
      <c r="G8" s="26" t="s">
        <v>4</v>
      </c>
      <c r="H8" s="26" t="s">
        <v>4</v>
      </c>
      <c r="I8" s="26" t="s">
        <v>4</v>
      </c>
      <c r="J8" s="26" t="s">
        <v>4</v>
      </c>
      <c r="K8" s="26" t="s">
        <v>4</v>
      </c>
      <c r="L8" s="26" t="s">
        <v>4</v>
      </c>
      <c r="M8" s="26" t="s">
        <v>4</v>
      </c>
      <c r="N8" s="26" t="s">
        <v>4</v>
      </c>
      <c r="O8" s="26" t="s">
        <v>4</v>
      </c>
      <c r="P8" s="26" t="s">
        <v>4</v>
      </c>
      <c r="Q8" s="26" t="s">
        <v>4</v>
      </c>
      <c r="R8" s="26" t="s">
        <v>4</v>
      </c>
      <c r="S8" s="26" t="s">
        <v>4</v>
      </c>
      <c r="T8" s="26" t="s">
        <v>4</v>
      </c>
      <c r="U8" s="26" t="s">
        <v>4</v>
      </c>
      <c r="V8" s="26" t="s">
        <v>4</v>
      </c>
      <c r="W8" s="26" t="s">
        <v>4</v>
      </c>
      <c r="X8" s="26" t="s">
        <v>4</v>
      </c>
    </row>
    <row r="9" spans="1:24" x14ac:dyDescent="0.2">
      <c r="A9" s="27" t="s">
        <v>6</v>
      </c>
      <c r="B9" s="28" t="s">
        <v>6</v>
      </c>
      <c r="C9" s="28" t="s">
        <v>6</v>
      </c>
      <c r="D9" s="28" t="s">
        <v>6</v>
      </c>
      <c r="E9" s="28" t="s">
        <v>6</v>
      </c>
      <c r="F9" s="28" t="s">
        <v>6</v>
      </c>
      <c r="G9" s="28" t="s">
        <v>6</v>
      </c>
      <c r="H9" s="28" t="s">
        <v>6</v>
      </c>
      <c r="I9" s="28" t="s">
        <v>6</v>
      </c>
      <c r="J9" s="28" t="s">
        <v>6</v>
      </c>
      <c r="K9" s="28" t="s">
        <v>6</v>
      </c>
      <c r="L9" s="28" t="s">
        <v>6</v>
      </c>
      <c r="M9" s="28" t="s">
        <v>6</v>
      </c>
      <c r="N9" s="28" t="s">
        <v>6</v>
      </c>
      <c r="O9" s="28" t="s">
        <v>6</v>
      </c>
      <c r="P9" s="28" t="s">
        <v>6</v>
      </c>
      <c r="Q9" s="28" t="s">
        <v>6</v>
      </c>
      <c r="R9" s="28" t="s">
        <v>6</v>
      </c>
      <c r="S9" s="28" t="s">
        <v>6</v>
      </c>
      <c r="T9" s="28" t="s">
        <v>6</v>
      </c>
      <c r="U9" s="28" t="s">
        <v>6</v>
      </c>
      <c r="V9" s="28" t="s">
        <v>6</v>
      </c>
      <c r="W9" s="28" t="s">
        <v>6</v>
      </c>
      <c r="X9" s="28" t="s">
        <v>6</v>
      </c>
    </row>
    <row r="10" spans="1:24" x14ac:dyDescent="0.2">
      <c r="A10" s="29" t="s">
        <v>360</v>
      </c>
      <c r="B10" s="29" t="s">
        <v>32</v>
      </c>
      <c r="C10" s="29" t="s">
        <v>32</v>
      </c>
      <c r="D10" s="29" t="s">
        <v>32</v>
      </c>
      <c r="E10" s="29" t="s">
        <v>32</v>
      </c>
      <c r="F10" s="29" t="s">
        <v>32</v>
      </c>
      <c r="G10" s="29" t="s">
        <v>32</v>
      </c>
      <c r="H10" s="29" t="s">
        <v>32</v>
      </c>
      <c r="I10" s="29" t="s">
        <v>32</v>
      </c>
      <c r="J10" s="29" t="s">
        <v>32</v>
      </c>
      <c r="K10" s="29" t="s">
        <v>32</v>
      </c>
      <c r="L10" s="29" t="s">
        <v>32</v>
      </c>
      <c r="M10" s="29" t="s">
        <v>32</v>
      </c>
      <c r="N10" s="29" t="s">
        <v>32</v>
      </c>
      <c r="O10" s="29" t="s">
        <v>32</v>
      </c>
      <c r="P10" s="29" t="s">
        <v>32</v>
      </c>
      <c r="Q10" s="29" t="s">
        <v>32</v>
      </c>
      <c r="R10" s="29" t="s">
        <v>32</v>
      </c>
      <c r="S10" s="29" t="s">
        <v>32</v>
      </c>
      <c r="T10" s="29" t="s">
        <v>32</v>
      </c>
      <c r="U10" s="29" t="s">
        <v>32</v>
      </c>
      <c r="V10" s="29" t="s">
        <v>32</v>
      </c>
      <c r="W10" s="29" t="s">
        <v>32</v>
      </c>
      <c r="X10" s="29" t="s">
        <v>32</v>
      </c>
    </row>
    <row r="11" spans="1:24" x14ac:dyDescent="0.2">
      <c r="A11" s="7" t="s">
        <v>361</v>
      </c>
      <c r="B11" s="7" t="s">
        <v>73</v>
      </c>
      <c r="C11" s="7" t="s">
        <v>73</v>
      </c>
      <c r="D11" s="7" t="s">
        <v>73</v>
      </c>
      <c r="E11" s="7" t="s">
        <v>73</v>
      </c>
      <c r="F11" s="7" t="s">
        <v>73</v>
      </c>
      <c r="G11" s="7" t="s">
        <v>73</v>
      </c>
      <c r="H11" s="7" t="s">
        <v>73</v>
      </c>
      <c r="I11" s="7" t="s">
        <v>73</v>
      </c>
      <c r="J11" s="7" t="s">
        <v>73</v>
      </c>
      <c r="K11" s="7" t="s">
        <v>73</v>
      </c>
      <c r="L11" s="7" t="s">
        <v>73</v>
      </c>
      <c r="M11" s="7" t="s">
        <v>73</v>
      </c>
      <c r="N11" s="7" t="s">
        <v>73</v>
      </c>
      <c r="O11" s="7" t="s">
        <v>73</v>
      </c>
      <c r="P11" s="7" t="s">
        <v>73</v>
      </c>
      <c r="Q11" s="7" t="s">
        <v>73</v>
      </c>
      <c r="R11" s="7" t="s">
        <v>73</v>
      </c>
      <c r="S11" s="7" t="s">
        <v>73</v>
      </c>
      <c r="T11" s="7" t="s">
        <v>73</v>
      </c>
      <c r="U11" s="7" t="s">
        <v>73</v>
      </c>
      <c r="V11" s="7" t="s">
        <v>73</v>
      </c>
      <c r="W11" s="7" t="s">
        <v>73</v>
      </c>
      <c r="X11" s="7" t="s">
        <v>73</v>
      </c>
    </row>
    <row r="12" spans="1:24" x14ac:dyDescent="0.2">
      <c r="A12" s="7" t="s">
        <v>362</v>
      </c>
      <c r="B12" s="30">
        <v>-341.75</v>
      </c>
      <c r="C12" s="30">
        <v>13968.39</v>
      </c>
      <c r="D12" s="30">
        <v>-26580.57</v>
      </c>
      <c r="E12" s="30">
        <v>113198.72</v>
      </c>
      <c r="F12" s="30">
        <v>-14246.57</v>
      </c>
      <c r="G12" s="30">
        <v>-3614.9</v>
      </c>
      <c r="H12" s="30">
        <v>-3146.77</v>
      </c>
      <c r="I12" s="30">
        <v>-46203.65</v>
      </c>
      <c r="J12" s="30">
        <v>-46497.61</v>
      </c>
      <c r="K12" s="30">
        <v>-21691.89</v>
      </c>
      <c r="L12" s="30">
        <v>-24566.6</v>
      </c>
      <c r="M12" s="30">
        <v>17635.310000000001</v>
      </c>
      <c r="N12" s="30">
        <v>-34946.33</v>
      </c>
      <c r="O12" s="30">
        <v>-72049.64</v>
      </c>
      <c r="P12" s="30">
        <v>0</v>
      </c>
      <c r="Q12" s="30">
        <v>63206.73</v>
      </c>
      <c r="R12" s="30">
        <v>550.92999999999995</v>
      </c>
      <c r="S12" s="30">
        <v>2936.75</v>
      </c>
      <c r="T12" s="30">
        <v>-69.91</v>
      </c>
      <c r="U12" s="30">
        <v>37.020000000000003</v>
      </c>
      <c r="V12" s="30">
        <v>1706.51</v>
      </c>
      <c r="W12" s="30">
        <v>-4546.74</v>
      </c>
      <c r="X12" s="30">
        <v>-85262.57</v>
      </c>
    </row>
    <row r="13" spans="1:24" x14ac:dyDescent="0.2">
      <c r="A13" s="7" t="s">
        <v>363</v>
      </c>
      <c r="B13" s="30">
        <v>1226068.77</v>
      </c>
      <c r="C13" s="30">
        <v>763734.28</v>
      </c>
      <c r="D13" s="30">
        <v>663141.55000000005</v>
      </c>
      <c r="E13" s="30">
        <v>704830.26</v>
      </c>
      <c r="F13" s="30">
        <v>1258162.32</v>
      </c>
      <c r="G13" s="30">
        <v>622547.55000000005</v>
      </c>
      <c r="H13" s="30">
        <v>653526.44999999995</v>
      </c>
      <c r="I13" s="30">
        <v>548133.09</v>
      </c>
      <c r="J13" s="30">
        <v>519691.65</v>
      </c>
      <c r="K13" s="30">
        <v>683169.63</v>
      </c>
      <c r="L13" s="30">
        <v>1100389.5900000001</v>
      </c>
      <c r="M13" s="30">
        <v>2193249.73</v>
      </c>
      <c r="N13" s="30">
        <v>1043547.07</v>
      </c>
      <c r="O13" s="30">
        <v>1215780.55</v>
      </c>
      <c r="P13" s="30">
        <v>666884.88</v>
      </c>
      <c r="Q13" s="30">
        <v>964846.89</v>
      </c>
      <c r="R13" s="30">
        <v>50610.75</v>
      </c>
      <c r="S13" s="30">
        <v>20119.310000000001</v>
      </c>
      <c r="T13" s="30">
        <v>2600.33</v>
      </c>
      <c r="U13" s="30">
        <v>-25453.99</v>
      </c>
      <c r="V13" s="30">
        <v>24319.119999999999</v>
      </c>
      <c r="W13" s="30">
        <v>2214.62</v>
      </c>
      <c r="X13" s="30">
        <v>14902114.4</v>
      </c>
    </row>
    <row r="14" spans="1:24" x14ac:dyDescent="0.2">
      <c r="A14" s="7" t="s">
        <v>364</v>
      </c>
      <c r="B14" s="30">
        <v>65068.59</v>
      </c>
      <c r="C14" s="30">
        <v>45248.22</v>
      </c>
      <c r="D14" s="30">
        <v>50731.18</v>
      </c>
      <c r="E14" s="30">
        <v>47070.98</v>
      </c>
      <c r="F14" s="30">
        <v>41077.71</v>
      </c>
      <c r="G14" s="30">
        <v>34588.32</v>
      </c>
      <c r="H14" s="30">
        <v>37150.9</v>
      </c>
      <c r="I14" s="30">
        <v>47365.73</v>
      </c>
      <c r="J14" s="30">
        <v>31801.27</v>
      </c>
      <c r="K14" s="30">
        <v>46770.05</v>
      </c>
      <c r="L14" s="30">
        <v>38968.79</v>
      </c>
      <c r="M14" s="30">
        <v>92881.81</v>
      </c>
      <c r="N14" s="30">
        <v>70544.820000000007</v>
      </c>
      <c r="O14" s="30">
        <v>64996.32</v>
      </c>
      <c r="P14" s="30">
        <v>59325.24</v>
      </c>
      <c r="Q14" s="30">
        <v>45860.87</v>
      </c>
      <c r="R14" s="30">
        <v>26043.03</v>
      </c>
      <c r="S14" s="30">
        <v>30334.29</v>
      </c>
      <c r="T14" s="30">
        <v>29224.92</v>
      </c>
      <c r="U14" s="30">
        <v>41008.269999999997</v>
      </c>
      <c r="V14" s="30">
        <v>31692.58</v>
      </c>
      <c r="W14" s="30">
        <v>5589.7</v>
      </c>
      <c r="X14" s="30">
        <v>983343.59</v>
      </c>
    </row>
    <row r="15" spans="1:24" x14ac:dyDescent="0.2">
      <c r="A15" s="7" t="s">
        <v>365</v>
      </c>
      <c r="B15" s="30">
        <v>-44809.86</v>
      </c>
      <c r="C15" s="30">
        <v>-181774.35</v>
      </c>
      <c r="D15" s="30">
        <v>-257067.47</v>
      </c>
      <c r="E15" s="30">
        <v>-351389.23</v>
      </c>
      <c r="F15" s="30">
        <v>-75088.33</v>
      </c>
      <c r="G15" s="30">
        <v>-159555.07</v>
      </c>
      <c r="H15" s="30">
        <v>-191142</v>
      </c>
      <c r="I15" s="30">
        <v>-286646.90000000002</v>
      </c>
      <c r="J15" s="30">
        <v>-307759.09000000003</v>
      </c>
      <c r="K15" s="30">
        <v>-425005.93</v>
      </c>
      <c r="L15" s="30">
        <v>-282751.5</v>
      </c>
      <c r="M15" s="30">
        <v>-473642.23</v>
      </c>
      <c r="N15" s="30">
        <v>-337574.18</v>
      </c>
      <c r="O15" s="30">
        <v>-387766.52</v>
      </c>
      <c r="P15" s="30">
        <v>-701239.98</v>
      </c>
      <c r="Q15" s="30">
        <v>-604006.43000000005</v>
      </c>
      <c r="R15" s="30">
        <v>-27484.78</v>
      </c>
      <c r="S15" s="30">
        <v>-50017.13</v>
      </c>
      <c r="T15" s="30">
        <v>-118320.37</v>
      </c>
      <c r="U15" s="30">
        <v>62579.32</v>
      </c>
      <c r="V15" s="30">
        <v>13437.1</v>
      </c>
      <c r="W15" s="30">
        <v>-57434.93</v>
      </c>
      <c r="X15" s="30">
        <v>-5244459.8600000003</v>
      </c>
    </row>
    <row r="16" spans="1:24" x14ac:dyDescent="0.2">
      <c r="A16" s="7" t="s">
        <v>366</v>
      </c>
      <c r="B16" s="30">
        <v>-2782.5</v>
      </c>
      <c r="C16" s="30">
        <v>7447.58</v>
      </c>
      <c r="D16" s="30">
        <v>4167.6499999999996</v>
      </c>
      <c r="E16" s="30">
        <v>770</v>
      </c>
      <c r="F16" s="30">
        <v>-5160.41</v>
      </c>
      <c r="G16" s="30">
        <v>-13008.8</v>
      </c>
      <c r="H16" s="30">
        <v>500</v>
      </c>
      <c r="I16" s="30">
        <v>-6933.79</v>
      </c>
      <c r="J16" s="30">
        <v>-1844.15</v>
      </c>
      <c r="K16" s="30">
        <v>-7466.3</v>
      </c>
      <c r="L16" s="30">
        <v>-1304.33</v>
      </c>
      <c r="M16" s="30">
        <v>-1948.03</v>
      </c>
      <c r="N16" s="30">
        <v>-10062.879999999999</v>
      </c>
      <c r="O16" s="30">
        <v>-8075.99</v>
      </c>
      <c r="P16" s="30">
        <v>7026.8</v>
      </c>
      <c r="Q16" s="30">
        <v>26626</v>
      </c>
      <c r="R16" s="30">
        <v>-6385.8</v>
      </c>
      <c r="S16" s="30">
        <v>2068.94</v>
      </c>
      <c r="T16" s="30">
        <v>-2480.23</v>
      </c>
      <c r="U16" s="30">
        <v>-3500</v>
      </c>
      <c r="V16" s="30">
        <v>1306.9000000000001</v>
      </c>
      <c r="W16" s="30">
        <v>0</v>
      </c>
      <c r="X16" s="30">
        <v>-21039.34</v>
      </c>
    </row>
    <row r="17" spans="1:24" x14ac:dyDescent="0.2">
      <c r="A17" s="7" t="s">
        <v>367</v>
      </c>
      <c r="B17" s="31">
        <v>1243203.25</v>
      </c>
      <c r="C17" s="31">
        <v>648624.12</v>
      </c>
      <c r="D17" s="31">
        <v>434392.34</v>
      </c>
      <c r="E17" s="31">
        <v>514480.73</v>
      </c>
      <c r="F17" s="31">
        <v>1204744.72</v>
      </c>
      <c r="G17" s="31">
        <v>480957.1</v>
      </c>
      <c r="H17" s="31">
        <v>496888.58</v>
      </c>
      <c r="I17" s="31">
        <v>255714.48</v>
      </c>
      <c r="J17" s="31">
        <v>195392.07</v>
      </c>
      <c r="K17" s="31">
        <v>275775.56</v>
      </c>
      <c r="L17" s="31">
        <v>830735.95</v>
      </c>
      <c r="M17" s="31">
        <v>1828176.59</v>
      </c>
      <c r="N17" s="31">
        <v>731508.5</v>
      </c>
      <c r="O17" s="31">
        <v>812884.72</v>
      </c>
      <c r="P17" s="31">
        <v>31996.94</v>
      </c>
      <c r="Q17" s="31">
        <v>496534.06</v>
      </c>
      <c r="R17" s="31">
        <v>43334.13</v>
      </c>
      <c r="S17" s="31">
        <v>5442.16</v>
      </c>
      <c r="T17" s="31">
        <v>-89045.26</v>
      </c>
      <c r="U17" s="31">
        <v>74670.62</v>
      </c>
      <c r="V17" s="31">
        <v>72462.210000000006</v>
      </c>
      <c r="W17" s="31">
        <v>-54177.35</v>
      </c>
      <c r="X17" s="31">
        <v>10534696.220000001</v>
      </c>
    </row>
    <row r="18" spans="1:24" x14ac:dyDescent="0.2">
      <c r="A18" s="7" t="s">
        <v>368</v>
      </c>
      <c r="B18" s="32" t="s">
        <v>73</v>
      </c>
      <c r="C18" s="32" t="s">
        <v>73</v>
      </c>
      <c r="D18" s="32" t="s">
        <v>73</v>
      </c>
      <c r="E18" s="32" t="s">
        <v>73</v>
      </c>
      <c r="F18" s="32" t="s">
        <v>73</v>
      </c>
      <c r="G18" s="32" t="s">
        <v>73</v>
      </c>
      <c r="H18" s="32" t="s">
        <v>73</v>
      </c>
      <c r="I18" s="32" t="s">
        <v>73</v>
      </c>
      <c r="J18" s="32" t="s">
        <v>73</v>
      </c>
      <c r="K18" s="32" t="s">
        <v>73</v>
      </c>
      <c r="L18" s="32" t="s">
        <v>73</v>
      </c>
      <c r="M18" s="32" t="s">
        <v>73</v>
      </c>
      <c r="N18" s="32" t="s">
        <v>73</v>
      </c>
      <c r="O18" s="32" t="s">
        <v>73</v>
      </c>
      <c r="P18" s="32" t="s">
        <v>73</v>
      </c>
      <c r="Q18" s="32" t="s">
        <v>73</v>
      </c>
      <c r="R18" s="32" t="s">
        <v>73</v>
      </c>
      <c r="S18" s="32" t="s">
        <v>73</v>
      </c>
      <c r="T18" s="32" t="s">
        <v>73</v>
      </c>
      <c r="U18" s="32" t="s">
        <v>73</v>
      </c>
      <c r="V18" s="32" t="s">
        <v>73</v>
      </c>
      <c r="W18" s="32" t="s">
        <v>73</v>
      </c>
      <c r="X18" s="32" t="s">
        <v>73</v>
      </c>
    </row>
    <row r="19" spans="1:24" x14ac:dyDescent="0.2">
      <c r="A19" s="7" t="s">
        <v>369</v>
      </c>
      <c r="B19" s="7" t="s">
        <v>370</v>
      </c>
      <c r="C19" s="7" t="s">
        <v>370</v>
      </c>
      <c r="D19" s="7" t="s">
        <v>370</v>
      </c>
      <c r="E19" s="7" t="s">
        <v>370</v>
      </c>
      <c r="F19" s="7" t="s">
        <v>370</v>
      </c>
      <c r="G19" s="7" t="s">
        <v>370</v>
      </c>
      <c r="H19" s="7" t="s">
        <v>370</v>
      </c>
      <c r="I19" s="7" t="s">
        <v>370</v>
      </c>
      <c r="J19" s="7" t="s">
        <v>370</v>
      </c>
      <c r="K19" s="7" t="s">
        <v>370</v>
      </c>
      <c r="L19" s="7" t="s">
        <v>370</v>
      </c>
      <c r="M19" s="7" t="s">
        <v>370</v>
      </c>
      <c r="N19" s="7" t="s">
        <v>370</v>
      </c>
      <c r="O19" s="7" t="s">
        <v>370</v>
      </c>
      <c r="P19" s="7" t="s">
        <v>370</v>
      </c>
      <c r="Q19" s="7" t="s">
        <v>370</v>
      </c>
      <c r="R19" s="7" t="s">
        <v>370</v>
      </c>
      <c r="S19" s="7" t="s">
        <v>370</v>
      </c>
      <c r="T19" s="7" t="s">
        <v>370</v>
      </c>
      <c r="U19" s="7" t="s">
        <v>370</v>
      </c>
      <c r="V19" s="7" t="s">
        <v>370</v>
      </c>
      <c r="W19" s="7" t="s">
        <v>370</v>
      </c>
      <c r="X19" s="7" t="s">
        <v>370</v>
      </c>
    </row>
    <row r="20" spans="1:24" x14ac:dyDescent="0.2">
      <c r="A20" s="7" t="s">
        <v>371</v>
      </c>
      <c r="B20" s="30">
        <v>16734.38</v>
      </c>
      <c r="C20" s="30">
        <v>11087.48</v>
      </c>
      <c r="D20" s="30">
        <v>21650</v>
      </c>
      <c r="E20" s="30">
        <v>9820</v>
      </c>
      <c r="F20" s="30">
        <v>32290</v>
      </c>
      <c r="G20" s="30">
        <v>15415</v>
      </c>
      <c r="H20" s="30">
        <v>37648.370000000003</v>
      </c>
      <c r="I20" s="30">
        <v>91403.53</v>
      </c>
      <c r="J20" s="30">
        <v>23530</v>
      </c>
      <c r="K20" s="30">
        <v>39227.5</v>
      </c>
      <c r="L20" s="30">
        <v>36649.379999999997</v>
      </c>
      <c r="M20" s="30">
        <v>11510</v>
      </c>
      <c r="N20" s="30">
        <v>45650</v>
      </c>
      <c r="O20" s="30">
        <v>35648.129999999997</v>
      </c>
      <c r="P20" s="30">
        <v>102347.35</v>
      </c>
      <c r="Q20" s="30">
        <v>45077.599999999999</v>
      </c>
      <c r="R20" s="30">
        <v>0</v>
      </c>
      <c r="S20" s="30">
        <v>14080</v>
      </c>
      <c r="T20" s="30">
        <v>8542.5</v>
      </c>
      <c r="U20" s="30">
        <v>26450</v>
      </c>
      <c r="V20" s="30">
        <v>6017.5</v>
      </c>
      <c r="W20" s="30">
        <v>0</v>
      </c>
      <c r="X20" s="30">
        <v>630778.72</v>
      </c>
    </row>
    <row r="21" spans="1:24" x14ac:dyDescent="0.2">
      <c r="A21" s="7" t="s">
        <v>372</v>
      </c>
      <c r="B21" s="30">
        <v>9423.5</v>
      </c>
      <c r="C21" s="30">
        <v>9385</v>
      </c>
      <c r="D21" s="30">
        <v>9023.5</v>
      </c>
      <c r="E21" s="30">
        <v>9346.5</v>
      </c>
      <c r="F21" s="30">
        <v>9385</v>
      </c>
      <c r="G21" s="30">
        <v>8792.5</v>
      </c>
      <c r="H21" s="30">
        <v>8869.5</v>
      </c>
      <c r="I21" s="30">
        <v>9234.5</v>
      </c>
      <c r="J21" s="30">
        <v>13390.35</v>
      </c>
      <c r="K21" s="30">
        <v>15891.69</v>
      </c>
      <c r="L21" s="30">
        <v>18039.64</v>
      </c>
      <c r="M21" s="30">
        <v>9813.5</v>
      </c>
      <c r="N21" s="30">
        <v>12903.09</v>
      </c>
      <c r="O21" s="30">
        <v>9355.5</v>
      </c>
      <c r="P21" s="30">
        <v>22756.3</v>
      </c>
      <c r="Q21" s="30">
        <v>27297.14</v>
      </c>
      <c r="R21" s="30">
        <v>11503.75</v>
      </c>
      <c r="S21" s="30">
        <v>14408.89</v>
      </c>
      <c r="T21" s="30">
        <v>8837</v>
      </c>
      <c r="U21" s="30">
        <v>8916</v>
      </c>
      <c r="V21" s="30">
        <v>28758</v>
      </c>
      <c r="W21" s="30">
        <v>0</v>
      </c>
      <c r="X21" s="30">
        <v>275330.84999999998</v>
      </c>
    </row>
    <row r="22" spans="1:24" x14ac:dyDescent="0.2">
      <c r="A22" s="7" t="s">
        <v>373</v>
      </c>
      <c r="B22" s="30">
        <v>55870</v>
      </c>
      <c r="C22" s="30">
        <v>4818.72</v>
      </c>
      <c r="D22" s="30">
        <v>55870</v>
      </c>
      <c r="E22" s="30">
        <v>0</v>
      </c>
      <c r="F22" s="30">
        <v>0</v>
      </c>
      <c r="G22" s="30">
        <v>55870</v>
      </c>
      <c r="H22" s="30">
        <v>0</v>
      </c>
      <c r="I22" s="30">
        <v>0</v>
      </c>
      <c r="J22" s="30">
        <v>4818.4399999999996</v>
      </c>
      <c r="K22" s="30">
        <v>0</v>
      </c>
      <c r="L22" s="30">
        <v>0</v>
      </c>
      <c r="M22" s="30">
        <v>14818.44</v>
      </c>
      <c r="N22" s="30">
        <v>0</v>
      </c>
      <c r="O22" s="30">
        <v>62150.94</v>
      </c>
      <c r="P22" s="30">
        <v>0</v>
      </c>
      <c r="Q22" s="30">
        <v>0</v>
      </c>
      <c r="R22" s="30">
        <v>2594.8200000000002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256811.36</v>
      </c>
    </row>
    <row r="23" spans="1:24" x14ac:dyDescent="0.2">
      <c r="A23" s="7" t="s">
        <v>374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2444.65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1700</v>
      </c>
      <c r="U23" s="30">
        <v>0</v>
      </c>
      <c r="V23" s="30">
        <v>0</v>
      </c>
      <c r="W23" s="30">
        <v>0</v>
      </c>
      <c r="X23" s="30">
        <v>4144.6499999999996</v>
      </c>
    </row>
    <row r="24" spans="1:24" x14ac:dyDescent="0.2">
      <c r="A24" s="7" t="s">
        <v>375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7817.15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7817.15</v>
      </c>
    </row>
    <row r="25" spans="1:24" x14ac:dyDescent="0.2">
      <c r="A25" s="7" t="s">
        <v>376</v>
      </c>
      <c r="B25" s="33">
        <v>82027.88</v>
      </c>
      <c r="C25" s="33">
        <v>25291.200000000001</v>
      </c>
      <c r="D25" s="33">
        <v>86543.5</v>
      </c>
      <c r="E25" s="33">
        <v>19166.5</v>
      </c>
      <c r="F25" s="33">
        <v>41675</v>
      </c>
      <c r="G25" s="33">
        <v>80077.5</v>
      </c>
      <c r="H25" s="33">
        <v>46517.87</v>
      </c>
      <c r="I25" s="33">
        <v>100638.03</v>
      </c>
      <c r="J25" s="33">
        <v>41738.79</v>
      </c>
      <c r="K25" s="33">
        <v>55119.19</v>
      </c>
      <c r="L25" s="33">
        <v>54689.02</v>
      </c>
      <c r="M25" s="33">
        <v>36141.94</v>
      </c>
      <c r="N25" s="33">
        <v>60997.74</v>
      </c>
      <c r="O25" s="33">
        <v>107154.57</v>
      </c>
      <c r="P25" s="33">
        <v>132920.79999999999</v>
      </c>
      <c r="Q25" s="33">
        <v>72374.740000000005</v>
      </c>
      <c r="R25" s="33">
        <v>14098.57</v>
      </c>
      <c r="S25" s="33">
        <v>28488.89</v>
      </c>
      <c r="T25" s="33">
        <v>19079.5</v>
      </c>
      <c r="U25" s="33">
        <v>35366</v>
      </c>
      <c r="V25" s="33">
        <v>34775.5</v>
      </c>
      <c r="W25" s="33">
        <v>0</v>
      </c>
      <c r="X25" s="33">
        <v>1174882.73</v>
      </c>
    </row>
    <row r="26" spans="1:24" x14ac:dyDescent="0.2">
      <c r="A26" s="7" t="s">
        <v>377</v>
      </c>
      <c r="B26" s="30">
        <v>3840.1</v>
      </c>
      <c r="C26" s="30">
        <v>1063.48</v>
      </c>
      <c r="D26" s="30">
        <v>3755.9</v>
      </c>
      <c r="E26" s="30">
        <v>868.6</v>
      </c>
      <c r="F26" s="30">
        <v>1432.91</v>
      </c>
      <c r="G26" s="30">
        <v>3636.58</v>
      </c>
      <c r="H26" s="30">
        <v>1532.51</v>
      </c>
      <c r="I26" s="30">
        <v>2034.55</v>
      </c>
      <c r="J26" s="30">
        <v>1416.05</v>
      </c>
      <c r="K26" s="30">
        <v>1615.04</v>
      </c>
      <c r="L26" s="30">
        <v>1775.62</v>
      </c>
      <c r="M26" s="30">
        <v>1531.85</v>
      </c>
      <c r="N26" s="30">
        <v>1870.26</v>
      </c>
      <c r="O26" s="30">
        <v>3883.67</v>
      </c>
      <c r="P26" s="30">
        <v>3317.11</v>
      </c>
      <c r="Q26" s="30">
        <v>2613.46</v>
      </c>
      <c r="R26" s="30">
        <v>763.2</v>
      </c>
      <c r="S26" s="30">
        <v>1056.74</v>
      </c>
      <c r="T26" s="30">
        <v>731.51</v>
      </c>
      <c r="U26" s="30">
        <v>1368.57</v>
      </c>
      <c r="V26" s="30">
        <v>1350.83</v>
      </c>
      <c r="W26" s="30">
        <v>0</v>
      </c>
      <c r="X26" s="30">
        <v>41458.54</v>
      </c>
    </row>
    <row r="27" spans="1:24" x14ac:dyDescent="0.2">
      <c r="A27" s="7" t="s">
        <v>378</v>
      </c>
      <c r="B27" s="31">
        <v>78187.78</v>
      </c>
      <c r="C27" s="31">
        <v>24227.72</v>
      </c>
      <c r="D27" s="31">
        <v>82787.600000000006</v>
      </c>
      <c r="E27" s="31">
        <v>18297.900000000001</v>
      </c>
      <c r="F27" s="31">
        <v>40242.089999999997</v>
      </c>
      <c r="G27" s="31">
        <v>76440.92</v>
      </c>
      <c r="H27" s="31">
        <v>44985.36</v>
      </c>
      <c r="I27" s="31">
        <v>98603.48</v>
      </c>
      <c r="J27" s="31">
        <v>40322.74</v>
      </c>
      <c r="K27" s="31">
        <v>53504.15</v>
      </c>
      <c r="L27" s="31">
        <v>52913.4</v>
      </c>
      <c r="M27" s="31">
        <v>34610.089999999997</v>
      </c>
      <c r="N27" s="31">
        <v>59127.48</v>
      </c>
      <c r="O27" s="31">
        <v>103270.9</v>
      </c>
      <c r="P27" s="31">
        <v>129603.69</v>
      </c>
      <c r="Q27" s="31">
        <v>69761.279999999999</v>
      </c>
      <c r="R27" s="31">
        <v>13335.37</v>
      </c>
      <c r="S27" s="31">
        <v>27432.15</v>
      </c>
      <c r="T27" s="31">
        <v>18347.990000000002</v>
      </c>
      <c r="U27" s="31">
        <v>33997.43</v>
      </c>
      <c r="V27" s="31">
        <v>33424.67</v>
      </c>
      <c r="W27" s="31">
        <v>0</v>
      </c>
      <c r="X27" s="31">
        <v>1133424.19</v>
      </c>
    </row>
    <row r="28" spans="1:24" x14ac:dyDescent="0.2">
      <c r="A28" s="7" t="s">
        <v>379</v>
      </c>
      <c r="B28" s="32" t="s">
        <v>73</v>
      </c>
      <c r="C28" s="32" t="s">
        <v>73</v>
      </c>
      <c r="D28" s="32" t="s">
        <v>73</v>
      </c>
      <c r="E28" s="32" t="s">
        <v>73</v>
      </c>
      <c r="F28" s="32" t="s">
        <v>73</v>
      </c>
      <c r="G28" s="32" t="s">
        <v>73</v>
      </c>
      <c r="H28" s="32" t="s">
        <v>73</v>
      </c>
      <c r="I28" s="32" t="s">
        <v>73</v>
      </c>
      <c r="J28" s="32" t="s">
        <v>73</v>
      </c>
      <c r="K28" s="32" t="s">
        <v>73</v>
      </c>
      <c r="L28" s="32" t="s">
        <v>73</v>
      </c>
      <c r="M28" s="32" t="s">
        <v>73</v>
      </c>
      <c r="N28" s="32" t="s">
        <v>73</v>
      </c>
      <c r="O28" s="32" t="s">
        <v>73</v>
      </c>
      <c r="P28" s="32" t="s">
        <v>73</v>
      </c>
      <c r="Q28" s="32" t="s">
        <v>73</v>
      </c>
      <c r="R28" s="32" t="s">
        <v>73</v>
      </c>
      <c r="S28" s="32" t="s">
        <v>73</v>
      </c>
      <c r="T28" s="32" t="s">
        <v>73</v>
      </c>
      <c r="U28" s="32" t="s">
        <v>73</v>
      </c>
      <c r="V28" s="32" t="s">
        <v>73</v>
      </c>
      <c r="W28" s="32" t="s">
        <v>73</v>
      </c>
      <c r="X28" s="32" t="s">
        <v>73</v>
      </c>
    </row>
    <row r="29" spans="1:24" x14ac:dyDescent="0.2">
      <c r="A29" s="7" t="s">
        <v>380</v>
      </c>
      <c r="B29" s="30">
        <v>2205.37</v>
      </c>
      <c r="C29" s="30">
        <v>2205.35</v>
      </c>
      <c r="D29" s="30">
        <v>2205.37</v>
      </c>
      <c r="E29" s="30">
        <v>2205.37</v>
      </c>
      <c r="F29" s="30">
        <v>2205.37</v>
      </c>
      <c r="G29" s="30">
        <v>2205.37</v>
      </c>
      <c r="H29" s="30">
        <v>2205.37</v>
      </c>
      <c r="I29" s="30">
        <v>2516.4299999999998</v>
      </c>
      <c r="J29" s="30">
        <v>2516.4299999999998</v>
      </c>
      <c r="K29" s="30">
        <v>2516.4299999999998</v>
      </c>
      <c r="L29" s="30">
        <v>2516.4299999999998</v>
      </c>
      <c r="M29" s="30">
        <v>2516.4299999999998</v>
      </c>
      <c r="N29" s="30">
        <v>2516.4299999999998</v>
      </c>
      <c r="O29" s="30">
        <v>2516.4299999999998</v>
      </c>
      <c r="P29" s="30">
        <v>4051.83</v>
      </c>
      <c r="Q29" s="30">
        <v>4185.3599999999997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41289.769999999997</v>
      </c>
    </row>
    <row r="30" spans="1:24" x14ac:dyDescent="0.2">
      <c r="A30" s="7" t="s">
        <v>381</v>
      </c>
      <c r="B30" s="31">
        <v>-2205.37</v>
      </c>
      <c r="C30" s="31">
        <v>-2205.35</v>
      </c>
      <c r="D30" s="31">
        <v>-2205.37</v>
      </c>
      <c r="E30" s="31">
        <v>-2205.37</v>
      </c>
      <c r="F30" s="31">
        <v>-2205.37</v>
      </c>
      <c r="G30" s="31">
        <v>-2205.37</v>
      </c>
      <c r="H30" s="31">
        <v>-2205.37</v>
      </c>
      <c r="I30" s="31">
        <v>-2516.4299999999998</v>
      </c>
      <c r="J30" s="31">
        <v>-2516.4299999999998</v>
      </c>
      <c r="K30" s="31">
        <v>-2516.4299999999998</v>
      </c>
      <c r="L30" s="31">
        <v>-2516.4299999999998</v>
      </c>
      <c r="M30" s="31">
        <v>-2516.4299999999998</v>
      </c>
      <c r="N30" s="31">
        <v>-2516.4299999999998</v>
      </c>
      <c r="O30" s="31">
        <v>-2516.4299999999998</v>
      </c>
      <c r="P30" s="31">
        <v>-4051.83</v>
      </c>
      <c r="Q30" s="31">
        <v>-4185.3599999999997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-41289.769999999997</v>
      </c>
    </row>
    <row r="31" spans="1:24" x14ac:dyDescent="0.2">
      <c r="A31" s="7" t="s">
        <v>382</v>
      </c>
      <c r="B31" s="32" t="s">
        <v>73</v>
      </c>
      <c r="C31" s="32" t="s">
        <v>73</v>
      </c>
      <c r="D31" s="32" t="s">
        <v>73</v>
      </c>
      <c r="E31" s="32" t="s">
        <v>73</v>
      </c>
      <c r="F31" s="32" t="s">
        <v>73</v>
      </c>
      <c r="G31" s="32" t="s">
        <v>73</v>
      </c>
      <c r="H31" s="32" t="s">
        <v>73</v>
      </c>
      <c r="I31" s="32" t="s">
        <v>73</v>
      </c>
      <c r="J31" s="32" t="s">
        <v>73</v>
      </c>
      <c r="K31" s="32" t="s">
        <v>73</v>
      </c>
      <c r="L31" s="32" t="s">
        <v>73</v>
      </c>
      <c r="M31" s="32" t="s">
        <v>73</v>
      </c>
      <c r="N31" s="32" t="s">
        <v>73</v>
      </c>
      <c r="O31" s="32" t="s">
        <v>73</v>
      </c>
      <c r="P31" s="32" t="s">
        <v>73</v>
      </c>
      <c r="Q31" s="32" t="s">
        <v>73</v>
      </c>
      <c r="R31" s="32" t="s">
        <v>73</v>
      </c>
      <c r="S31" s="32" t="s">
        <v>73</v>
      </c>
      <c r="T31" s="32" t="s">
        <v>73</v>
      </c>
      <c r="U31" s="32" t="s">
        <v>73</v>
      </c>
      <c r="V31" s="32" t="s">
        <v>73</v>
      </c>
      <c r="W31" s="32" t="s">
        <v>73</v>
      </c>
      <c r="X31" s="32" t="s">
        <v>73</v>
      </c>
    </row>
    <row r="32" spans="1:24" x14ac:dyDescent="0.2">
      <c r="A32" s="7" t="s">
        <v>383</v>
      </c>
      <c r="B32" s="30">
        <v>70445.84</v>
      </c>
      <c r="C32" s="30">
        <v>35374.92</v>
      </c>
      <c r="D32" s="30">
        <v>49252.56</v>
      </c>
      <c r="E32" s="30">
        <v>38139.919999999998</v>
      </c>
      <c r="F32" s="30">
        <v>65588.740000000005</v>
      </c>
      <c r="G32" s="30">
        <v>47205.56</v>
      </c>
      <c r="H32" s="30">
        <v>41736.910000000003</v>
      </c>
      <c r="I32" s="30">
        <v>66275.28</v>
      </c>
      <c r="J32" s="30">
        <v>48214.29</v>
      </c>
      <c r="K32" s="30">
        <v>79350.12</v>
      </c>
      <c r="L32" s="30">
        <v>77002.77</v>
      </c>
      <c r="M32" s="30">
        <v>156640.85</v>
      </c>
      <c r="N32" s="30">
        <v>117550.99</v>
      </c>
      <c r="O32" s="30">
        <v>112498.66</v>
      </c>
      <c r="P32" s="30">
        <v>101853.56</v>
      </c>
      <c r="Q32" s="30">
        <v>104991.56</v>
      </c>
      <c r="R32" s="30">
        <v>2500.67</v>
      </c>
      <c r="S32" s="30">
        <v>0</v>
      </c>
      <c r="T32" s="30">
        <v>3646</v>
      </c>
      <c r="U32" s="30">
        <v>2696.73</v>
      </c>
      <c r="V32" s="30">
        <v>9206.81</v>
      </c>
      <c r="W32" s="30">
        <v>74</v>
      </c>
      <c r="X32" s="30">
        <v>1230246.74</v>
      </c>
    </row>
    <row r="33" spans="1:24" x14ac:dyDescent="0.2">
      <c r="A33" s="7" t="s">
        <v>384</v>
      </c>
      <c r="B33" s="30">
        <v>9689.2900000000009</v>
      </c>
      <c r="C33" s="30">
        <v>9689.27</v>
      </c>
      <c r="D33" s="30">
        <v>9689.2900000000009</v>
      </c>
      <c r="E33" s="30">
        <v>9689.2900000000009</v>
      </c>
      <c r="F33" s="30">
        <v>9689.2900000000009</v>
      </c>
      <c r="G33" s="30">
        <v>9689.2900000000009</v>
      </c>
      <c r="H33" s="30">
        <v>9689.2900000000009</v>
      </c>
      <c r="I33" s="30">
        <v>10065.709999999999</v>
      </c>
      <c r="J33" s="30">
        <v>10065.709999999999</v>
      </c>
      <c r="K33" s="30">
        <v>10065.709999999999</v>
      </c>
      <c r="L33" s="30">
        <v>10065.709999999999</v>
      </c>
      <c r="M33" s="30">
        <v>10065.709999999999</v>
      </c>
      <c r="N33" s="30">
        <v>10065.709999999999</v>
      </c>
      <c r="O33" s="30">
        <v>10065.709999999999</v>
      </c>
      <c r="P33" s="30">
        <v>14607.16</v>
      </c>
      <c r="Q33" s="30">
        <v>14205.91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167098.04999999999</v>
      </c>
    </row>
    <row r="34" spans="1:24" x14ac:dyDescent="0.2">
      <c r="A34" s="7" t="s">
        <v>385</v>
      </c>
      <c r="B34" s="31">
        <v>80135.13</v>
      </c>
      <c r="C34" s="31">
        <v>45064.19</v>
      </c>
      <c r="D34" s="31">
        <v>58941.85</v>
      </c>
      <c r="E34" s="31">
        <v>47829.21</v>
      </c>
      <c r="F34" s="31">
        <v>75278.03</v>
      </c>
      <c r="G34" s="31">
        <v>56894.85</v>
      </c>
      <c r="H34" s="31">
        <v>51426.2</v>
      </c>
      <c r="I34" s="31">
        <v>76340.990000000005</v>
      </c>
      <c r="J34" s="31">
        <v>58280</v>
      </c>
      <c r="K34" s="31">
        <v>89415.83</v>
      </c>
      <c r="L34" s="31">
        <v>87068.479999999996</v>
      </c>
      <c r="M34" s="31">
        <v>166706.56</v>
      </c>
      <c r="N34" s="31">
        <v>127616.7</v>
      </c>
      <c r="O34" s="31">
        <v>122564.37</v>
      </c>
      <c r="P34" s="31">
        <v>116460.72</v>
      </c>
      <c r="Q34" s="31">
        <v>119197.47</v>
      </c>
      <c r="R34" s="31">
        <v>2500.67</v>
      </c>
      <c r="S34" s="31">
        <v>0</v>
      </c>
      <c r="T34" s="31">
        <v>3646</v>
      </c>
      <c r="U34" s="31">
        <v>2696.73</v>
      </c>
      <c r="V34" s="31">
        <v>9206.81</v>
      </c>
      <c r="W34" s="31">
        <v>74</v>
      </c>
      <c r="X34" s="31">
        <v>1397344.79</v>
      </c>
    </row>
    <row r="35" spans="1:24" ht="13.5" thickBot="1" x14ac:dyDescent="0.25">
      <c r="A35" s="29" t="s">
        <v>386</v>
      </c>
      <c r="B35" s="34">
        <v>1399320.79</v>
      </c>
      <c r="C35" s="34">
        <v>715710.68</v>
      </c>
      <c r="D35" s="34">
        <v>573916.42000000004</v>
      </c>
      <c r="E35" s="34">
        <v>578402.47</v>
      </c>
      <c r="F35" s="34">
        <v>1318059.47</v>
      </c>
      <c r="G35" s="34">
        <v>612087.5</v>
      </c>
      <c r="H35" s="34">
        <v>591094.77</v>
      </c>
      <c r="I35" s="34">
        <v>428142.52</v>
      </c>
      <c r="J35" s="34">
        <v>291478.38</v>
      </c>
      <c r="K35" s="34">
        <v>416179.11</v>
      </c>
      <c r="L35" s="34">
        <v>968201.4</v>
      </c>
      <c r="M35" s="34">
        <v>2026976.81</v>
      </c>
      <c r="N35" s="34">
        <v>915736.25</v>
      </c>
      <c r="O35" s="34">
        <v>1036203.56</v>
      </c>
      <c r="P35" s="34">
        <v>274009.52</v>
      </c>
      <c r="Q35" s="34">
        <v>681307.45</v>
      </c>
      <c r="R35" s="34">
        <v>59170.17</v>
      </c>
      <c r="S35" s="34">
        <v>32874.31</v>
      </c>
      <c r="T35" s="34">
        <v>-67051.27</v>
      </c>
      <c r="U35" s="34">
        <v>111364.78</v>
      </c>
      <c r="V35" s="34">
        <v>115093.69</v>
      </c>
      <c r="W35" s="34">
        <v>-54103.35</v>
      </c>
      <c r="X35" s="34">
        <v>13024175.43</v>
      </c>
    </row>
    <row r="36" spans="1:24" ht="13.5" thickTop="1" x14ac:dyDescent="0.2">
      <c r="A36" s="29" t="s">
        <v>387</v>
      </c>
      <c r="B36" s="35" t="s">
        <v>32</v>
      </c>
      <c r="C36" s="35" t="s">
        <v>32</v>
      </c>
      <c r="D36" s="35" t="s">
        <v>32</v>
      </c>
      <c r="E36" s="35" t="s">
        <v>32</v>
      </c>
      <c r="F36" s="35" t="s">
        <v>32</v>
      </c>
      <c r="G36" s="35" t="s">
        <v>32</v>
      </c>
      <c r="H36" s="35" t="s">
        <v>32</v>
      </c>
      <c r="I36" s="35" t="s">
        <v>32</v>
      </c>
      <c r="J36" s="35" t="s">
        <v>32</v>
      </c>
      <c r="K36" s="35" t="s">
        <v>32</v>
      </c>
      <c r="L36" s="35" t="s">
        <v>32</v>
      </c>
      <c r="M36" s="35" t="s">
        <v>32</v>
      </c>
      <c r="N36" s="35" t="s">
        <v>32</v>
      </c>
      <c r="O36" s="35" t="s">
        <v>32</v>
      </c>
      <c r="P36" s="35" t="s">
        <v>32</v>
      </c>
      <c r="Q36" s="35" t="s">
        <v>32</v>
      </c>
      <c r="R36" s="35" t="s">
        <v>32</v>
      </c>
      <c r="S36" s="35" t="s">
        <v>32</v>
      </c>
      <c r="T36" s="35" t="s">
        <v>32</v>
      </c>
      <c r="U36" s="35" t="s">
        <v>32</v>
      </c>
      <c r="V36" s="35" t="s">
        <v>32</v>
      </c>
      <c r="W36" s="35" t="s">
        <v>32</v>
      </c>
      <c r="X36" s="35" t="s">
        <v>32</v>
      </c>
    </row>
    <row r="37" spans="1:24" x14ac:dyDescent="0.2">
      <c r="A37" s="7" t="s">
        <v>388</v>
      </c>
      <c r="B37" s="7" t="s">
        <v>73</v>
      </c>
      <c r="C37" s="7" t="s">
        <v>73</v>
      </c>
      <c r="D37" s="7" t="s">
        <v>73</v>
      </c>
      <c r="E37" s="7" t="s">
        <v>73</v>
      </c>
      <c r="F37" s="7" t="s">
        <v>73</v>
      </c>
      <c r="G37" s="7" t="s">
        <v>73</v>
      </c>
      <c r="H37" s="7" t="s">
        <v>73</v>
      </c>
      <c r="I37" s="7" t="s">
        <v>73</v>
      </c>
      <c r="J37" s="7" t="s">
        <v>73</v>
      </c>
      <c r="K37" s="7" t="s">
        <v>73</v>
      </c>
      <c r="L37" s="7" t="s">
        <v>73</v>
      </c>
      <c r="M37" s="7" t="s">
        <v>73</v>
      </c>
      <c r="N37" s="7" t="s">
        <v>73</v>
      </c>
      <c r="O37" s="7" t="s">
        <v>73</v>
      </c>
      <c r="P37" s="7" t="s">
        <v>73</v>
      </c>
      <c r="Q37" s="7" t="s">
        <v>73</v>
      </c>
      <c r="R37" s="7" t="s">
        <v>73</v>
      </c>
      <c r="S37" s="7" t="s">
        <v>73</v>
      </c>
      <c r="T37" s="7" t="s">
        <v>73</v>
      </c>
      <c r="U37" s="7" t="s">
        <v>73</v>
      </c>
      <c r="V37" s="7" t="s">
        <v>73</v>
      </c>
      <c r="W37" s="7" t="s">
        <v>73</v>
      </c>
      <c r="X37" s="7" t="s">
        <v>73</v>
      </c>
    </row>
    <row r="38" spans="1:24" x14ac:dyDescent="0.2">
      <c r="A38" s="7" t="s">
        <v>389</v>
      </c>
      <c r="B38" s="7" t="s">
        <v>370</v>
      </c>
      <c r="C38" s="7" t="s">
        <v>370</v>
      </c>
      <c r="D38" s="7" t="s">
        <v>370</v>
      </c>
      <c r="E38" s="7" t="s">
        <v>370</v>
      </c>
      <c r="F38" s="7" t="s">
        <v>370</v>
      </c>
      <c r="G38" s="7" t="s">
        <v>370</v>
      </c>
      <c r="H38" s="7" t="s">
        <v>370</v>
      </c>
      <c r="I38" s="7" t="s">
        <v>370</v>
      </c>
      <c r="J38" s="7" t="s">
        <v>370</v>
      </c>
      <c r="K38" s="7" t="s">
        <v>370</v>
      </c>
      <c r="L38" s="7" t="s">
        <v>370</v>
      </c>
      <c r="M38" s="7" t="s">
        <v>370</v>
      </c>
      <c r="N38" s="7" t="s">
        <v>370</v>
      </c>
      <c r="O38" s="7" t="s">
        <v>370</v>
      </c>
      <c r="P38" s="7" t="s">
        <v>370</v>
      </c>
      <c r="Q38" s="7" t="s">
        <v>370</v>
      </c>
      <c r="R38" s="7" t="s">
        <v>370</v>
      </c>
      <c r="S38" s="7" t="s">
        <v>370</v>
      </c>
      <c r="T38" s="7" t="s">
        <v>370</v>
      </c>
      <c r="U38" s="7" t="s">
        <v>370</v>
      </c>
      <c r="V38" s="7" t="s">
        <v>370</v>
      </c>
      <c r="W38" s="7" t="s">
        <v>370</v>
      </c>
      <c r="X38" s="7" t="s">
        <v>370</v>
      </c>
    </row>
    <row r="39" spans="1:24" x14ac:dyDescent="0.2">
      <c r="A39" s="7" t="s">
        <v>390</v>
      </c>
      <c r="B39" s="30">
        <v>495957</v>
      </c>
      <c r="C39" s="30">
        <v>331808.01</v>
      </c>
      <c r="D39" s="30">
        <v>311687.62</v>
      </c>
      <c r="E39" s="30">
        <v>377982.83</v>
      </c>
      <c r="F39" s="30">
        <v>444459.94</v>
      </c>
      <c r="G39" s="30">
        <v>359558.32</v>
      </c>
      <c r="H39" s="30">
        <v>250000.58</v>
      </c>
      <c r="I39" s="30">
        <v>234131.33</v>
      </c>
      <c r="J39" s="30">
        <v>163676.89000000001</v>
      </c>
      <c r="K39" s="30">
        <v>218574.32</v>
      </c>
      <c r="L39" s="30">
        <v>238999.48</v>
      </c>
      <c r="M39" s="30">
        <v>426577.9</v>
      </c>
      <c r="N39" s="30">
        <v>321164.93</v>
      </c>
      <c r="O39" s="30">
        <v>253825.91</v>
      </c>
      <c r="P39" s="30">
        <v>305742.44</v>
      </c>
      <c r="Q39" s="30">
        <v>216997</v>
      </c>
      <c r="R39" s="30">
        <v>78440.759999999995</v>
      </c>
      <c r="S39" s="30">
        <v>83465.05</v>
      </c>
      <c r="T39" s="30">
        <v>67314.820000000007</v>
      </c>
      <c r="U39" s="30">
        <v>91150.61</v>
      </c>
      <c r="V39" s="30">
        <v>81550.95</v>
      </c>
      <c r="W39" s="30">
        <v>4977.18</v>
      </c>
      <c r="X39" s="30">
        <v>5358043.87</v>
      </c>
    </row>
    <row r="40" spans="1:24" x14ac:dyDescent="0.2">
      <c r="A40" s="7" t="s">
        <v>391</v>
      </c>
      <c r="B40" s="30">
        <v>77161.36</v>
      </c>
      <c r="C40" s="30">
        <v>65396</v>
      </c>
      <c r="D40" s="30">
        <v>49561.18</v>
      </c>
      <c r="E40" s="30">
        <v>16308.17</v>
      </c>
      <c r="F40" s="30">
        <v>57713</v>
      </c>
      <c r="G40" s="30">
        <v>49750.03</v>
      </c>
      <c r="H40" s="30">
        <v>52757.4</v>
      </c>
      <c r="I40" s="30">
        <v>72756.45</v>
      </c>
      <c r="J40" s="30">
        <v>46599.93</v>
      </c>
      <c r="K40" s="30">
        <v>95123.12</v>
      </c>
      <c r="L40" s="30">
        <v>96725.4</v>
      </c>
      <c r="M40" s="30">
        <v>202702.07</v>
      </c>
      <c r="N40" s="30">
        <v>116284.62</v>
      </c>
      <c r="O40" s="30">
        <v>106351.76</v>
      </c>
      <c r="P40" s="30">
        <v>123345.04</v>
      </c>
      <c r="Q40" s="30">
        <v>107735.48</v>
      </c>
      <c r="R40" s="30">
        <v>32948.97</v>
      </c>
      <c r="S40" s="30">
        <v>29758.39</v>
      </c>
      <c r="T40" s="30">
        <v>27788.95</v>
      </c>
      <c r="U40" s="30">
        <v>39078.959999999999</v>
      </c>
      <c r="V40" s="30">
        <v>13249.04</v>
      </c>
      <c r="W40" s="30">
        <v>1995.57</v>
      </c>
      <c r="X40" s="30">
        <v>1481090.89</v>
      </c>
    </row>
    <row r="41" spans="1:24" x14ac:dyDescent="0.2">
      <c r="A41" s="7" t="s">
        <v>392</v>
      </c>
      <c r="B41" s="30">
        <v>643134.25</v>
      </c>
      <c r="C41" s="30">
        <v>356112.47</v>
      </c>
      <c r="D41" s="30">
        <v>339786.63</v>
      </c>
      <c r="E41" s="30">
        <v>320304.11</v>
      </c>
      <c r="F41" s="30">
        <v>580614.84</v>
      </c>
      <c r="G41" s="30">
        <v>347961.16</v>
      </c>
      <c r="H41" s="30">
        <v>330132.32</v>
      </c>
      <c r="I41" s="30">
        <v>268231.61</v>
      </c>
      <c r="J41" s="30">
        <v>267089.02</v>
      </c>
      <c r="K41" s="30">
        <v>376157.76</v>
      </c>
      <c r="L41" s="30">
        <v>490893.8</v>
      </c>
      <c r="M41" s="30">
        <v>860686.07</v>
      </c>
      <c r="N41" s="30">
        <v>526214.98</v>
      </c>
      <c r="O41" s="30">
        <v>735187.95</v>
      </c>
      <c r="P41" s="30">
        <v>333373.83</v>
      </c>
      <c r="Q41" s="30">
        <v>472613.66</v>
      </c>
      <c r="R41" s="30">
        <v>0</v>
      </c>
      <c r="S41" s="30">
        <v>0</v>
      </c>
      <c r="T41" s="30">
        <v>0</v>
      </c>
      <c r="U41" s="30">
        <v>16794.28</v>
      </c>
      <c r="V41" s="30">
        <v>24215.88</v>
      </c>
      <c r="W41" s="30">
        <v>0</v>
      </c>
      <c r="X41" s="30">
        <v>7289504.6200000001</v>
      </c>
    </row>
    <row r="42" spans="1:24" x14ac:dyDescent="0.2">
      <c r="A42" s="7" t="s">
        <v>393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-21.48</v>
      </c>
      <c r="N42" s="30">
        <v>0</v>
      </c>
      <c r="O42" s="30">
        <v>0</v>
      </c>
      <c r="P42" s="30">
        <v>1407.08</v>
      </c>
      <c r="Q42" s="30">
        <v>4368.28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5753.88</v>
      </c>
    </row>
    <row r="43" spans="1:24" x14ac:dyDescent="0.2">
      <c r="A43" s="7" t="s">
        <v>394</v>
      </c>
      <c r="B43" s="33">
        <v>1216252.6100000001</v>
      </c>
      <c r="C43" s="33">
        <v>753316.48</v>
      </c>
      <c r="D43" s="33">
        <v>701035.43</v>
      </c>
      <c r="E43" s="33">
        <v>714595.11</v>
      </c>
      <c r="F43" s="33">
        <v>1082787.78</v>
      </c>
      <c r="G43" s="33">
        <v>757269.51</v>
      </c>
      <c r="H43" s="33">
        <v>632890.30000000005</v>
      </c>
      <c r="I43" s="33">
        <v>575119.39</v>
      </c>
      <c r="J43" s="33">
        <v>477365.84</v>
      </c>
      <c r="K43" s="33">
        <v>689855.2</v>
      </c>
      <c r="L43" s="33">
        <v>826618.68</v>
      </c>
      <c r="M43" s="33">
        <v>1489944.56</v>
      </c>
      <c r="N43" s="33">
        <v>963664.53</v>
      </c>
      <c r="O43" s="33">
        <v>1095365.6200000001</v>
      </c>
      <c r="P43" s="33">
        <v>763868.39</v>
      </c>
      <c r="Q43" s="33">
        <v>801714.42</v>
      </c>
      <c r="R43" s="33">
        <v>111389.73</v>
      </c>
      <c r="S43" s="33">
        <v>113223.44</v>
      </c>
      <c r="T43" s="33">
        <v>95103.77</v>
      </c>
      <c r="U43" s="33">
        <v>147023.85</v>
      </c>
      <c r="V43" s="33">
        <v>119015.87</v>
      </c>
      <c r="W43" s="33">
        <v>6972.75</v>
      </c>
      <c r="X43" s="33">
        <v>14134393.26</v>
      </c>
    </row>
    <row r="44" spans="1:24" x14ac:dyDescent="0.2">
      <c r="A44" s="7" t="s">
        <v>395</v>
      </c>
      <c r="B44" s="31">
        <v>1216252.6100000001</v>
      </c>
      <c r="C44" s="31">
        <v>753316.48</v>
      </c>
      <c r="D44" s="31">
        <v>701035.43</v>
      </c>
      <c r="E44" s="31">
        <v>714595.11</v>
      </c>
      <c r="F44" s="31">
        <v>1082787.78</v>
      </c>
      <c r="G44" s="31">
        <v>757269.51</v>
      </c>
      <c r="H44" s="31">
        <v>632890.30000000005</v>
      </c>
      <c r="I44" s="31">
        <v>575119.39</v>
      </c>
      <c r="J44" s="31">
        <v>477365.84</v>
      </c>
      <c r="K44" s="31">
        <v>689855.2</v>
      </c>
      <c r="L44" s="31">
        <v>826618.68</v>
      </c>
      <c r="M44" s="31">
        <v>1489944.56</v>
      </c>
      <c r="N44" s="31">
        <v>963664.53</v>
      </c>
      <c r="O44" s="31">
        <v>1095365.6200000001</v>
      </c>
      <c r="P44" s="31">
        <v>763868.39</v>
      </c>
      <c r="Q44" s="31">
        <v>801714.42</v>
      </c>
      <c r="R44" s="31">
        <v>111389.73</v>
      </c>
      <c r="S44" s="31">
        <v>113223.44</v>
      </c>
      <c r="T44" s="31">
        <v>95103.77</v>
      </c>
      <c r="U44" s="31">
        <v>147023.85</v>
      </c>
      <c r="V44" s="31">
        <v>119015.87</v>
      </c>
      <c r="W44" s="31">
        <v>6972.75</v>
      </c>
      <c r="X44" s="31">
        <v>14134393.26</v>
      </c>
    </row>
    <row r="45" spans="1:24" x14ac:dyDescent="0.2">
      <c r="A45" s="7" t="s">
        <v>396</v>
      </c>
      <c r="B45" s="32" t="s">
        <v>73</v>
      </c>
      <c r="C45" s="32" t="s">
        <v>73</v>
      </c>
      <c r="D45" s="32" t="s">
        <v>73</v>
      </c>
      <c r="E45" s="32" t="s">
        <v>73</v>
      </c>
      <c r="F45" s="32" t="s">
        <v>73</v>
      </c>
      <c r="G45" s="32" t="s">
        <v>73</v>
      </c>
      <c r="H45" s="32" t="s">
        <v>73</v>
      </c>
      <c r="I45" s="32" t="s">
        <v>73</v>
      </c>
      <c r="J45" s="32" t="s">
        <v>73</v>
      </c>
      <c r="K45" s="32" t="s">
        <v>73</v>
      </c>
      <c r="L45" s="32" t="s">
        <v>73</v>
      </c>
      <c r="M45" s="32" t="s">
        <v>73</v>
      </c>
      <c r="N45" s="32" t="s">
        <v>73</v>
      </c>
      <c r="O45" s="32" t="s">
        <v>73</v>
      </c>
      <c r="P45" s="32" t="s">
        <v>73</v>
      </c>
      <c r="Q45" s="32" t="s">
        <v>73</v>
      </c>
      <c r="R45" s="32" t="s">
        <v>73</v>
      </c>
      <c r="S45" s="32" t="s">
        <v>73</v>
      </c>
      <c r="T45" s="32" t="s">
        <v>73</v>
      </c>
      <c r="U45" s="32" t="s">
        <v>73</v>
      </c>
      <c r="V45" s="32" t="s">
        <v>73</v>
      </c>
      <c r="W45" s="32" t="s">
        <v>73</v>
      </c>
      <c r="X45" s="32" t="s">
        <v>73</v>
      </c>
    </row>
    <row r="46" spans="1:24" x14ac:dyDescent="0.2">
      <c r="A46" s="7" t="s">
        <v>397</v>
      </c>
      <c r="B46" s="30">
        <v>75068.97</v>
      </c>
      <c r="C46" s="30">
        <v>-47849.13</v>
      </c>
      <c r="D46" s="30">
        <v>-66477.649999999994</v>
      </c>
      <c r="E46" s="30">
        <v>-87248.68</v>
      </c>
      <c r="F46" s="30">
        <v>120426.18</v>
      </c>
      <c r="G46" s="30">
        <v>-64262.35</v>
      </c>
      <c r="H46" s="30">
        <v>22367.72</v>
      </c>
      <c r="I46" s="30">
        <v>-64488.29</v>
      </c>
      <c r="J46" s="30">
        <v>-68205.56</v>
      </c>
      <c r="K46" s="30">
        <v>-90600.48</v>
      </c>
      <c r="L46" s="30">
        <v>35521.74</v>
      </c>
      <c r="M46" s="30">
        <v>297611.53000000003</v>
      </c>
      <c r="N46" s="30">
        <v>-8348.7800000000007</v>
      </c>
      <c r="O46" s="30">
        <v>7557.64</v>
      </c>
      <c r="P46" s="30">
        <v>-258248.59</v>
      </c>
      <c r="Q46" s="30">
        <v>-92660.18</v>
      </c>
      <c r="R46" s="30">
        <v>-39631.120000000003</v>
      </c>
      <c r="S46" s="30">
        <v>-63729.99</v>
      </c>
      <c r="T46" s="30">
        <v>-82555.38</v>
      </c>
      <c r="U46" s="30">
        <v>-34532.32</v>
      </c>
      <c r="V46" s="30">
        <v>-19262.75</v>
      </c>
      <c r="W46" s="30">
        <v>-29323.17</v>
      </c>
      <c r="X46" s="30">
        <v>-558870.64</v>
      </c>
    </row>
    <row r="47" spans="1:24" x14ac:dyDescent="0.2">
      <c r="A47" s="7" t="s">
        <v>398</v>
      </c>
      <c r="B47" s="30">
        <v>107999.21</v>
      </c>
      <c r="C47" s="30">
        <v>10243.33</v>
      </c>
      <c r="D47" s="30">
        <v>-60641.36</v>
      </c>
      <c r="E47" s="30">
        <v>-48943.96</v>
      </c>
      <c r="F47" s="30">
        <v>114845.51</v>
      </c>
      <c r="G47" s="30">
        <v>-80919.66</v>
      </c>
      <c r="H47" s="30">
        <v>-64163.25</v>
      </c>
      <c r="I47" s="30">
        <v>-82488.58</v>
      </c>
      <c r="J47" s="30">
        <v>-117681.9</v>
      </c>
      <c r="K47" s="30">
        <v>-183075.61</v>
      </c>
      <c r="L47" s="30">
        <v>106060.98</v>
      </c>
      <c r="M47" s="30">
        <v>239420.72</v>
      </c>
      <c r="N47" s="30">
        <v>-39579.5</v>
      </c>
      <c r="O47" s="30">
        <v>-66719.7</v>
      </c>
      <c r="P47" s="30">
        <v>-231610.28</v>
      </c>
      <c r="Q47" s="30">
        <v>-27746.79</v>
      </c>
      <c r="R47" s="30">
        <v>-12588.44</v>
      </c>
      <c r="S47" s="30">
        <v>-16619.14</v>
      </c>
      <c r="T47" s="30">
        <v>-79599.66</v>
      </c>
      <c r="U47" s="30">
        <v>-1126.75</v>
      </c>
      <c r="V47" s="30">
        <v>15340.57</v>
      </c>
      <c r="W47" s="30">
        <v>-31752.93</v>
      </c>
      <c r="X47" s="30">
        <v>-551347.18999999994</v>
      </c>
    </row>
    <row r="48" spans="1:24" x14ac:dyDescent="0.2">
      <c r="A48" s="7" t="s">
        <v>399</v>
      </c>
      <c r="B48" s="31">
        <v>183068.18</v>
      </c>
      <c r="C48" s="31">
        <v>-37605.800000000003</v>
      </c>
      <c r="D48" s="31">
        <v>-127119.01</v>
      </c>
      <c r="E48" s="31">
        <v>-136192.64000000001</v>
      </c>
      <c r="F48" s="31">
        <v>235271.69</v>
      </c>
      <c r="G48" s="31">
        <v>-145182.01</v>
      </c>
      <c r="H48" s="31">
        <v>-41795.53</v>
      </c>
      <c r="I48" s="31">
        <v>-146976.87</v>
      </c>
      <c r="J48" s="31">
        <v>-185887.46</v>
      </c>
      <c r="K48" s="31">
        <v>-273676.09000000003</v>
      </c>
      <c r="L48" s="31">
        <v>141582.72</v>
      </c>
      <c r="M48" s="31">
        <v>537032.25</v>
      </c>
      <c r="N48" s="31">
        <v>-47928.28</v>
      </c>
      <c r="O48" s="31">
        <v>-59162.06</v>
      </c>
      <c r="P48" s="31">
        <v>-489858.87</v>
      </c>
      <c r="Q48" s="31">
        <v>-120406.97</v>
      </c>
      <c r="R48" s="31">
        <v>-52219.56</v>
      </c>
      <c r="S48" s="31">
        <v>-80349.13</v>
      </c>
      <c r="T48" s="31">
        <v>-162155.04</v>
      </c>
      <c r="U48" s="31">
        <v>-35659.07</v>
      </c>
      <c r="V48" s="31">
        <v>-3922.18</v>
      </c>
      <c r="W48" s="31">
        <v>-61076.1</v>
      </c>
      <c r="X48" s="31">
        <v>-1110217.83</v>
      </c>
    </row>
    <row r="49" spans="1:24" ht="13.5" thickBot="1" x14ac:dyDescent="0.25">
      <c r="A49" s="29" t="s">
        <v>400</v>
      </c>
      <c r="B49" s="34">
        <v>1399320.79</v>
      </c>
      <c r="C49" s="34">
        <v>715710.68</v>
      </c>
      <c r="D49" s="34">
        <v>573916.42000000004</v>
      </c>
      <c r="E49" s="34">
        <v>578402.47</v>
      </c>
      <c r="F49" s="34">
        <v>1318059.47</v>
      </c>
      <c r="G49" s="34">
        <v>612087.5</v>
      </c>
      <c r="H49" s="34">
        <v>591094.77</v>
      </c>
      <c r="I49" s="34">
        <v>428142.52</v>
      </c>
      <c r="J49" s="34">
        <v>291478.38</v>
      </c>
      <c r="K49" s="34">
        <v>416179.11</v>
      </c>
      <c r="L49" s="34">
        <v>968201.4</v>
      </c>
      <c r="M49" s="34">
        <v>2026976.81</v>
      </c>
      <c r="N49" s="34">
        <v>915736.25</v>
      </c>
      <c r="O49" s="34">
        <v>1036203.56</v>
      </c>
      <c r="P49" s="34">
        <v>274009.52</v>
      </c>
      <c r="Q49" s="34">
        <v>681307.45</v>
      </c>
      <c r="R49" s="34">
        <v>59170.17</v>
      </c>
      <c r="S49" s="34">
        <v>32874.31</v>
      </c>
      <c r="T49" s="34">
        <v>-67051.27</v>
      </c>
      <c r="U49" s="34">
        <v>111364.78</v>
      </c>
      <c r="V49" s="34">
        <v>115093.69</v>
      </c>
      <c r="W49" s="34">
        <v>-54103.35</v>
      </c>
      <c r="X49" s="34">
        <v>13024175.43</v>
      </c>
    </row>
    <row r="50" spans="1:24" ht="13.5" thickTop="1" x14ac:dyDescent="0.2">
      <c r="A50" s="2" t="s">
        <v>6</v>
      </c>
    </row>
    <row r="51" spans="1:24" x14ac:dyDescent="0.2">
      <c r="A51" s="2" t="s">
        <v>6</v>
      </c>
    </row>
    <row r="52" spans="1:24" x14ac:dyDescent="0.2">
      <c r="A52" s="7" t="s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tabSelected="1" workbookViewId="0">
      <selection activeCell="C12" sqref="C12:X12"/>
    </sheetView>
  </sheetViews>
  <sheetFormatPr defaultColWidth="9.140625" defaultRowHeight="12.75" x14ac:dyDescent="0.2"/>
  <cols>
    <col min="1" max="1" width="45.8554687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6.42578125" style="1" customWidth="1"/>
    <col min="20" max="20" width="13.5703125" style="1" customWidth="1"/>
    <col min="21" max="21" width="13.140625" style="1" customWidth="1"/>
    <col min="22" max="22" width="13.85546875" style="1" customWidth="1"/>
    <col min="23" max="23" width="14" style="1" customWidth="1"/>
    <col min="24" max="24" width="14.5703125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0</v>
      </c>
    </row>
    <row r="2" spans="1:24" ht="18" x14ac:dyDescent="0.25">
      <c r="A2" s="3" t="s">
        <v>1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</row>
    <row r="8" spans="1:24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31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33</v>
      </c>
      <c r="B12" s="9">
        <v>6621405</v>
      </c>
      <c r="C12" s="9">
        <v>478072</v>
      </c>
      <c r="D12" s="9">
        <v>354285</v>
      </c>
      <c r="E12" s="9">
        <v>270584</v>
      </c>
      <c r="F12" s="9">
        <v>302578</v>
      </c>
      <c r="G12" s="9">
        <v>413465</v>
      </c>
      <c r="H12" s="9">
        <v>255527</v>
      </c>
      <c r="I12" s="9">
        <v>194828</v>
      </c>
      <c r="J12" s="9">
        <v>272283</v>
      </c>
      <c r="K12" s="9">
        <v>204850</v>
      </c>
      <c r="L12" s="9">
        <v>275908</v>
      </c>
      <c r="M12" s="9">
        <v>470221</v>
      </c>
      <c r="N12" s="9">
        <v>936003</v>
      </c>
      <c r="O12" s="9">
        <v>476203</v>
      </c>
      <c r="P12" s="9">
        <v>498769</v>
      </c>
      <c r="Q12" s="9">
        <v>313861</v>
      </c>
      <c r="R12" s="9">
        <v>396719</v>
      </c>
      <c r="S12" s="9">
        <v>119425</v>
      </c>
      <c r="T12" s="9">
        <v>110690</v>
      </c>
      <c r="U12" s="9">
        <v>62350</v>
      </c>
      <c r="V12" s="9">
        <v>133393</v>
      </c>
      <c r="W12" s="9">
        <v>81388</v>
      </c>
      <c r="X12" s="9">
        <v>0</v>
      </c>
    </row>
    <row r="13" spans="1:24" x14ac:dyDescent="0.2">
      <c r="A13" s="4" t="s">
        <v>34</v>
      </c>
      <c r="B13" s="9">
        <v>379847</v>
      </c>
      <c r="C13" s="9">
        <v>27552</v>
      </c>
      <c r="D13" s="9">
        <v>13632</v>
      </c>
      <c r="E13" s="9">
        <v>23290</v>
      </c>
      <c r="F13" s="9">
        <v>20602</v>
      </c>
      <c r="G13" s="9">
        <v>20045</v>
      </c>
      <c r="H13" s="9">
        <v>18720</v>
      </c>
      <c r="I13" s="9">
        <v>6317</v>
      </c>
      <c r="J13" s="9">
        <v>22022</v>
      </c>
      <c r="K13" s="9">
        <v>17030</v>
      </c>
      <c r="L13" s="9">
        <v>14515</v>
      </c>
      <c r="M13" s="9">
        <v>20966</v>
      </c>
      <c r="N13" s="9">
        <v>60634</v>
      </c>
      <c r="O13" s="9">
        <v>37901</v>
      </c>
      <c r="P13" s="9">
        <v>35302</v>
      </c>
      <c r="Q13" s="9">
        <v>20026</v>
      </c>
      <c r="R13" s="9">
        <v>21293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1:24" x14ac:dyDescent="0.2">
      <c r="A14" s="4" t="s">
        <v>35</v>
      </c>
      <c r="B14" s="9">
        <v>279975</v>
      </c>
      <c r="C14" s="9">
        <v>29307</v>
      </c>
      <c r="D14" s="9">
        <v>33407</v>
      </c>
      <c r="E14" s="9">
        <v>851</v>
      </c>
      <c r="F14" s="9">
        <v>23065</v>
      </c>
      <c r="G14" s="9">
        <v>31502</v>
      </c>
      <c r="H14" s="9">
        <v>12343</v>
      </c>
      <c r="I14" s="9">
        <v>13095</v>
      </c>
      <c r="J14" s="9">
        <v>12522</v>
      </c>
      <c r="K14" s="9">
        <v>2057</v>
      </c>
      <c r="L14" s="9">
        <v>6635</v>
      </c>
      <c r="M14" s="9">
        <v>28075</v>
      </c>
      <c r="N14" s="9">
        <v>15912</v>
      </c>
      <c r="O14" s="9">
        <v>13688</v>
      </c>
      <c r="P14" s="9">
        <v>22535</v>
      </c>
      <c r="Q14" s="9">
        <v>19204</v>
      </c>
      <c r="R14" s="9">
        <v>15626</v>
      </c>
      <c r="S14" s="9">
        <v>0</v>
      </c>
      <c r="T14" s="9">
        <v>149</v>
      </c>
      <c r="U14" s="9">
        <v>0</v>
      </c>
      <c r="V14" s="9">
        <v>0</v>
      </c>
      <c r="W14" s="9">
        <v>0</v>
      </c>
      <c r="X14" s="9">
        <v>0</v>
      </c>
    </row>
    <row r="15" spans="1:24" x14ac:dyDescent="0.2">
      <c r="A15" s="4" t="s">
        <v>36</v>
      </c>
      <c r="B15" s="10">
        <v>5961583</v>
      </c>
      <c r="C15" s="10">
        <v>421213</v>
      </c>
      <c r="D15" s="10">
        <v>307246</v>
      </c>
      <c r="E15" s="10">
        <v>246443</v>
      </c>
      <c r="F15" s="10">
        <v>258911</v>
      </c>
      <c r="G15" s="10">
        <v>361918</v>
      </c>
      <c r="H15" s="10">
        <v>224464</v>
      </c>
      <c r="I15" s="10">
        <v>175416</v>
      </c>
      <c r="J15" s="10">
        <v>237739</v>
      </c>
      <c r="K15" s="10">
        <v>185763</v>
      </c>
      <c r="L15" s="10">
        <v>254758</v>
      </c>
      <c r="M15" s="10">
        <v>421180</v>
      </c>
      <c r="N15" s="10">
        <v>859457</v>
      </c>
      <c r="O15" s="10">
        <v>424614</v>
      </c>
      <c r="P15" s="10">
        <v>440932</v>
      </c>
      <c r="Q15" s="10">
        <v>274631</v>
      </c>
      <c r="R15" s="10">
        <v>359800</v>
      </c>
      <c r="S15" s="10">
        <v>119425</v>
      </c>
      <c r="T15" s="10">
        <v>110541</v>
      </c>
      <c r="U15" s="10">
        <v>62350</v>
      </c>
      <c r="V15" s="10">
        <v>133393</v>
      </c>
      <c r="W15" s="10">
        <v>81388</v>
      </c>
      <c r="X15" s="10">
        <v>0</v>
      </c>
    </row>
    <row r="16" spans="1:24" x14ac:dyDescent="0.2">
      <c r="A16" s="4" t="s">
        <v>37</v>
      </c>
      <c r="B16" s="4" t="s">
        <v>32</v>
      </c>
      <c r="C16" s="4" t="s">
        <v>32</v>
      </c>
      <c r="D16" s="4" t="s">
        <v>32</v>
      </c>
      <c r="E16" s="4" t="s">
        <v>32</v>
      </c>
      <c r="F16" s="4" t="s">
        <v>32</v>
      </c>
      <c r="G16" s="4" t="s">
        <v>32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4" t="s">
        <v>32</v>
      </c>
      <c r="N16" s="4" t="s">
        <v>32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32</v>
      </c>
      <c r="W16" s="4" t="s">
        <v>32</v>
      </c>
      <c r="X16" s="4" t="s">
        <v>32</v>
      </c>
    </row>
    <row r="17" spans="1:24" x14ac:dyDescent="0.2">
      <c r="A17" s="4" t="s">
        <v>38</v>
      </c>
      <c r="B17" s="9">
        <v>2865384</v>
      </c>
      <c r="C17" s="9">
        <v>168358</v>
      </c>
      <c r="D17" s="9">
        <v>124764</v>
      </c>
      <c r="E17" s="9">
        <v>134949</v>
      </c>
      <c r="F17" s="9">
        <v>117291</v>
      </c>
      <c r="G17" s="9">
        <v>147934</v>
      </c>
      <c r="H17" s="9">
        <v>114581</v>
      </c>
      <c r="I17" s="9">
        <v>89717</v>
      </c>
      <c r="J17" s="9">
        <v>148504</v>
      </c>
      <c r="K17" s="9">
        <v>139406</v>
      </c>
      <c r="L17" s="9">
        <v>182911</v>
      </c>
      <c r="M17" s="9">
        <v>169771</v>
      </c>
      <c r="N17" s="9">
        <v>366944</v>
      </c>
      <c r="O17" s="9">
        <v>221342</v>
      </c>
      <c r="P17" s="9">
        <v>214783</v>
      </c>
      <c r="Q17" s="9">
        <v>159340</v>
      </c>
      <c r="R17" s="9">
        <v>176489</v>
      </c>
      <c r="S17" s="9">
        <v>61698</v>
      </c>
      <c r="T17" s="9">
        <v>39346</v>
      </c>
      <c r="U17" s="9">
        <v>28935</v>
      </c>
      <c r="V17" s="9">
        <v>48865</v>
      </c>
      <c r="W17" s="9">
        <v>10212</v>
      </c>
      <c r="X17" s="9">
        <v>-756</v>
      </c>
    </row>
    <row r="18" spans="1:24" x14ac:dyDescent="0.2">
      <c r="A18" s="4" t="s">
        <v>39</v>
      </c>
      <c r="B18" s="9">
        <v>243365</v>
      </c>
      <c r="C18" s="9">
        <v>15200</v>
      </c>
      <c r="D18" s="9">
        <v>14590</v>
      </c>
      <c r="E18" s="9">
        <v>13444</v>
      </c>
      <c r="F18" s="9">
        <v>15361</v>
      </c>
      <c r="G18" s="9">
        <v>10615</v>
      </c>
      <c r="H18" s="9">
        <v>16681</v>
      </c>
      <c r="I18" s="9">
        <v>5787</v>
      </c>
      <c r="J18" s="9">
        <v>7808</v>
      </c>
      <c r="K18" s="9">
        <v>9133</v>
      </c>
      <c r="L18" s="9">
        <v>11211</v>
      </c>
      <c r="M18" s="9">
        <v>11809</v>
      </c>
      <c r="N18" s="9">
        <v>34632</v>
      </c>
      <c r="O18" s="9">
        <v>10071</v>
      </c>
      <c r="P18" s="9">
        <v>18889</v>
      </c>
      <c r="Q18" s="9">
        <v>15487</v>
      </c>
      <c r="R18" s="9">
        <v>20328</v>
      </c>
      <c r="S18" s="9">
        <v>2787</v>
      </c>
      <c r="T18" s="9">
        <v>3222</v>
      </c>
      <c r="U18" s="9">
        <v>1748</v>
      </c>
      <c r="V18" s="9">
        <v>3330</v>
      </c>
      <c r="W18" s="9">
        <v>1228</v>
      </c>
      <c r="X18" s="9">
        <v>0</v>
      </c>
    </row>
    <row r="19" spans="1:24" x14ac:dyDescent="0.2">
      <c r="A19" s="4" t="s">
        <v>40</v>
      </c>
      <c r="B19" s="9">
        <v>361964</v>
      </c>
      <c r="C19" s="9">
        <v>14175</v>
      </c>
      <c r="D19" s="9">
        <v>21388</v>
      </c>
      <c r="E19" s="9">
        <v>13769</v>
      </c>
      <c r="F19" s="9">
        <v>9625</v>
      </c>
      <c r="G19" s="9">
        <v>12708</v>
      </c>
      <c r="H19" s="9">
        <v>20452</v>
      </c>
      <c r="I19" s="9">
        <v>16785</v>
      </c>
      <c r="J19" s="9">
        <v>15820</v>
      </c>
      <c r="K19" s="9">
        <v>12603</v>
      </c>
      <c r="L19" s="9">
        <v>20947</v>
      </c>
      <c r="M19" s="9">
        <v>12785</v>
      </c>
      <c r="N19" s="9">
        <v>32911</v>
      </c>
      <c r="O19" s="9">
        <v>32355</v>
      </c>
      <c r="P19" s="9">
        <v>35751</v>
      </c>
      <c r="Q19" s="9">
        <v>17763</v>
      </c>
      <c r="R19" s="9">
        <v>16722</v>
      </c>
      <c r="S19" s="9">
        <v>2685</v>
      </c>
      <c r="T19" s="9">
        <v>12247</v>
      </c>
      <c r="U19" s="9">
        <v>17548</v>
      </c>
      <c r="V19" s="9">
        <v>13064</v>
      </c>
      <c r="W19" s="9">
        <v>9790</v>
      </c>
      <c r="X19" s="9">
        <v>75</v>
      </c>
    </row>
    <row r="20" spans="1:24" x14ac:dyDescent="0.2">
      <c r="A20" s="4" t="s">
        <v>41</v>
      </c>
      <c r="B20" s="9">
        <v>563182</v>
      </c>
      <c r="C20" s="9">
        <v>30657</v>
      </c>
      <c r="D20" s="9">
        <v>28854</v>
      </c>
      <c r="E20" s="9">
        <v>30513</v>
      </c>
      <c r="F20" s="9">
        <v>23681</v>
      </c>
      <c r="G20" s="9">
        <v>27779</v>
      </c>
      <c r="H20" s="9">
        <v>21503</v>
      </c>
      <c r="I20" s="9">
        <v>18588</v>
      </c>
      <c r="J20" s="9">
        <v>28794</v>
      </c>
      <c r="K20" s="9">
        <v>23299</v>
      </c>
      <c r="L20" s="9">
        <v>31966</v>
      </c>
      <c r="M20" s="9">
        <v>31888</v>
      </c>
      <c r="N20" s="9">
        <v>67524</v>
      </c>
      <c r="O20" s="9">
        <v>37725</v>
      </c>
      <c r="P20" s="9">
        <v>33243</v>
      </c>
      <c r="Q20" s="9">
        <v>30007</v>
      </c>
      <c r="R20" s="9">
        <v>33480</v>
      </c>
      <c r="S20" s="9">
        <v>4286</v>
      </c>
      <c r="T20" s="9">
        <v>16290</v>
      </c>
      <c r="U20" s="9">
        <v>11336</v>
      </c>
      <c r="V20" s="9">
        <v>19656</v>
      </c>
      <c r="W20" s="9">
        <v>12112</v>
      </c>
      <c r="X20" s="9">
        <v>0</v>
      </c>
    </row>
    <row r="21" spans="1:24" x14ac:dyDescent="0.2">
      <c r="A21" s="4" t="s">
        <v>42</v>
      </c>
      <c r="B21" s="9">
        <v>406421</v>
      </c>
      <c r="C21" s="9">
        <v>31100</v>
      </c>
      <c r="D21" s="9">
        <v>21940</v>
      </c>
      <c r="E21" s="9">
        <v>21898</v>
      </c>
      <c r="F21" s="9">
        <v>17119</v>
      </c>
      <c r="G21" s="9">
        <v>20676</v>
      </c>
      <c r="H21" s="9">
        <v>19499</v>
      </c>
      <c r="I21" s="9">
        <v>16863</v>
      </c>
      <c r="J21" s="9">
        <v>16428</v>
      </c>
      <c r="K21" s="9">
        <v>12284</v>
      </c>
      <c r="L21" s="9">
        <v>19340</v>
      </c>
      <c r="M21" s="9">
        <v>23940</v>
      </c>
      <c r="N21" s="9">
        <v>39534</v>
      </c>
      <c r="O21" s="9">
        <v>28005</v>
      </c>
      <c r="P21" s="9">
        <v>29675</v>
      </c>
      <c r="Q21" s="9">
        <v>24326</v>
      </c>
      <c r="R21" s="9">
        <v>23810</v>
      </c>
      <c r="S21" s="9">
        <v>18450</v>
      </c>
      <c r="T21" s="9">
        <v>4252</v>
      </c>
      <c r="U21" s="9">
        <v>5585</v>
      </c>
      <c r="V21" s="9">
        <v>9473</v>
      </c>
      <c r="W21" s="9">
        <v>2224</v>
      </c>
      <c r="X21" s="9">
        <v>0</v>
      </c>
    </row>
    <row r="22" spans="1:24" x14ac:dyDescent="0.2">
      <c r="A22" s="4" t="s">
        <v>43</v>
      </c>
      <c r="B22" s="9">
        <v>65130</v>
      </c>
      <c r="C22" s="9">
        <v>568</v>
      </c>
      <c r="D22" s="9">
        <v>-347</v>
      </c>
      <c r="E22" s="9">
        <v>3381</v>
      </c>
      <c r="F22" s="9">
        <v>385</v>
      </c>
      <c r="G22" s="9">
        <v>5556</v>
      </c>
      <c r="H22" s="9">
        <v>1355</v>
      </c>
      <c r="I22" s="9">
        <v>88</v>
      </c>
      <c r="J22" s="9">
        <v>8112</v>
      </c>
      <c r="K22" s="9">
        <v>2366</v>
      </c>
      <c r="L22" s="9">
        <v>8664</v>
      </c>
      <c r="M22" s="9">
        <v>5494</v>
      </c>
      <c r="N22" s="9">
        <v>7392</v>
      </c>
      <c r="O22" s="9">
        <v>12176</v>
      </c>
      <c r="P22" s="9">
        <v>2130</v>
      </c>
      <c r="Q22" s="9">
        <v>6820</v>
      </c>
      <c r="R22" s="9">
        <v>667</v>
      </c>
      <c r="S22" s="9">
        <v>53</v>
      </c>
      <c r="T22" s="9">
        <v>0</v>
      </c>
      <c r="U22" s="9">
        <v>211</v>
      </c>
      <c r="V22" s="9">
        <v>0</v>
      </c>
      <c r="W22" s="9">
        <v>59</v>
      </c>
      <c r="X22" s="9">
        <v>0</v>
      </c>
    </row>
    <row r="23" spans="1:24" x14ac:dyDescent="0.2">
      <c r="A23" s="4" t="s">
        <v>44</v>
      </c>
      <c r="B23" s="10">
        <v>4505446</v>
      </c>
      <c r="C23" s="10">
        <v>260058</v>
      </c>
      <c r="D23" s="10">
        <v>211189</v>
      </c>
      <c r="E23" s="10">
        <v>217954</v>
      </c>
      <c r="F23" s="10">
        <v>183462</v>
      </c>
      <c r="G23" s="10">
        <v>225268</v>
      </c>
      <c r="H23" s="10">
        <v>194071</v>
      </c>
      <c r="I23" s="10">
        <v>147828</v>
      </c>
      <c r="J23" s="10">
        <v>225466</v>
      </c>
      <c r="K23" s="10">
        <v>199091</v>
      </c>
      <c r="L23" s="10">
        <v>275039</v>
      </c>
      <c r="M23" s="10">
        <v>255687</v>
      </c>
      <c r="N23" s="10">
        <v>548937</v>
      </c>
      <c r="O23" s="10">
        <v>341674</v>
      </c>
      <c r="P23" s="10">
        <v>334471</v>
      </c>
      <c r="Q23" s="10">
        <v>253743</v>
      </c>
      <c r="R23" s="10">
        <v>271496</v>
      </c>
      <c r="S23" s="10">
        <v>89959</v>
      </c>
      <c r="T23" s="10">
        <v>75357</v>
      </c>
      <c r="U23" s="10">
        <v>65363</v>
      </c>
      <c r="V23" s="10">
        <v>94388</v>
      </c>
      <c r="W23" s="10">
        <v>35625</v>
      </c>
      <c r="X23" s="10">
        <v>-681</v>
      </c>
    </row>
    <row r="24" spans="1:24" x14ac:dyDescent="0.2">
      <c r="A24" s="4" t="s">
        <v>45</v>
      </c>
      <c r="B24" s="10">
        <v>1456137</v>
      </c>
      <c r="C24" s="10">
        <v>161155</v>
      </c>
      <c r="D24" s="10">
        <v>96057</v>
      </c>
      <c r="E24" s="10">
        <v>28489</v>
      </c>
      <c r="F24" s="10">
        <v>75449</v>
      </c>
      <c r="G24" s="10">
        <v>136650</v>
      </c>
      <c r="H24" s="10">
        <v>30393</v>
      </c>
      <c r="I24" s="10">
        <v>27588</v>
      </c>
      <c r="J24" s="10">
        <v>12273</v>
      </c>
      <c r="K24" s="10">
        <v>-13328</v>
      </c>
      <c r="L24" s="10">
        <v>-20281</v>
      </c>
      <c r="M24" s="10">
        <v>165493</v>
      </c>
      <c r="N24" s="10">
        <v>310520</v>
      </c>
      <c r="O24" s="10">
        <v>82940</v>
      </c>
      <c r="P24" s="10">
        <v>106461</v>
      </c>
      <c r="Q24" s="10">
        <v>20888</v>
      </c>
      <c r="R24" s="10">
        <v>88304</v>
      </c>
      <c r="S24" s="10">
        <v>29466</v>
      </c>
      <c r="T24" s="10">
        <v>35184</v>
      </c>
      <c r="U24" s="10">
        <v>-3013</v>
      </c>
      <c r="V24" s="10">
        <v>39005</v>
      </c>
      <c r="W24" s="10">
        <v>45763</v>
      </c>
      <c r="X24" s="10">
        <v>681</v>
      </c>
    </row>
    <row r="25" spans="1:24" x14ac:dyDescent="0.2">
      <c r="A25" s="4" t="s">
        <v>46</v>
      </c>
      <c r="B25" s="9">
        <v>883277</v>
      </c>
      <c r="C25" s="9">
        <v>60234</v>
      </c>
      <c r="D25" s="9">
        <v>39339</v>
      </c>
      <c r="E25" s="9">
        <v>46797</v>
      </c>
      <c r="F25" s="9">
        <v>40826</v>
      </c>
      <c r="G25" s="9">
        <v>53155</v>
      </c>
      <c r="H25" s="9">
        <v>41511</v>
      </c>
      <c r="I25" s="9">
        <v>42370</v>
      </c>
      <c r="J25" s="9">
        <v>36885</v>
      </c>
      <c r="K25" s="9">
        <v>43166</v>
      </c>
      <c r="L25" s="9">
        <v>52339</v>
      </c>
      <c r="M25" s="9">
        <v>46832</v>
      </c>
      <c r="N25" s="9">
        <v>77201</v>
      </c>
      <c r="O25" s="9">
        <v>44309</v>
      </c>
      <c r="P25" s="9">
        <v>56699</v>
      </c>
      <c r="Q25" s="9">
        <v>60035</v>
      </c>
      <c r="R25" s="9">
        <v>49110</v>
      </c>
      <c r="S25" s="9">
        <v>19702</v>
      </c>
      <c r="T25" s="9">
        <v>14591</v>
      </c>
      <c r="U25" s="9">
        <v>16216</v>
      </c>
      <c r="V25" s="9">
        <v>25048</v>
      </c>
      <c r="W25" s="9">
        <v>13749</v>
      </c>
      <c r="X25" s="9">
        <v>3163</v>
      </c>
    </row>
    <row r="26" spans="1:24" x14ac:dyDescent="0.2">
      <c r="A26" s="4" t="s">
        <v>47</v>
      </c>
      <c r="B26" s="10">
        <v>572860</v>
      </c>
      <c r="C26" s="10">
        <v>100921</v>
      </c>
      <c r="D26" s="10">
        <v>56718</v>
      </c>
      <c r="E26" s="10">
        <v>-18308</v>
      </c>
      <c r="F26" s="10">
        <v>34623</v>
      </c>
      <c r="G26" s="10">
        <v>83495</v>
      </c>
      <c r="H26" s="10">
        <v>-11118</v>
      </c>
      <c r="I26" s="10">
        <v>-14782</v>
      </c>
      <c r="J26" s="10">
        <v>-24612</v>
      </c>
      <c r="K26" s="10">
        <v>-56494</v>
      </c>
      <c r="L26" s="10">
        <v>-72620</v>
      </c>
      <c r="M26" s="10">
        <v>118661</v>
      </c>
      <c r="N26" s="10">
        <v>233319</v>
      </c>
      <c r="O26" s="10">
        <v>38631</v>
      </c>
      <c r="P26" s="10">
        <v>49762</v>
      </c>
      <c r="Q26" s="10">
        <v>-39147</v>
      </c>
      <c r="R26" s="10">
        <v>39194</v>
      </c>
      <c r="S26" s="10">
        <v>9765</v>
      </c>
      <c r="T26" s="10">
        <v>20593</v>
      </c>
      <c r="U26" s="10">
        <v>-19229</v>
      </c>
      <c r="V26" s="10">
        <v>13957</v>
      </c>
      <c r="W26" s="10">
        <v>32014</v>
      </c>
      <c r="X26" s="10">
        <v>-2482</v>
      </c>
    </row>
    <row r="27" spans="1:24" x14ac:dyDescent="0.2">
      <c r="A27" s="4" t="s">
        <v>48</v>
      </c>
      <c r="B27" s="9">
        <v>439733</v>
      </c>
      <c r="C27" s="9">
        <v>25000</v>
      </c>
      <c r="D27" s="9">
        <v>15000</v>
      </c>
      <c r="E27" s="9">
        <v>15000</v>
      </c>
      <c r="F27" s="9">
        <v>15000</v>
      </c>
      <c r="G27" s="9">
        <v>25000</v>
      </c>
      <c r="H27" s="9">
        <v>15000</v>
      </c>
      <c r="I27" s="9">
        <v>15000</v>
      </c>
      <c r="J27" s="9">
        <v>23357</v>
      </c>
      <c r="K27" s="9">
        <v>18395</v>
      </c>
      <c r="L27" s="9">
        <v>28613</v>
      </c>
      <c r="M27" s="9">
        <v>24526</v>
      </c>
      <c r="N27" s="9">
        <v>58394</v>
      </c>
      <c r="O27" s="9">
        <v>39708</v>
      </c>
      <c r="P27" s="9">
        <v>35908</v>
      </c>
      <c r="Q27" s="9">
        <v>28333</v>
      </c>
      <c r="R27" s="9">
        <v>28334</v>
      </c>
      <c r="S27" s="9">
        <v>4172</v>
      </c>
      <c r="T27" s="9">
        <v>6287</v>
      </c>
      <c r="U27" s="9">
        <v>5381</v>
      </c>
      <c r="V27" s="9">
        <v>6891</v>
      </c>
      <c r="W27" s="9">
        <v>6437</v>
      </c>
      <c r="X27" s="9">
        <v>0</v>
      </c>
    </row>
    <row r="28" spans="1:24" x14ac:dyDescent="0.2">
      <c r="A28" s="4" t="s">
        <v>49</v>
      </c>
      <c r="B28" s="9">
        <v>121678</v>
      </c>
      <c r="C28" s="9">
        <v>4859</v>
      </c>
      <c r="D28" s="9">
        <v>7474</v>
      </c>
      <c r="E28" s="9">
        <v>3051</v>
      </c>
      <c r="F28" s="9">
        <v>3576</v>
      </c>
      <c r="G28" s="9">
        <v>4056</v>
      </c>
      <c r="H28" s="9">
        <v>479</v>
      </c>
      <c r="I28" s="9">
        <v>2365</v>
      </c>
      <c r="J28" s="9">
        <v>3147</v>
      </c>
      <c r="K28" s="9">
        <v>4120</v>
      </c>
      <c r="L28" s="9">
        <v>5416</v>
      </c>
      <c r="M28" s="9">
        <v>5315</v>
      </c>
      <c r="N28" s="9">
        <v>6985</v>
      </c>
      <c r="O28" s="9">
        <v>14277</v>
      </c>
      <c r="P28" s="9">
        <v>6319</v>
      </c>
      <c r="Q28" s="9">
        <v>7106</v>
      </c>
      <c r="R28" s="9">
        <v>11930</v>
      </c>
      <c r="S28" s="9">
        <v>4847</v>
      </c>
      <c r="T28" s="9">
        <v>4353</v>
      </c>
      <c r="U28" s="9">
        <v>6096</v>
      </c>
      <c r="V28" s="9">
        <v>5768</v>
      </c>
      <c r="W28" s="9">
        <v>8388</v>
      </c>
      <c r="X28" s="9">
        <v>1751</v>
      </c>
    </row>
    <row r="29" spans="1:24" x14ac:dyDescent="0.2">
      <c r="A29" s="4" t="s">
        <v>50</v>
      </c>
      <c r="B29" s="9">
        <v>60863</v>
      </c>
      <c r="C29" s="9">
        <v>5267</v>
      </c>
      <c r="D29" s="9">
        <v>3164</v>
      </c>
      <c r="E29" s="9">
        <v>2871</v>
      </c>
      <c r="F29" s="9">
        <v>2925</v>
      </c>
      <c r="G29" s="9">
        <v>4492</v>
      </c>
      <c r="H29" s="9">
        <v>2799</v>
      </c>
      <c r="I29" s="9">
        <v>3673</v>
      </c>
      <c r="J29" s="9">
        <v>2407</v>
      </c>
      <c r="K29" s="9">
        <v>2375</v>
      </c>
      <c r="L29" s="9">
        <v>2917</v>
      </c>
      <c r="M29" s="9">
        <v>4097</v>
      </c>
      <c r="N29" s="9">
        <v>7694</v>
      </c>
      <c r="O29" s="9">
        <v>4605</v>
      </c>
      <c r="P29" s="9">
        <v>5529</v>
      </c>
      <c r="Q29" s="9">
        <v>1754</v>
      </c>
      <c r="R29" s="9">
        <v>4134</v>
      </c>
      <c r="S29" s="9">
        <v>0</v>
      </c>
      <c r="T29" s="9">
        <v>0</v>
      </c>
      <c r="U29" s="9">
        <v>0</v>
      </c>
      <c r="V29" s="9">
        <v>66</v>
      </c>
      <c r="W29" s="9">
        <v>92</v>
      </c>
      <c r="X29" s="9">
        <v>0</v>
      </c>
    </row>
    <row r="30" spans="1:24" x14ac:dyDescent="0.2">
      <c r="A30" s="4" t="s">
        <v>51</v>
      </c>
      <c r="B30" s="9">
        <v>298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34</v>
      </c>
      <c r="N30" s="9">
        <v>82</v>
      </c>
      <c r="O30" s="9">
        <v>0</v>
      </c>
      <c r="P30" s="9">
        <v>56</v>
      </c>
      <c r="Q30" s="9">
        <v>0</v>
      </c>
      <c r="R30" s="9">
        <v>0</v>
      </c>
      <c r="S30" s="9">
        <v>32</v>
      </c>
      <c r="T30" s="9">
        <v>0</v>
      </c>
      <c r="U30" s="9">
        <v>0</v>
      </c>
      <c r="V30" s="9">
        <v>52</v>
      </c>
      <c r="W30" s="9">
        <v>42</v>
      </c>
      <c r="X30" s="9">
        <v>0</v>
      </c>
    </row>
    <row r="31" spans="1:24" x14ac:dyDescent="0.2">
      <c r="A31" s="4" t="s">
        <v>52</v>
      </c>
      <c r="B31" s="9">
        <v>15725</v>
      </c>
      <c r="C31" s="9">
        <v>1228</v>
      </c>
      <c r="D31" s="9">
        <v>329</v>
      </c>
      <c r="E31" s="9">
        <v>1262</v>
      </c>
      <c r="F31" s="9">
        <v>237</v>
      </c>
      <c r="G31" s="9">
        <v>425</v>
      </c>
      <c r="H31" s="9">
        <v>1206</v>
      </c>
      <c r="I31" s="9">
        <v>462</v>
      </c>
      <c r="J31" s="9">
        <v>1212</v>
      </c>
      <c r="K31" s="9">
        <v>502</v>
      </c>
      <c r="L31" s="9">
        <v>592</v>
      </c>
      <c r="M31" s="9">
        <v>606</v>
      </c>
      <c r="N31" s="9">
        <v>506</v>
      </c>
      <c r="O31" s="9">
        <v>811</v>
      </c>
      <c r="P31" s="9">
        <v>2525</v>
      </c>
      <c r="Q31" s="9">
        <v>1232</v>
      </c>
      <c r="R31" s="9">
        <v>831</v>
      </c>
      <c r="S31" s="9">
        <v>235</v>
      </c>
      <c r="T31" s="9">
        <v>357</v>
      </c>
      <c r="U31" s="9">
        <v>218</v>
      </c>
      <c r="V31" s="9">
        <v>369</v>
      </c>
      <c r="W31" s="9">
        <v>580</v>
      </c>
      <c r="X31" s="9">
        <v>0</v>
      </c>
    </row>
    <row r="32" spans="1:24" x14ac:dyDescent="0.2">
      <c r="A32" s="4" t="s">
        <v>53</v>
      </c>
      <c r="B32" s="9">
        <v>14132</v>
      </c>
      <c r="C32" s="9">
        <v>832</v>
      </c>
      <c r="D32" s="9">
        <v>831</v>
      </c>
      <c r="E32" s="9">
        <v>832</v>
      </c>
      <c r="F32" s="9">
        <v>832</v>
      </c>
      <c r="G32" s="9">
        <v>832</v>
      </c>
      <c r="H32" s="9">
        <v>831</v>
      </c>
      <c r="I32" s="9">
        <v>832</v>
      </c>
      <c r="J32" s="9">
        <v>838</v>
      </c>
      <c r="K32" s="9">
        <v>839</v>
      </c>
      <c r="L32" s="9">
        <v>839</v>
      </c>
      <c r="M32" s="9">
        <v>839</v>
      </c>
      <c r="N32" s="9">
        <v>839</v>
      </c>
      <c r="O32" s="9">
        <v>839</v>
      </c>
      <c r="P32" s="9">
        <v>839</v>
      </c>
      <c r="Q32" s="9">
        <v>1198</v>
      </c>
      <c r="R32" s="9">
        <v>1242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</row>
    <row r="33" spans="1:24" x14ac:dyDescent="0.2">
      <c r="A33" s="4" t="s">
        <v>54</v>
      </c>
      <c r="B33" s="10">
        <v>652429</v>
      </c>
      <c r="C33" s="10">
        <v>37186</v>
      </c>
      <c r="D33" s="10">
        <v>26798</v>
      </c>
      <c r="E33" s="10">
        <v>23016</v>
      </c>
      <c r="F33" s="10">
        <v>22570</v>
      </c>
      <c r="G33" s="10">
        <v>34805</v>
      </c>
      <c r="H33" s="10">
        <v>20315</v>
      </c>
      <c r="I33" s="10">
        <v>22332</v>
      </c>
      <c r="J33" s="10">
        <v>30961</v>
      </c>
      <c r="K33" s="10">
        <v>26231</v>
      </c>
      <c r="L33" s="10">
        <v>38377</v>
      </c>
      <c r="M33" s="10">
        <v>35417</v>
      </c>
      <c r="N33" s="10">
        <v>74500</v>
      </c>
      <c r="O33" s="10">
        <v>60240</v>
      </c>
      <c r="P33" s="10">
        <v>51176</v>
      </c>
      <c r="Q33" s="10">
        <v>39623</v>
      </c>
      <c r="R33" s="10">
        <v>46471</v>
      </c>
      <c r="S33" s="10">
        <v>9286</v>
      </c>
      <c r="T33" s="10">
        <v>10997</v>
      </c>
      <c r="U33" s="10">
        <v>11695</v>
      </c>
      <c r="V33" s="10">
        <v>13146</v>
      </c>
      <c r="W33" s="10">
        <v>15539</v>
      </c>
      <c r="X33" s="10">
        <v>1751</v>
      </c>
    </row>
    <row r="34" spans="1:24" x14ac:dyDescent="0.2">
      <c r="A34" s="4" t="s">
        <v>55</v>
      </c>
      <c r="B34" s="10">
        <v>-79569</v>
      </c>
      <c r="C34" s="10">
        <v>63735</v>
      </c>
      <c r="D34" s="10">
        <v>29920</v>
      </c>
      <c r="E34" s="10">
        <v>-41324</v>
      </c>
      <c r="F34" s="10">
        <v>12053</v>
      </c>
      <c r="G34" s="10">
        <v>48690</v>
      </c>
      <c r="H34" s="10">
        <v>-31433</v>
      </c>
      <c r="I34" s="10">
        <v>-37114</v>
      </c>
      <c r="J34" s="10">
        <v>-55573</v>
      </c>
      <c r="K34" s="10">
        <v>-82725</v>
      </c>
      <c r="L34" s="10">
        <v>-110997</v>
      </c>
      <c r="M34" s="10">
        <v>83244</v>
      </c>
      <c r="N34" s="10">
        <v>158819</v>
      </c>
      <c r="O34" s="10">
        <v>-21609</v>
      </c>
      <c r="P34" s="10">
        <v>-1414</v>
      </c>
      <c r="Q34" s="10">
        <v>-78770</v>
      </c>
      <c r="R34" s="10">
        <v>-7277</v>
      </c>
      <c r="S34" s="10">
        <v>479</v>
      </c>
      <c r="T34" s="10">
        <v>9596</v>
      </c>
      <c r="U34" s="10">
        <v>-30924</v>
      </c>
      <c r="V34" s="10">
        <v>811</v>
      </c>
      <c r="W34" s="10">
        <v>16475</v>
      </c>
      <c r="X34" s="10">
        <v>-4233</v>
      </c>
    </row>
    <row r="35" spans="1:24" x14ac:dyDescent="0.2">
      <c r="A35" s="4" t="s">
        <v>56</v>
      </c>
      <c r="B35" s="9">
        <v>331070</v>
      </c>
      <c r="C35" s="9">
        <v>23903</v>
      </c>
      <c r="D35" s="9">
        <v>17715</v>
      </c>
      <c r="E35" s="9">
        <v>13529</v>
      </c>
      <c r="F35" s="9">
        <v>15129</v>
      </c>
      <c r="G35" s="9">
        <v>20673</v>
      </c>
      <c r="H35" s="9">
        <v>12777</v>
      </c>
      <c r="I35" s="9">
        <v>9741</v>
      </c>
      <c r="J35" s="9">
        <v>13615</v>
      </c>
      <c r="K35" s="9">
        <v>10242</v>
      </c>
      <c r="L35" s="9">
        <v>13795</v>
      </c>
      <c r="M35" s="9">
        <v>23511</v>
      </c>
      <c r="N35" s="9">
        <v>46800</v>
      </c>
      <c r="O35" s="9">
        <v>23810</v>
      </c>
      <c r="P35" s="9">
        <v>24938</v>
      </c>
      <c r="Q35" s="9">
        <v>15693</v>
      </c>
      <c r="R35" s="9">
        <v>19836</v>
      </c>
      <c r="S35" s="9">
        <v>5971</v>
      </c>
      <c r="T35" s="9">
        <v>5535</v>
      </c>
      <c r="U35" s="9">
        <v>3117</v>
      </c>
      <c r="V35" s="9">
        <v>6670</v>
      </c>
      <c r="W35" s="9">
        <v>4069</v>
      </c>
      <c r="X35" s="9">
        <v>0</v>
      </c>
    </row>
    <row r="36" spans="1:24" x14ac:dyDescent="0.2">
      <c r="A36" s="4" t="s">
        <v>57</v>
      </c>
      <c r="B36" s="10">
        <v>-410639</v>
      </c>
      <c r="C36" s="10">
        <v>39832</v>
      </c>
      <c r="D36" s="10">
        <v>12205</v>
      </c>
      <c r="E36" s="10">
        <v>-54853</v>
      </c>
      <c r="F36" s="10">
        <v>-3076</v>
      </c>
      <c r="G36" s="10">
        <v>28017</v>
      </c>
      <c r="H36" s="10">
        <v>-44210</v>
      </c>
      <c r="I36" s="10">
        <v>-46855</v>
      </c>
      <c r="J36" s="10">
        <v>-69188</v>
      </c>
      <c r="K36" s="10">
        <v>-92967</v>
      </c>
      <c r="L36" s="10">
        <v>-124792</v>
      </c>
      <c r="M36" s="10">
        <v>59733</v>
      </c>
      <c r="N36" s="10">
        <v>112019</v>
      </c>
      <c r="O36" s="10">
        <v>-45419</v>
      </c>
      <c r="P36" s="10">
        <v>-26352</v>
      </c>
      <c r="Q36" s="10">
        <v>-94463</v>
      </c>
      <c r="R36" s="10">
        <v>-27113</v>
      </c>
      <c r="S36" s="10">
        <v>-5492</v>
      </c>
      <c r="T36" s="10">
        <v>4061</v>
      </c>
      <c r="U36" s="10">
        <v>-34041</v>
      </c>
      <c r="V36" s="10">
        <v>-5859</v>
      </c>
      <c r="W36" s="10">
        <v>12406</v>
      </c>
      <c r="X36" s="10">
        <v>-4233</v>
      </c>
    </row>
    <row r="37" spans="1:24" x14ac:dyDescent="0.2">
      <c r="A37" s="4" t="s">
        <v>58</v>
      </c>
      <c r="B37" s="4" t="s">
        <v>32</v>
      </c>
      <c r="C37" s="4" t="s">
        <v>32</v>
      </c>
      <c r="D37" s="4" t="s">
        <v>32</v>
      </c>
      <c r="E37" s="4" t="s">
        <v>32</v>
      </c>
      <c r="F37" s="4" t="s">
        <v>32</v>
      </c>
      <c r="G37" s="4" t="s">
        <v>32</v>
      </c>
      <c r="H37" s="4" t="s">
        <v>32</v>
      </c>
      <c r="I37" s="4" t="s">
        <v>32</v>
      </c>
      <c r="J37" s="4" t="s">
        <v>32</v>
      </c>
      <c r="K37" s="4" t="s">
        <v>32</v>
      </c>
      <c r="L37" s="4" t="s">
        <v>32</v>
      </c>
      <c r="M37" s="4" t="s">
        <v>32</v>
      </c>
      <c r="N37" s="4" t="s">
        <v>32</v>
      </c>
      <c r="O37" s="4" t="s">
        <v>32</v>
      </c>
      <c r="P37" s="4" t="s">
        <v>32</v>
      </c>
      <c r="Q37" s="4" t="s">
        <v>32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32</v>
      </c>
      <c r="W37" s="4" t="s">
        <v>32</v>
      </c>
      <c r="X37" s="4" t="s">
        <v>32</v>
      </c>
    </row>
    <row r="38" spans="1:24" x14ac:dyDescent="0.2">
      <c r="A38" s="4" t="s">
        <v>59</v>
      </c>
      <c r="B38" s="9">
        <v>-437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-437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</row>
    <row r="39" spans="1:24" x14ac:dyDescent="0.2">
      <c r="A39" s="4" t="s">
        <v>60</v>
      </c>
      <c r="B39" s="9">
        <v>1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1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</row>
    <row r="40" spans="1:24" x14ac:dyDescent="0.2">
      <c r="A40" s="4" t="s">
        <v>61</v>
      </c>
      <c r="B40" s="9">
        <v>53</v>
      </c>
      <c r="C40" s="9">
        <v>48</v>
      </c>
      <c r="D40" s="9">
        <v>6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</row>
    <row r="41" spans="1:24" x14ac:dyDescent="0.2">
      <c r="A41" s="4" t="s">
        <v>62</v>
      </c>
      <c r="B41" s="9">
        <v>486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486</v>
      </c>
      <c r="W41" s="9">
        <v>0</v>
      </c>
      <c r="X41" s="9">
        <v>0</v>
      </c>
    </row>
    <row r="42" spans="1:24" x14ac:dyDescent="0.2">
      <c r="A42" s="4" t="s">
        <v>63</v>
      </c>
      <c r="B42" s="9">
        <v>471</v>
      </c>
      <c r="C42" s="9">
        <v>69</v>
      </c>
      <c r="D42" s="9">
        <v>72</v>
      </c>
      <c r="E42" s="9">
        <v>0</v>
      </c>
      <c r="F42" s="9">
        <v>0</v>
      </c>
      <c r="G42" s="9">
        <v>0</v>
      </c>
      <c r="H42" s="9">
        <v>180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66</v>
      </c>
      <c r="P42" s="9">
        <v>0</v>
      </c>
      <c r="Q42" s="9">
        <v>0</v>
      </c>
      <c r="R42" s="9">
        <v>84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</row>
    <row r="43" spans="1:24" x14ac:dyDescent="0.2">
      <c r="A43" s="4" t="s">
        <v>64</v>
      </c>
      <c r="B43" s="9">
        <v>30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30</v>
      </c>
      <c r="W43" s="9">
        <v>0</v>
      </c>
      <c r="X43" s="9">
        <v>0</v>
      </c>
    </row>
    <row r="44" spans="1:24" x14ac:dyDescent="0.2">
      <c r="A44" s="4" t="s">
        <v>65</v>
      </c>
      <c r="B44" s="9">
        <v>2800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750</v>
      </c>
      <c r="U44" s="9">
        <v>0</v>
      </c>
      <c r="V44" s="9">
        <v>-200</v>
      </c>
      <c r="W44" s="9">
        <v>2250</v>
      </c>
      <c r="X44" s="9">
        <v>0</v>
      </c>
    </row>
    <row r="45" spans="1:24" x14ac:dyDescent="0.2">
      <c r="A45" s="4" t="s">
        <v>66</v>
      </c>
      <c r="B45" s="9">
        <v>1200</v>
      </c>
      <c r="C45" s="9">
        <v>0</v>
      </c>
      <c r="D45" s="9">
        <v>1200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</row>
    <row r="46" spans="1:24" x14ac:dyDescent="0.2">
      <c r="A46" s="4" t="s">
        <v>67</v>
      </c>
      <c r="B46" s="9">
        <v>76773</v>
      </c>
      <c r="C46" s="9">
        <v>0</v>
      </c>
      <c r="D46" s="9">
        <v>3814</v>
      </c>
      <c r="E46" s="9">
        <v>0</v>
      </c>
      <c r="F46" s="9">
        <v>0</v>
      </c>
      <c r="G46" s="9">
        <v>10528</v>
      </c>
      <c r="H46" s="9">
        <v>0</v>
      </c>
      <c r="I46" s="9">
        <v>1424</v>
      </c>
      <c r="J46" s="9">
        <v>9504</v>
      </c>
      <c r="K46" s="9">
        <v>6524</v>
      </c>
      <c r="L46" s="9">
        <v>0</v>
      </c>
      <c r="M46" s="9">
        <v>9712</v>
      </c>
      <c r="N46" s="9">
        <v>20935</v>
      </c>
      <c r="O46" s="9">
        <v>6305</v>
      </c>
      <c r="P46" s="9">
        <v>4782</v>
      </c>
      <c r="Q46" s="9">
        <v>0</v>
      </c>
      <c r="R46" s="9">
        <v>3246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</row>
    <row r="47" spans="1:24" x14ac:dyDescent="0.2">
      <c r="A47" s="4" t="s">
        <v>68</v>
      </c>
      <c r="B47" s="9">
        <v>150174</v>
      </c>
      <c r="C47" s="9">
        <v>7640</v>
      </c>
      <c r="D47" s="9">
        <v>5011</v>
      </c>
      <c r="E47" s="9">
        <v>13748</v>
      </c>
      <c r="F47" s="9">
        <v>8581</v>
      </c>
      <c r="G47" s="9">
        <v>10466</v>
      </c>
      <c r="H47" s="9">
        <v>7735</v>
      </c>
      <c r="I47" s="9">
        <v>3881</v>
      </c>
      <c r="J47" s="9">
        <v>8222</v>
      </c>
      <c r="K47" s="9">
        <v>6190</v>
      </c>
      <c r="L47" s="9">
        <v>7715</v>
      </c>
      <c r="M47" s="9">
        <v>9171</v>
      </c>
      <c r="N47" s="9">
        <v>26730</v>
      </c>
      <c r="O47" s="9">
        <v>11272</v>
      </c>
      <c r="P47" s="9">
        <v>10944</v>
      </c>
      <c r="Q47" s="9">
        <v>6335</v>
      </c>
      <c r="R47" s="9">
        <v>6533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</row>
    <row r="48" spans="1:24" x14ac:dyDescent="0.2">
      <c r="A48" s="4" t="s">
        <v>69</v>
      </c>
      <c r="B48" s="10">
        <v>231551</v>
      </c>
      <c r="C48" s="10">
        <v>7757</v>
      </c>
      <c r="D48" s="10">
        <v>10103</v>
      </c>
      <c r="E48" s="10">
        <v>13748</v>
      </c>
      <c r="F48" s="10">
        <v>8581</v>
      </c>
      <c r="G48" s="10">
        <v>20994</v>
      </c>
      <c r="H48" s="10">
        <v>7915</v>
      </c>
      <c r="I48" s="10">
        <v>5305</v>
      </c>
      <c r="J48" s="10">
        <v>17726</v>
      </c>
      <c r="K48" s="10">
        <v>12714</v>
      </c>
      <c r="L48" s="10">
        <v>7716</v>
      </c>
      <c r="M48" s="10">
        <v>18446</v>
      </c>
      <c r="N48" s="10">
        <v>47665</v>
      </c>
      <c r="O48" s="10">
        <v>17643</v>
      </c>
      <c r="P48" s="10">
        <v>15726</v>
      </c>
      <c r="Q48" s="10">
        <v>6335</v>
      </c>
      <c r="R48" s="10">
        <v>9863</v>
      </c>
      <c r="S48" s="10">
        <v>0</v>
      </c>
      <c r="T48" s="10">
        <v>750</v>
      </c>
      <c r="U48" s="10">
        <v>0</v>
      </c>
      <c r="V48" s="10">
        <v>316</v>
      </c>
      <c r="W48" s="10">
        <v>2250</v>
      </c>
      <c r="X48" s="10">
        <v>0</v>
      </c>
    </row>
    <row r="49" spans="1:24" x14ac:dyDescent="0.2">
      <c r="A49" s="4" t="s">
        <v>70</v>
      </c>
      <c r="B49" s="11">
        <v>-179088</v>
      </c>
      <c r="C49" s="11">
        <v>47589</v>
      </c>
      <c r="D49" s="11">
        <v>22308</v>
      </c>
      <c r="E49" s="11">
        <v>-41105</v>
      </c>
      <c r="F49" s="11">
        <v>5505</v>
      </c>
      <c r="G49" s="11">
        <v>49011</v>
      </c>
      <c r="H49" s="11">
        <v>-36295</v>
      </c>
      <c r="I49" s="11">
        <v>-41550</v>
      </c>
      <c r="J49" s="11">
        <v>-51462</v>
      </c>
      <c r="K49" s="11">
        <v>-80253</v>
      </c>
      <c r="L49" s="11">
        <v>-117076</v>
      </c>
      <c r="M49" s="11">
        <v>78179</v>
      </c>
      <c r="N49" s="11">
        <v>159684</v>
      </c>
      <c r="O49" s="11">
        <v>-27776</v>
      </c>
      <c r="P49" s="11">
        <v>-10626</v>
      </c>
      <c r="Q49" s="11">
        <v>-88128</v>
      </c>
      <c r="R49" s="11">
        <v>-17250</v>
      </c>
      <c r="S49" s="11">
        <v>-5492</v>
      </c>
      <c r="T49" s="11">
        <v>4811</v>
      </c>
      <c r="U49" s="11">
        <v>-34041</v>
      </c>
      <c r="V49" s="11">
        <v>-5543</v>
      </c>
      <c r="W49" s="11">
        <v>14656</v>
      </c>
      <c r="X49" s="11">
        <v>-4233</v>
      </c>
    </row>
    <row r="50" spans="1:24" x14ac:dyDescent="0.2">
      <c r="A50" s="4" t="s">
        <v>71</v>
      </c>
      <c r="B50" s="12">
        <v>-179088</v>
      </c>
      <c r="C50" s="12">
        <v>47589</v>
      </c>
      <c r="D50" s="12">
        <v>22308</v>
      </c>
      <c r="E50" s="12">
        <v>-41105</v>
      </c>
      <c r="F50" s="12">
        <v>5505</v>
      </c>
      <c r="G50" s="12">
        <v>49011</v>
      </c>
      <c r="H50" s="12">
        <v>-36295</v>
      </c>
      <c r="I50" s="12">
        <v>-41550</v>
      </c>
      <c r="J50" s="12">
        <v>-51462</v>
      </c>
      <c r="K50" s="12">
        <v>-80253</v>
      </c>
      <c r="L50" s="12">
        <v>-117076</v>
      </c>
      <c r="M50" s="12">
        <v>78179</v>
      </c>
      <c r="N50" s="12">
        <v>159684</v>
      </c>
      <c r="O50" s="12">
        <v>-27776</v>
      </c>
      <c r="P50" s="12">
        <v>-10626</v>
      </c>
      <c r="Q50" s="12">
        <v>-88128</v>
      </c>
      <c r="R50" s="12">
        <v>-17250</v>
      </c>
      <c r="S50" s="12">
        <v>-5492</v>
      </c>
      <c r="T50" s="12">
        <v>4811</v>
      </c>
      <c r="U50" s="12">
        <v>-34041</v>
      </c>
      <c r="V50" s="12">
        <v>-5543</v>
      </c>
      <c r="W50" s="12">
        <v>14656</v>
      </c>
      <c r="X50" s="12">
        <v>-4233</v>
      </c>
    </row>
    <row r="51" spans="1:24" x14ac:dyDescent="0.2">
      <c r="A51" s="2" t="s">
        <v>6</v>
      </c>
    </row>
    <row r="52" spans="1:24" x14ac:dyDescent="0.2">
      <c r="A52" s="2" t="s">
        <v>351</v>
      </c>
      <c r="B52" s="20">
        <f>B50+B27+B29+B30+B31+B32</f>
        <v>351663</v>
      </c>
      <c r="C52" s="20">
        <f t="shared" ref="C52:X52" si="0">C50+C27+C29+C30+C31+C32</f>
        <v>79916</v>
      </c>
      <c r="D52" s="20">
        <f t="shared" si="0"/>
        <v>41632</v>
      </c>
      <c r="E52" s="20">
        <f t="shared" si="0"/>
        <v>-21140</v>
      </c>
      <c r="F52" s="20">
        <f t="shared" si="0"/>
        <v>24499</v>
      </c>
      <c r="G52" s="20">
        <f t="shared" si="0"/>
        <v>79760</v>
      </c>
      <c r="H52" s="20">
        <f t="shared" si="0"/>
        <v>-16459</v>
      </c>
      <c r="I52" s="20">
        <f t="shared" si="0"/>
        <v>-21583</v>
      </c>
      <c r="J52" s="20">
        <f t="shared" si="0"/>
        <v>-23648</v>
      </c>
      <c r="K52" s="20">
        <f t="shared" si="0"/>
        <v>-58142</v>
      </c>
      <c r="L52" s="20">
        <f t="shared" si="0"/>
        <v>-84115</v>
      </c>
      <c r="M52" s="20">
        <f t="shared" si="0"/>
        <v>108281</v>
      </c>
      <c r="N52" s="20">
        <f t="shared" si="0"/>
        <v>227199</v>
      </c>
      <c r="O52" s="20">
        <f t="shared" si="0"/>
        <v>18187</v>
      </c>
      <c r="P52" s="20">
        <f t="shared" si="0"/>
        <v>34231</v>
      </c>
      <c r="Q52" s="20">
        <f t="shared" si="0"/>
        <v>-55611</v>
      </c>
      <c r="R52" s="20">
        <f t="shared" si="0"/>
        <v>17291</v>
      </c>
      <c r="S52" s="20">
        <f t="shared" si="0"/>
        <v>-1053</v>
      </c>
      <c r="T52" s="20">
        <f t="shared" si="0"/>
        <v>11455</v>
      </c>
      <c r="U52" s="20">
        <f t="shared" si="0"/>
        <v>-28442</v>
      </c>
      <c r="V52" s="20">
        <f t="shared" si="0"/>
        <v>1835</v>
      </c>
      <c r="W52" s="20">
        <f t="shared" si="0"/>
        <v>21807</v>
      </c>
      <c r="X52" s="20">
        <f t="shared" si="0"/>
        <v>-4233</v>
      </c>
    </row>
    <row r="54" spans="1:24" x14ac:dyDescent="0.2">
      <c r="A54" s="21" t="s">
        <v>352</v>
      </c>
    </row>
    <row r="55" spans="1:24" x14ac:dyDescent="0.2">
      <c r="A55" s="1" t="s">
        <v>353</v>
      </c>
      <c r="B55" s="9">
        <v>175000</v>
      </c>
      <c r="C55" s="9">
        <v>11000</v>
      </c>
      <c r="D55" s="9">
        <v>11000</v>
      </c>
      <c r="E55" s="9">
        <v>11000</v>
      </c>
      <c r="F55" s="9">
        <v>11000</v>
      </c>
      <c r="G55" s="9">
        <v>11000</v>
      </c>
      <c r="H55" s="9">
        <v>11000</v>
      </c>
      <c r="I55" s="9">
        <v>11000</v>
      </c>
      <c r="J55" s="9">
        <v>8000</v>
      </c>
      <c r="K55" s="9">
        <v>16000</v>
      </c>
      <c r="L55" s="9">
        <v>8000</v>
      </c>
      <c r="M55" s="9">
        <v>8000</v>
      </c>
      <c r="N55" s="9">
        <v>8000</v>
      </c>
      <c r="O55" s="9">
        <v>8000</v>
      </c>
      <c r="P55" s="9">
        <v>8000</v>
      </c>
      <c r="Q55" s="9">
        <v>11000</v>
      </c>
      <c r="R55" s="9">
        <v>11000</v>
      </c>
      <c r="S55" s="9">
        <v>2000</v>
      </c>
      <c r="T55" s="9">
        <v>2000</v>
      </c>
      <c r="U55" s="9">
        <v>2000</v>
      </c>
      <c r="V55" s="9">
        <v>2000</v>
      </c>
      <c r="W55" s="9">
        <v>2000</v>
      </c>
      <c r="X55" s="9">
        <v>2000</v>
      </c>
    </row>
    <row r="56" spans="1:24" x14ac:dyDescent="0.2">
      <c r="A56" s="1" t="s">
        <v>354</v>
      </c>
      <c r="B56" s="9">
        <v>93500</v>
      </c>
      <c r="C56" s="9">
        <v>2500</v>
      </c>
      <c r="D56" s="9">
        <v>2500</v>
      </c>
      <c r="E56" s="9">
        <v>2500</v>
      </c>
      <c r="F56" s="9">
        <v>2500</v>
      </c>
      <c r="G56" s="9">
        <v>2500</v>
      </c>
      <c r="H56" s="9">
        <v>2500</v>
      </c>
      <c r="I56" s="9">
        <v>2500</v>
      </c>
      <c r="J56" s="9">
        <v>10000</v>
      </c>
      <c r="K56" s="9">
        <v>10000</v>
      </c>
      <c r="L56" s="9">
        <v>10000</v>
      </c>
      <c r="M56" s="9">
        <v>10000</v>
      </c>
      <c r="N56" s="9">
        <v>10000</v>
      </c>
      <c r="O56" s="9">
        <v>10000</v>
      </c>
      <c r="P56" s="9">
        <v>10000</v>
      </c>
      <c r="Q56" s="9">
        <v>3000</v>
      </c>
      <c r="R56" s="9">
        <v>3000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</row>
    <row r="57" spans="1:24" x14ac:dyDescent="0.2">
      <c r="A57" s="22" t="s">
        <v>355</v>
      </c>
      <c r="B57" s="23">
        <f>SUM(B55:B56)</f>
        <v>268500</v>
      </c>
      <c r="C57" s="23">
        <f t="shared" ref="C57:X57" si="1">SUM(C55:C56)</f>
        <v>13500</v>
      </c>
      <c r="D57" s="23">
        <f t="shared" si="1"/>
        <v>13500</v>
      </c>
      <c r="E57" s="23">
        <f t="shared" si="1"/>
        <v>13500</v>
      </c>
      <c r="F57" s="23">
        <f t="shared" si="1"/>
        <v>13500</v>
      </c>
      <c r="G57" s="23">
        <f t="shared" si="1"/>
        <v>13500</v>
      </c>
      <c r="H57" s="23">
        <f t="shared" si="1"/>
        <v>13500</v>
      </c>
      <c r="I57" s="23">
        <f t="shared" si="1"/>
        <v>13500</v>
      </c>
      <c r="J57" s="23">
        <f t="shared" si="1"/>
        <v>18000</v>
      </c>
      <c r="K57" s="23">
        <f t="shared" si="1"/>
        <v>26000</v>
      </c>
      <c r="L57" s="23">
        <f t="shared" si="1"/>
        <v>18000</v>
      </c>
      <c r="M57" s="23">
        <f t="shared" si="1"/>
        <v>18000</v>
      </c>
      <c r="N57" s="23">
        <f t="shared" si="1"/>
        <v>18000</v>
      </c>
      <c r="O57" s="23">
        <f t="shared" si="1"/>
        <v>18000</v>
      </c>
      <c r="P57" s="23">
        <f t="shared" si="1"/>
        <v>18000</v>
      </c>
      <c r="Q57" s="23">
        <f t="shared" si="1"/>
        <v>14000</v>
      </c>
      <c r="R57" s="23">
        <f t="shared" si="1"/>
        <v>14000</v>
      </c>
      <c r="S57" s="23">
        <f t="shared" si="1"/>
        <v>2000</v>
      </c>
      <c r="T57" s="23">
        <f t="shared" si="1"/>
        <v>2000</v>
      </c>
      <c r="U57" s="23">
        <f t="shared" si="1"/>
        <v>2000</v>
      </c>
      <c r="V57" s="23">
        <f t="shared" si="1"/>
        <v>2000</v>
      </c>
      <c r="W57" s="23">
        <f t="shared" si="1"/>
        <v>2000</v>
      </c>
      <c r="X57" s="23">
        <f t="shared" si="1"/>
        <v>2000</v>
      </c>
    </row>
    <row r="58" spans="1:24" x14ac:dyDescent="0.2">
      <c r="A58" s="21" t="s">
        <v>356</v>
      </c>
      <c r="B58" s="20">
        <f>B57+B52</f>
        <v>620163</v>
      </c>
      <c r="C58" s="20">
        <f t="shared" ref="C58:X58" si="2">C57+C52</f>
        <v>93416</v>
      </c>
      <c r="D58" s="20">
        <f t="shared" si="2"/>
        <v>55132</v>
      </c>
      <c r="E58" s="20">
        <f t="shared" si="2"/>
        <v>-7640</v>
      </c>
      <c r="F58" s="20">
        <f t="shared" si="2"/>
        <v>37999</v>
      </c>
      <c r="G58" s="20">
        <f t="shared" si="2"/>
        <v>93260</v>
      </c>
      <c r="H58" s="20">
        <f t="shared" si="2"/>
        <v>-2959</v>
      </c>
      <c r="I58" s="20">
        <f t="shared" si="2"/>
        <v>-8083</v>
      </c>
      <c r="J58" s="20">
        <f t="shared" si="2"/>
        <v>-5648</v>
      </c>
      <c r="K58" s="20">
        <f t="shared" si="2"/>
        <v>-32142</v>
      </c>
      <c r="L58" s="20">
        <f t="shared" si="2"/>
        <v>-66115</v>
      </c>
      <c r="M58" s="20">
        <f t="shared" si="2"/>
        <v>126281</v>
      </c>
      <c r="N58" s="20">
        <f t="shared" si="2"/>
        <v>245199</v>
      </c>
      <c r="O58" s="20">
        <f t="shared" si="2"/>
        <v>36187</v>
      </c>
      <c r="P58" s="20">
        <f t="shared" si="2"/>
        <v>52231</v>
      </c>
      <c r="Q58" s="20">
        <f t="shared" si="2"/>
        <v>-41611</v>
      </c>
      <c r="R58" s="20">
        <f t="shared" si="2"/>
        <v>31291</v>
      </c>
      <c r="S58" s="20">
        <f t="shared" si="2"/>
        <v>947</v>
      </c>
      <c r="T58" s="20">
        <f t="shared" si="2"/>
        <v>13455</v>
      </c>
      <c r="U58" s="20">
        <f t="shared" si="2"/>
        <v>-26442</v>
      </c>
      <c r="V58" s="20">
        <f t="shared" si="2"/>
        <v>3835</v>
      </c>
      <c r="W58" s="20">
        <f t="shared" si="2"/>
        <v>23807</v>
      </c>
      <c r="X58" s="20">
        <f t="shared" si="2"/>
        <v>-2233</v>
      </c>
    </row>
  </sheetData>
  <pageMargins left="0.75" right="0.75" top="1" bottom="1" header="0.5" footer="0.5"/>
  <pageSetup orientation="portrait" horizontalDpi="300" verticalDpi="300"/>
  <ignoredErrors>
    <ignoredError sqref="A1:IV51 A53:IV53 Y52:IV52 A59:IV65535 B54:IV54 Y58:IV58 Y55:IV56 Y57:IV5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2"/>
  <sheetViews>
    <sheetView topLeftCell="A59" workbookViewId="0">
      <selection activeCell="E63" sqref="E63"/>
    </sheetView>
  </sheetViews>
  <sheetFormatPr defaultColWidth="9.140625" defaultRowHeight="12.75" x14ac:dyDescent="0.2"/>
  <cols>
    <col min="1" max="1" width="4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6.42578125" style="1" customWidth="1"/>
    <col min="20" max="20" width="13.5703125" style="1" customWidth="1"/>
    <col min="21" max="21" width="13.140625" style="1" customWidth="1"/>
    <col min="22" max="22" width="13.85546875" style="1" customWidth="1"/>
    <col min="23" max="23" width="14" style="1" customWidth="1"/>
    <col min="24" max="24" width="14.5703125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0</v>
      </c>
    </row>
    <row r="2" spans="1:24" ht="18" x14ac:dyDescent="0.25">
      <c r="A2" s="3" t="s">
        <v>72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</row>
    <row r="8" spans="1:24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37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38</v>
      </c>
      <c r="B12" s="4" t="s">
        <v>73</v>
      </c>
      <c r="C12" s="4" t="s">
        <v>73</v>
      </c>
      <c r="D12" s="4" t="s">
        <v>73</v>
      </c>
      <c r="E12" s="4" t="s">
        <v>73</v>
      </c>
      <c r="F12" s="4" t="s">
        <v>73</v>
      </c>
      <c r="G12" s="4" t="s">
        <v>73</v>
      </c>
      <c r="H12" s="4" t="s">
        <v>73</v>
      </c>
      <c r="I12" s="4" t="s">
        <v>73</v>
      </c>
      <c r="J12" s="4" t="s">
        <v>73</v>
      </c>
      <c r="K12" s="4" t="s">
        <v>73</v>
      </c>
      <c r="L12" s="4" t="s">
        <v>73</v>
      </c>
      <c r="M12" s="4" t="s">
        <v>73</v>
      </c>
      <c r="N12" s="4" t="s">
        <v>73</v>
      </c>
      <c r="O12" s="4" t="s">
        <v>73</v>
      </c>
      <c r="P12" s="4" t="s">
        <v>73</v>
      </c>
      <c r="Q12" s="4" t="s">
        <v>73</v>
      </c>
      <c r="R12" s="4" t="s">
        <v>73</v>
      </c>
      <c r="S12" s="4" t="s">
        <v>73</v>
      </c>
      <c r="T12" s="4" t="s">
        <v>73</v>
      </c>
      <c r="U12" s="4" t="s">
        <v>73</v>
      </c>
      <c r="V12" s="4" t="s">
        <v>73</v>
      </c>
      <c r="W12" s="4" t="s">
        <v>73</v>
      </c>
      <c r="X12" s="4" t="s">
        <v>73</v>
      </c>
    </row>
    <row r="13" spans="1:24" x14ac:dyDescent="0.2">
      <c r="A13" s="4" t="s">
        <v>74</v>
      </c>
      <c r="B13" s="9">
        <v>1940037</v>
      </c>
      <c r="C13" s="9">
        <v>112659</v>
      </c>
      <c r="D13" s="9">
        <v>94765</v>
      </c>
      <c r="E13" s="9">
        <v>97016</v>
      </c>
      <c r="F13" s="9">
        <v>88638</v>
      </c>
      <c r="G13" s="9">
        <v>85767</v>
      </c>
      <c r="H13" s="9">
        <v>92876</v>
      </c>
      <c r="I13" s="9">
        <v>67297</v>
      </c>
      <c r="J13" s="9">
        <v>95951</v>
      </c>
      <c r="K13" s="9">
        <v>61992</v>
      </c>
      <c r="L13" s="9">
        <v>116151</v>
      </c>
      <c r="M13" s="9">
        <v>124717</v>
      </c>
      <c r="N13" s="9">
        <v>231832</v>
      </c>
      <c r="O13" s="9">
        <v>131941</v>
      </c>
      <c r="P13" s="9">
        <v>128936</v>
      </c>
      <c r="Q13" s="9">
        <v>119755</v>
      </c>
      <c r="R13" s="9">
        <v>122861</v>
      </c>
      <c r="S13" s="9">
        <v>54188</v>
      </c>
      <c r="T13" s="9">
        <v>34564</v>
      </c>
      <c r="U13" s="9">
        <v>25950</v>
      </c>
      <c r="V13" s="9">
        <v>41804</v>
      </c>
      <c r="W13" s="9">
        <v>10378</v>
      </c>
      <c r="X13" s="9">
        <v>0</v>
      </c>
    </row>
    <row r="14" spans="1:24" x14ac:dyDescent="0.2">
      <c r="A14" s="4" t="s">
        <v>75</v>
      </c>
      <c r="B14" s="9">
        <v>141627</v>
      </c>
      <c r="C14" s="9">
        <v>15495</v>
      </c>
      <c r="D14" s="9">
        <v>8833</v>
      </c>
      <c r="E14" s="9">
        <v>7025</v>
      </c>
      <c r="F14" s="9">
        <v>2254</v>
      </c>
      <c r="G14" s="9">
        <v>8027</v>
      </c>
      <c r="H14" s="9">
        <v>1663</v>
      </c>
      <c r="I14" s="9">
        <v>2329</v>
      </c>
      <c r="J14" s="9">
        <v>4417</v>
      </c>
      <c r="K14" s="9">
        <v>5401</v>
      </c>
      <c r="L14" s="9">
        <v>4359</v>
      </c>
      <c r="M14" s="9">
        <v>3269</v>
      </c>
      <c r="N14" s="9">
        <v>25774</v>
      </c>
      <c r="O14" s="9">
        <v>7954</v>
      </c>
      <c r="P14" s="9">
        <v>10226</v>
      </c>
      <c r="Q14" s="9">
        <v>10216</v>
      </c>
      <c r="R14" s="9">
        <v>21593</v>
      </c>
      <c r="S14" s="9">
        <v>86</v>
      </c>
      <c r="T14" s="9">
        <v>977</v>
      </c>
      <c r="U14" s="9">
        <v>0</v>
      </c>
      <c r="V14" s="9">
        <v>1698</v>
      </c>
      <c r="W14" s="9">
        <v>28</v>
      </c>
      <c r="X14" s="9">
        <v>0</v>
      </c>
    </row>
    <row r="15" spans="1:24" x14ac:dyDescent="0.2">
      <c r="A15" s="4" t="s">
        <v>76</v>
      </c>
      <c r="B15" s="9">
        <v>7288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1608</v>
      </c>
      <c r="M15" s="9">
        <v>0</v>
      </c>
      <c r="N15" s="9">
        <v>1145</v>
      </c>
      <c r="O15" s="9">
        <v>0</v>
      </c>
      <c r="P15" s="9">
        <v>4536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1:24" x14ac:dyDescent="0.2">
      <c r="A16" s="4" t="s">
        <v>77</v>
      </c>
      <c r="B16" s="9">
        <v>7720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15</v>
      </c>
      <c r="K16" s="9">
        <v>669</v>
      </c>
      <c r="L16" s="9">
        <v>0</v>
      </c>
      <c r="M16" s="9">
        <v>0</v>
      </c>
      <c r="N16" s="9">
        <v>2229</v>
      </c>
      <c r="O16" s="9">
        <v>364</v>
      </c>
      <c r="P16" s="9">
        <v>4058</v>
      </c>
      <c r="Q16" s="9">
        <v>0</v>
      </c>
      <c r="R16" s="9">
        <v>386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1:24" x14ac:dyDescent="0.2">
      <c r="A17" s="4" t="s">
        <v>78</v>
      </c>
      <c r="B17" s="9">
        <v>210617</v>
      </c>
      <c r="C17" s="9">
        <v>15929</v>
      </c>
      <c r="D17" s="9">
        <v>11764</v>
      </c>
      <c r="E17" s="9">
        <v>13410</v>
      </c>
      <c r="F17" s="9">
        <v>5178</v>
      </c>
      <c r="G17" s="9">
        <v>8009</v>
      </c>
      <c r="H17" s="9">
        <v>10636</v>
      </c>
      <c r="I17" s="9">
        <v>11523</v>
      </c>
      <c r="J17" s="9">
        <v>7898</v>
      </c>
      <c r="K17" s="9">
        <v>3313</v>
      </c>
      <c r="L17" s="9">
        <v>11821</v>
      </c>
      <c r="M17" s="9">
        <v>8609</v>
      </c>
      <c r="N17" s="9">
        <v>34058</v>
      </c>
      <c r="O17" s="9">
        <v>14469</v>
      </c>
      <c r="P17" s="9">
        <v>13256</v>
      </c>
      <c r="Q17" s="9">
        <v>5748</v>
      </c>
      <c r="R17" s="9">
        <v>18511</v>
      </c>
      <c r="S17" s="9">
        <v>7237</v>
      </c>
      <c r="T17" s="9">
        <v>3280</v>
      </c>
      <c r="U17" s="9">
        <v>2691</v>
      </c>
      <c r="V17" s="9">
        <v>4320</v>
      </c>
      <c r="W17" s="9">
        <v>-283</v>
      </c>
      <c r="X17" s="9">
        <v>-756</v>
      </c>
    </row>
    <row r="18" spans="1:24" x14ac:dyDescent="0.2">
      <c r="A18" s="4" t="s">
        <v>79</v>
      </c>
      <c r="B18" s="9">
        <v>51940</v>
      </c>
      <c r="C18" s="9">
        <v>4223</v>
      </c>
      <c r="D18" s="9">
        <v>2423</v>
      </c>
      <c r="E18" s="9">
        <v>3913</v>
      </c>
      <c r="F18" s="9">
        <v>1860</v>
      </c>
      <c r="G18" s="9">
        <v>3606</v>
      </c>
      <c r="H18" s="9">
        <v>1987</v>
      </c>
      <c r="I18" s="9">
        <v>2646</v>
      </c>
      <c r="J18" s="9">
        <v>808</v>
      </c>
      <c r="K18" s="9">
        <v>1259</v>
      </c>
      <c r="L18" s="9">
        <v>5811</v>
      </c>
      <c r="M18" s="9">
        <v>2557</v>
      </c>
      <c r="N18" s="9">
        <v>7589</v>
      </c>
      <c r="O18" s="9">
        <v>2938</v>
      </c>
      <c r="P18" s="9">
        <v>2717</v>
      </c>
      <c r="Q18" s="9">
        <v>4041</v>
      </c>
      <c r="R18" s="9">
        <v>3400</v>
      </c>
      <c r="S18" s="9">
        <v>12</v>
      </c>
      <c r="T18" s="9">
        <v>5</v>
      </c>
      <c r="U18" s="9">
        <v>102</v>
      </c>
      <c r="V18" s="9">
        <v>41</v>
      </c>
      <c r="W18" s="9">
        <v>0</v>
      </c>
      <c r="X18" s="9">
        <v>0</v>
      </c>
    </row>
    <row r="19" spans="1:24" x14ac:dyDescent="0.2">
      <c r="A19" s="4" t="s">
        <v>80</v>
      </c>
      <c r="B19" s="9">
        <v>10883</v>
      </c>
      <c r="C19" s="9">
        <v>1148</v>
      </c>
      <c r="D19" s="9">
        <v>404</v>
      </c>
      <c r="E19" s="9">
        <v>744</v>
      </c>
      <c r="F19" s="9">
        <v>750</v>
      </c>
      <c r="G19" s="9">
        <v>429</v>
      </c>
      <c r="H19" s="9">
        <v>904</v>
      </c>
      <c r="I19" s="9">
        <v>0</v>
      </c>
      <c r="J19" s="9">
        <v>828</v>
      </c>
      <c r="K19" s="9">
        <v>538</v>
      </c>
      <c r="L19" s="9">
        <v>1099</v>
      </c>
      <c r="M19" s="9">
        <v>278</v>
      </c>
      <c r="N19" s="9">
        <v>557</v>
      </c>
      <c r="O19" s="9">
        <v>1661</v>
      </c>
      <c r="P19" s="9">
        <v>120</v>
      </c>
      <c r="Q19" s="9">
        <v>942</v>
      </c>
      <c r="R19" s="9">
        <v>121</v>
      </c>
      <c r="S19" s="9">
        <v>0</v>
      </c>
      <c r="T19" s="9">
        <v>181</v>
      </c>
      <c r="U19" s="9">
        <v>0</v>
      </c>
      <c r="V19" s="9">
        <v>180</v>
      </c>
      <c r="W19" s="9">
        <v>0</v>
      </c>
      <c r="X19" s="9">
        <v>0</v>
      </c>
    </row>
    <row r="20" spans="1:24" x14ac:dyDescent="0.2">
      <c r="A20" s="4" t="s">
        <v>81</v>
      </c>
      <c r="B20" s="9">
        <v>11366</v>
      </c>
      <c r="C20" s="9">
        <v>195</v>
      </c>
      <c r="D20" s="9">
        <v>776</v>
      </c>
      <c r="E20" s="9">
        <v>1562</v>
      </c>
      <c r="F20" s="9">
        <v>265</v>
      </c>
      <c r="G20" s="9">
        <v>81</v>
      </c>
      <c r="H20" s="9">
        <v>629</v>
      </c>
      <c r="I20" s="9">
        <v>0</v>
      </c>
      <c r="J20" s="9">
        <v>252</v>
      </c>
      <c r="K20" s="9">
        <v>173</v>
      </c>
      <c r="L20" s="9">
        <v>3574</v>
      </c>
      <c r="M20" s="9">
        <v>729</v>
      </c>
      <c r="N20" s="9">
        <v>538</v>
      </c>
      <c r="O20" s="9">
        <v>57</v>
      </c>
      <c r="P20" s="9">
        <v>1875</v>
      </c>
      <c r="Q20" s="9">
        <v>147</v>
      </c>
      <c r="R20" s="9">
        <v>427</v>
      </c>
      <c r="S20" s="9">
        <v>0</v>
      </c>
      <c r="T20" s="9">
        <v>0</v>
      </c>
      <c r="U20" s="9">
        <v>0</v>
      </c>
      <c r="V20" s="9">
        <v>84</v>
      </c>
      <c r="W20" s="9">
        <v>0</v>
      </c>
      <c r="X20" s="9">
        <v>0</v>
      </c>
    </row>
    <row r="21" spans="1:24" x14ac:dyDescent="0.2">
      <c r="A21" s="4" t="s">
        <v>82</v>
      </c>
      <c r="B21" s="9">
        <v>3278</v>
      </c>
      <c r="C21" s="9">
        <v>526</v>
      </c>
      <c r="D21" s="9">
        <v>78</v>
      </c>
      <c r="E21" s="9">
        <v>27</v>
      </c>
      <c r="F21" s="9">
        <v>0</v>
      </c>
      <c r="G21" s="9">
        <v>49</v>
      </c>
      <c r="H21" s="9">
        <v>138</v>
      </c>
      <c r="I21" s="9">
        <v>0</v>
      </c>
      <c r="J21" s="9">
        <v>771</v>
      </c>
      <c r="K21" s="9">
        <v>-189</v>
      </c>
      <c r="L21" s="9">
        <v>1420</v>
      </c>
      <c r="M21" s="9">
        <v>38</v>
      </c>
      <c r="N21" s="9">
        <v>-4</v>
      </c>
      <c r="O21" s="9">
        <v>26</v>
      </c>
      <c r="P21" s="9">
        <v>88</v>
      </c>
      <c r="Q21" s="9">
        <v>236</v>
      </c>
      <c r="R21" s="9">
        <v>73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1:24" x14ac:dyDescent="0.2">
      <c r="A22" s="4" t="s">
        <v>83</v>
      </c>
      <c r="B22" s="9">
        <v>2344</v>
      </c>
      <c r="C22" s="9">
        <v>89</v>
      </c>
      <c r="D22" s="9">
        <v>32</v>
      </c>
      <c r="E22" s="9">
        <v>53</v>
      </c>
      <c r="F22" s="9">
        <v>66</v>
      </c>
      <c r="G22" s="9">
        <v>134</v>
      </c>
      <c r="H22" s="9">
        <v>16</v>
      </c>
      <c r="I22" s="9">
        <v>0</v>
      </c>
      <c r="J22" s="9">
        <v>405</v>
      </c>
      <c r="K22" s="9">
        <v>0</v>
      </c>
      <c r="L22" s="9">
        <v>222</v>
      </c>
      <c r="M22" s="9">
        <v>299</v>
      </c>
      <c r="N22" s="9">
        <v>78</v>
      </c>
      <c r="O22" s="9">
        <v>0</v>
      </c>
      <c r="P22" s="9">
        <v>200</v>
      </c>
      <c r="Q22" s="9">
        <v>123</v>
      </c>
      <c r="R22" s="9">
        <v>85</v>
      </c>
      <c r="S22" s="9">
        <v>0</v>
      </c>
      <c r="T22" s="9">
        <v>236</v>
      </c>
      <c r="U22" s="9">
        <v>36</v>
      </c>
      <c r="V22" s="9">
        <v>264</v>
      </c>
      <c r="W22" s="9">
        <v>5</v>
      </c>
      <c r="X22" s="9">
        <v>0</v>
      </c>
    </row>
    <row r="23" spans="1:24" x14ac:dyDescent="0.2">
      <c r="A23" s="4" t="s">
        <v>84</v>
      </c>
      <c r="B23" s="9">
        <v>8535</v>
      </c>
      <c r="C23" s="9">
        <v>1041</v>
      </c>
      <c r="D23" s="9">
        <v>407</v>
      </c>
      <c r="E23" s="9">
        <v>1712</v>
      </c>
      <c r="F23" s="9">
        <v>109</v>
      </c>
      <c r="G23" s="9">
        <v>35</v>
      </c>
      <c r="H23" s="9">
        <v>224</v>
      </c>
      <c r="I23" s="9">
        <v>98</v>
      </c>
      <c r="J23" s="9">
        <v>581</v>
      </c>
      <c r="K23" s="9">
        <v>344</v>
      </c>
      <c r="L23" s="9">
        <v>295</v>
      </c>
      <c r="M23" s="9">
        <v>493</v>
      </c>
      <c r="N23" s="9">
        <v>958</v>
      </c>
      <c r="O23" s="9">
        <v>569</v>
      </c>
      <c r="P23" s="9">
        <v>666</v>
      </c>
      <c r="Q23" s="9">
        <v>226</v>
      </c>
      <c r="R23" s="9">
        <v>579</v>
      </c>
      <c r="S23" s="9">
        <v>82</v>
      </c>
      <c r="T23" s="9">
        <v>68</v>
      </c>
      <c r="U23" s="9">
        <v>15</v>
      </c>
      <c r="V23" s="9">
        <v>35</v>
      </c>
      <c r="W23" s="9">
        <v>0</v>
      </c>
      <c r="X23" s="9">
        <v>0</v>
      </c>
    </row>
    <row r="24" spans="1:24" x14ac:dyDescent="0.2">
      <c r="A24" s="4" t="s">
        <v>85</v>
      </c>
      <c r="B24" s="9">
        <v>18683</v>
      </c>
      <c r="C24" s="9">
        <v>1620</v>
      </c>
      <c r="D24" s="9">
        <v>825</v>
      </c>
      <c r="E24" s="9">
        <v>612</v>
      </c>
      <c r="F24" s="9">
        <v>741</v>
      </c>
      <c r="G24" s="9">
        <v>902</v>
      </c>
      <c r="H24" s="9">
        <v>1431</v>
      </c>
      <c r="I24" s="9">
        <v>315</v>
      </c>
      <c r="J24" s="9">
        <v>1159</v>
      </c>
      <c r="K24" s="9">
        <v>400</v>
      </c>
      <c r="L24" s="9">
        <v>400</v>
      </c>
      <c r="M24" s="9">
        <v>948</v>
      </c>
      <c r="N24" s="9">
        <v>3127</v>
      </c>
      <c r="O24" s="9">
        <v>1174</v>
      </c>
      <c r="P24" s="9">
        <v>1595</v>
      </c>
      <c r="Q24" s="9">
        <v>1566</v>
      </c>
      <c r="R24" s="9">
        <v>1867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1:24" x14ac:dyDescent="0.2">
      <c r="A25" s="4" t="s">
        <v>86</v>
      </c>
      <c r="B25" s="9">
        <v>5739</v>
      </c>
      <c r="C25" s="9">
        <v>549</v>
      </c>
      <c r="D25" s="9">
        <v>417</v>
      </c>
      <c r="E25" s="9">
        <v>116</v>
      </c>
      <c r="F25" s="9">
        <v>0</v>
      </c>
      <c r="G25" s="9">
        <v>116</v>
      </c>
      <c r="H25" s="9">
        <v>1052</v>
      </c>
      <c r="I25" s="9">
        <v>0</v>
      </c>
      <c r="J25" s="9">
        <v>47</v>
      </c>
      <c r="K25" s="9">
        <v>0</v>
      </c>
      <c r="L25" s="9">
        <v>442</v>
      </c>
      <c r="M25" s="9">
        <v>1039</v>
      </c>
      <c r="N25" s="9">
        <v>1002</v>
      </c>
      <c r="O25" s="9">
        <v>486</v>
      </c>
      <c r="P25" s="9">
        <v>0</v>
      </c>
      <c r="Q25" s="9">
        <v>170</v>
      </c>
      <c r="R25" s="9">
        <v>303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1:24" x14ac:dyDescent="0.2">
      <c r="A26" s="4" t="s">
        <v>87</v>
      </c>
      <c r="B26" s="9">
        <v>4369</v>
      </c>
      <c r="C26" s="9">
        <v>325</v>
      </c>
      <c r="D26" s="9">
        <v>240</v>
      </c>
      <c r="E26" s="9">
        <v>130</v>
      </c>
      <c r="F26" s="9">
        <v>193</v>
      </c>
      <c r="G26" s="9">
        <v>141</v>
      </c>
      <c r="H26" s="9">
        <v>150</v>
      </c>
      <c r="I26" s="9">
        <v>140</v>
      </c>
      <c r="J26" s="9">
        <v>189</v>
      </c>
      <c r="K26" s="9">
        <v>0</v>
      </c>
      <c r="L26" s="9">
        <v>385</v>
      </c>
      <c r="M26" s="9">
        <v>336</v>
      </c>
      <c r="N26" s="9">
        <v>639</v>
      </c>
      <c r="O26" s="9">
        <v>0</v>
      </c>
      <c r="P26" s="9">
        <v>132</v>
      </c>
      <c r="Q26" s="9">
        <v>169</v>
      </c>
      <c r="R26" s="9">
        <v>1110</v>
      </c>
      <c r="S26" s="9">
        <v>0</v>
      </c>
      <c r="T26" s="9">
        <v>35</v>
      </c>
      <c r="U26" s="9">
        <v>55</v>
      </c>
      <c r="V26" s="9">
        <v>0</v>
      </c>
      <c r="W26" s="9">
        <v>0</v>
      </c>
      <c r="X26" s="9">
        <v>0</v>
      </c>
    </row>
    <row r="27" spans="1:24" x14ac:dyDescent="0.2">
      <c r="A27" s="4" t="s">
        <v>88</v>
      </c>
      <c r="B27" s="9">
        <v>337</v>
      </c>
      <c r="C27" s="9">
        <v>338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1:24" x14ac:dyDescent="0.2">
      <c r="A28" s="4" t="s">
        <v>89</v>
      </c>
      <c r="B28" s="9">
        <v>311184</v>
      </c>
      <c r="C28" s="9">
        <v>10420</v>
      </c>
      <c r="D28" s="9">
        <v>0</v>
      </c>
      <c r="E28" s="9">
        <v>5129</v>
      </c>
      <c r="F28" s="9">
        <v>13986</v>
      </c>
      <c r="G28" s="9">
        <v>37060</v>
      </c>
      <c r="H28" s="9">
        <v>0</v>
      </c>
      <c r="I28" s="9">
        <v>2420</v>
      </c>
      <c r="J28" s="9">
        <v>17273</v>
      </c>
      <c r="K28" s="9">
        <v>52015</v>
      </c>
      <c r="L28" s="9">
        <v>23727</v>
      </c>
      <c r="M28" s="9">
        <v>15738</v>
      </c>
      <c r="N28" s="9">
        <v>42617</v>
      </c>
      <c r="O28" s="9">
        <v>45936</v>
      </c>
      <c r="P28" s="9">
        <v>33873</v>
      </c>
      <c r="Q28" s="9">
        <v>10989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1:24" x14ac:dyDescent="0.2">
      <c r="A29" s="4" t="s">
        <v>90</v>
      </c>
      <c r="B29" s="9">
        <v>1439</v>
      </c>
      <c r="C29" s="9">
        <v>0</v>
      </c>
      <c r="D29" s="9">
        <v>0</v>
      </c>
      <c r="E29" s="9">
        <v>0</v>
      </c>
      <c r="F29" s="9">
        <v>0</v>
      </c>
      <c r="G29" s="9">
        <v>78</v>
      </c>
      <c r="H29" s="9">
        <v>0</v>
      </c>
      <c r="I29" s="9">
        <v>0</v>
      </c>
      <c r="J29" s="9">
        <v>50</v>
      </c>
      <c r="K29" s="9">
        <v>200</v>
      </c>
      <c r="L29" s="9">
        <v>50</v>
      </c>
      <c r="M29" s="9">
        <v>100</v>
      </c>
      <c r="N29" s="9">
        <v>350</v>
      </c>
      <c r="O29" s="9">
        <v>300</v>
      </c>
      <c r="P29" s="9">
        <v>100</v>
      </c>
      <c r="Q29" s="9">
        <v>0</v>
      </c>
      <c r="R29" s="9">
        <v>0</v>
      </c>
      <c r="S29" s="9">
        <v>93</v>
      </c>
      <c r="T29" s="9">
        <v>0</v>
      </c>
      <c r="U29" s="9">
        <v>86</v>
      </c>
      <c r="V29" s="9">
        <v>31</v>
      </c>
      <c r="W29" s="9">
        <v>0</v>
      </c>
      <c r="X29" s="9">
        <v>0</v>
      </c>
    </row>
    <row r="30" spans="1:24" x14ac:dyDescent="0.2">
      <c r="A30" s="4" t="s">
        <v>91</v>
      </c>
      <c r="B30" s="9">
        <v>21675</v>
      </c>
      <c r="C30" s="9">
        <v>1300</v>
      </c>
      <c r="D30" s="9">
        <v>1300</v>
      </c>
      <c r="E30" s="9">
        <v>1000</v>
      </c>
      <c r="F30" s="9">
        <v>750</v>
      </c>
      <c r="G30" s="9">
        <v>1000</v>
      </c>
      <c r="H30" s="9">
        <v>375</v>
      </c>
      <c r="I30" s="9">
        <v>450</v>
      </c>
      <c r="J30" s="9">
        <v>6000</v>
      </c>
      <c r="K30" s="9">
        <v>1500</v>
      </c>
      <c r="L30" s="9">
        <v>1000</v>
      </c>
      <c r="M30" s="9">
        <v>0</v>
      </c>
      <c r="N30" s="9">
        <v>1500</v>
      </c>
      <c r="O30" s="9">
        <v>1500</v>
      </c>
      <c r="P30" s="9">
        <v>1500</v>
      </c>
      <c r="Q30" s="9">
        <v>1500</v>
      </c>
      <c r="R30" s="9">
        <v>1000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</row>
    <row r="31" spans="1:24" x14ac:dyDescent="0.2">
      <c r="A31" s="4" t="s">
        <v>92</v>
      </c>
      <c r="B31" s="9">
        <v>7669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512</v>
      </c>
      <c r="K31" s="9">
        <v>442</v>
      </c>
      <c r="L31" s="9">
        <v>547</v>
      </c>
      <c r="M31" s="9">
        <v>620</v>
      </c>
      <c r="N31" s="9">
        <v>1639</v>
      </c>
      <c r="O31" s="9">
        <v>827</v>
      </c>
      <c r="P31" s="9">
        <v>906</v>
      </c>
      <c r="Q31" s="9">
        <v>512</v>
      </c>
      <c r="R31" s="9">
        <v>1173</v>
      </c>
      <c r="S31" s="9">
        <v>0</v>
      </c>
      <c r="T31" s="9">
        <v>0</v>
      </c>
      <c r="U31" s="9">
        <v>0</v>
      </c>
      <c r="V31" s="9">
        <v>408</v>
      </c>
      <c r="W31" s="9">
        <v>84</v>
      </c>
      <c r="X31" s="9">
        <v>0</v>
      </c>
    </row>
    <row r="32" spans="1:24" x14ac:dyDescent="0.2">
      <c r="A32" s="4" t="s">
        <v>93</v>
      </c>
      <c r="B32" s="9">
        <v>93500</v>
      </c>
      <c r="C32" s="9">
        <v>2500</v>
      </c>
      <c r="D32" s="9">
        <v>2500</v>
      </c>
      <c r="E32" s="9">
        <v>2500</v>
      </c>
      <c r="F32" s="9">
        <v>2500</v>
      </c>
      <c r="G32" s="9">
        <v>2500</v>
      </c>
      <c r="H32" s="9">
        <v>2500</v>
      </c>
      <c r="I32" s="9">
        <v>2500</v>
      </c>
      <c r="J32" s="9">
        <v>10000</v>
      </c>
      <c r="K32" s="9">
        <v>10000</v>
      </c>
      <c r="L32" s="9">
        <v>10000</v>
      </c>
      <c r="M32" s="9">
        <v>10000</v>
      </c>
      <c r="N32" s="9">
        <v>10000</v>
      </c>
      <c r="O32" s="9">
        <v>10000</v>
      </c>
      <c r="P32" s="9">
        <v>10000</v>
      </c>
      <c r="Q32" s="9">
        <v>3000</v>
      </c>
      <c r="R32" s="9">
        <v>3000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</row>
    <row r="33" spans="1:24" x14ac:dyDescent="0.2">
      <c r="A33" s="4" t="s">
        <v>94</v>
      </c>
      <c r="B33" s="9">
        <v>5153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1349</v>
      </c>
      <c r="K33" s="9">
        <v>1349</v>
      </c>
      <c r="L33" s="9">
        <v>0</v>
      </c>
      <c r="M33" s="9">
        <v>0</v>
      </c>
      <c r="N33" s="9">
        <v>1316</v>
      </c>
      <c r="O33" s="9">
        <v>1139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</row>
    <row r="34" spans="1:24" x14ac:dyDescent="0.2">
      <c r="A34" s="4" t="s">
        <v>95</v>
      </c>
      <c r="B34" s="11">
        <v>2865383</v>
      </c>
      <c r="C34" s="11">
        <v>168357</v>
      </c>
      <c r="D34" s="11">
        <v>124764</v>
      </c>
      <c r="E34" s="11">
        <v>134949</v>
      </c>
      <c r="F34" s="11">
        <v>117290</v>
      </c>
      <c r="G34" s="11">
        <v>147934</v>
      </c>
      <c r="H34" s="11">
        <v>114581</v>
      </c>
      <c r="I34" s="11">
        <v>89718</v>
      </c>
      <c r="J34" s="11">
        <v>148505</v>
      </c>
      <c r="K34" s="11">
        <v>139406</v>
      </c>
      <c r="L34" s="11">
        <v>182911</v>
      </c>
      <c r="M34" s="11">
        <v>169770</v>
      </c>
      <c r="N34" s="11">
        <v>366944</v>
      </c>
      <c r="O34" s="11">
        <v>221341</v>
      </c>
      <c r="P34" s="11">
        <v>214784</v>
      </c>
      <c r="Q34" s="11">
        <v>159340</v>
      </c>
      <c r="R34" s="11">
        <v>176489</v>
      </c>
      <c r="S34" s="11">
        <v>61698</v>
      </c>
      <c r="T34" s="11">
        <v>39346</v>
      </c>
      <c r="U34" s="11">
        <v>28935</v>
      </c>
      <c r="V34" s="11">
        <v>48865</v>
      </c>
      <c r="W34" s="11">
        <v>10212</v>
      </c>
      <c r="X34" s="11">
        <v>-756</v>
      </c>
    </row>
    <row r="35" spans="1:24" x14ac:dyDescent="0.2">
      <c r="A35" s="4" t="s">
        <v>39</v>
      </c>
      <c r="B35" s="13" t="s">
        <v>73</v>
      </c>
      <c r="C35" s="13" t="s">
        <v>73</v>
      </c>
      <c r="D35" s="13" t="s">
        <v>73</v>
      </c>
      <c r="E35" s="13" t="s">
        <v>73</v>
      </c>
      <c r="F35" s="13" t="s">
        <v>73</v>
      </c>
      <c r="G35" s="13" t="s">
        <v>73</v>
      </c>
      <c r="H35" s="13" t="s">
        <v>73</v>
      </c>
      <c r="I35" s="13" t="s">
        <v>73</v>
      </c>
      <c r="J35" s="13" t="s">
        <v>73</v>
      </c>
      <c r="K35" s="13" t="s">
        <v>73</v>
      </c>
      <c r="L35" s="13" t="s">
        <v>73</v>
      </c>
      <c r="M35" s="13" t="s">
        <v>73</v>
      </c>
      <c r="N35" s="13" t="s">
        <v>73</v>
      </c>
      <c r="O35" s="13" t="s">
        <v>73</v>
      </c>
      <c r="P35" s="13" t="s">
        <v>73</v>
      </c>
      <c r="Q35" s="13" t="s">
        <v>73</v>
      </c>
      <c r="R35" s="13" t="s">
        <v>73</v>
      </c>
      <c r="S35" s="13" t="s">
        <v>73</v>
      </c>
      <c r="T35" s="13" t="s">
        <v>73</v>
      </c>
      <c r="U35" s="13" t="s">
        <v>73</v>
      </c>
      <c r="V35" s="13" t="s">
        <v>73</v>
      </c>
      <c r="W35" s="13" t="s">
        <v>73</v>
      </c>
      <c r="X35" s="13" t="s">
        <v>73</v>
      </c>
    </row>
    <row r="36" spans="1:24" x14ac:dyDescent="0.2">
      <c r="A36" s="4" t="s">
        <v>74</v>
      </c>
      <c r="B36" s="9">
        <v>181076</v>
      </c>
      <c r="C36" s="9">
        <v>10938</v>
      </c>
      <c r="D36" s="9">
        <v>9657</v>
      </c>
      <c r="E36" s="9">
        <v>9952</v>
      </c>
      <c r="F36" s="9">
        <v>12068</v>
      </c>
      <c r="G36" s="9">
        <v>7885</v>
      </c>
      <c r="H36" s="9">
        <v>13558</v>
      </c>
      <c r="I36" s="9">
        <v>4736</v>
      </c>
      <c r="J36" s="9">
        <v>6664</v>
      </c>
      <c r="K36" s="9">
        <v>6413</v>
      </c>
      <c r="L36" s="9">
        <v>8135</v>
      </c>
      <c r="M36" s="9">
        <v>9888</v>
      </c>
      <c r="N36" s="9">
        <v>24993</v>
      </c>
      <c r="O36" s="9">
        <v>7232</v>
      </c>
      <c r="P36" s="9">
        <v>12762</v>
      </c>
      <c r="Q36" s="9">
        <v>11580</v>
      </c>
      <c r="R36" s="9">
        <v>14749</v>
      </c>
      <c r="S36" s="9">
        <v>2179</v>
      </c>
      <c r="T36" s="9">
        <v>2531</v>
      </c>
      <c r="U36" s="9">
        <v>1220</v>
      </c>
      <c r="V36" s="9">
        <v>2537</v>
      </c>
      <c r="W36" s="9">
        <v>1401</v>
      </c>
      <c r="X36" s="9">
        <v>0</v>
      </c>
    </row>
    <row r="37" spans="1:24" x14ac:dyDescent="0.2">
      <c r="A37" s="4" t="s">
        <v>75</v>
      </c>
      <c r="B37" s="9">
        <v>4488</v>
      </c>
      <c r="C37" s="9">
        <v>984</v>
      </c>
      <c r="D37" s="9">
        <v>10</v>
      </c>
      <c r="E37" s="9">
        <v>104</v>
      </c>
      <c r="F37" s="9">
        <v>8</v>
      </c>
      <c r="G37" s="9">
        <v>171</v>
      </c>
      <c r="H37" s="9">
        <v>0</v>
      </c>
      <c r="I37" s="9">
        <v>0</v>
      </c>
      <c r="J37" s="9">
        <v>176</v>
      </c>
      <c r="K37" s="9">
        <v>842</v>
      </c>
      <c r="L37" s="9">
        <v>713</v>
      </c>
      <c r="M37" s="9">
        <v>235</v>
      </c>
      <c r="N37" s="9">
        <v>431</v>
      </c>
      <c r="O37" s="9">
        <v>5</v>
      </c>
      <c r="P37" s="9">
        <v>704</v>
      </c>
      <c r="Q37" s="9">
        <v>6</v>
      </c>
      <c r="R37" s="9">
        <v>27</v>
      </c>
      <c r="S37" s="9">
        <v>67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</row>
    <row r="38" spans="1:24" x14ac:dyDescent="0.2">
      <c r="A38" s="4" t="s">
        <v>78</v>
      </c>
      <c r="B38" s="9">
        <v>37258</v>
      </c>
      <c r="C38" s="9">
        <v>1972</v>
      </c>
      <c r="D38" s="9">
        <v>3488</v>
      </c>
      <c r="E38" s="9">
        <v>2173</v>
      </c>
      <c r="F38" s="9">
        <v>2712</v>
      </c>
      <c r="G38" s="9">
        <v>1918</v>
      </c>
      <c r="H38" s="9">
        <v>2345</v>
      </c>
      <c r="I38" s="9">
        <v>255</v>
      </c>
      <c r="J38" s="9">
        <v>-15</v>
      </c>
      <c r="K38" s="9">
        <v>1275</v>
      </c>
      <c r="L38" s="9">
        <v>1497</v>
      </c>
      <c r="M38" s="9">
        <v>496</v>
      </c>
      <c r="N38" s="9">
        <v>6684</v>
      </c>
      <c r="O38" s="9">
        <v>1391</v>
      </c>
      <c r="P38" s="9">
        <v>4525</v>
      </c>
      <c r="Q38" s="9">
        <v>1348</v>
      </c>
      <c r="R38" s="9">
        <v>4454</v>
      </c>
      <c r="S38" s="9">
        <v>47</v>
      </c>
      <c r="T38" s="9">
        <v>473</v>
      </c>
      <c r="U38" s="9">
        <v>183</v>
      </c>
      <c r="V38" s="9">
        <v>531</v>
      </c>
      <c r="W38" s="9">
        <v>-493</v>
      </c>
      <c r="X38" s="9">
        <v>0</v>
      </c>
    </row>
    <row r="39" spans="1:24" x14ac:dyDescent="0.2">
      <c r="A39" s="4" t="s">
        <v>96</v>
      </c>
      <c r="B39" s="9">
        <v>20543</v>
      </c>
      <c r="C39" s="9">
        <v>1307</v>
      </c>
      <c r="D39" s="9">
        <v>1435</v>
      </c>
      <c r="E39" s="9">
        <v>1215</v>
      </c>
      <c r="F39" s="9">
        <v>574</v>
      </c>
      <c r="G39" s="9">
        <v>641</v>
      </c>
      <c r="H39" s="9">
        <v>778</v>
      </c>
      <c r="I39" s="9">
        <v>795</v>
      </c>
      <c r="J39" s="9">
        <v>982</v>
      </c>
      <c r="K39" s="9">
        <v>604</v>
      </c>
      <c r="L39" s="9">
        <v>865</v>
      </c>
      <c r="M39" s="9">
        <v>1191</v>
      </c>
      <c r="N39" s="9">
        <v>2525</v>
      </c>
      <c r="O39" s="9">
        <v>1444</v>
      </c>
      <c r="P39" s="9">
        <v>897</v>
      </c>
      <c r="Q39" s="9">
        <v>2554</v>
      </c>
      <c r="R39" s="9">
        <v>1098</v>
      </c>
      <c r="S39" s="9">
        <v>494</v>
      </c>
      <c r="T39" s="9">
        <v>218</v>
      </c>
      <c r="U39" s="9">
        <v>345</v>
      </c>
      <c r="V39" s="9">
        <v>263</v>
      </c>
      <c r="W39" s="9">
        <v>320</v>
      </c>
      <c r="X39" s="9">
        <v>0</v>
      </c>
    </row>
    <row r="40" spans="1:24" x14ac:dyDescent="0.2">
      <c r="A40" s="4" t="s">
        <v>97</v>
      </c>
      <c r="B40" s="11">
        <v>243365</v>
      </c>
      <c r="C40" s="11">
        <v>15201</v>
      </c>
      <c r="D40" s="11">
        <v>14590</v>
      </c>
      <c r="E40" s="11">
        <v>13444</v>
      </c>
      <c r="F40" s="11">
        <v>15362</v>
      </c>
      <c r="G40" s="11">
        <v>10615</v>
      </c>
      <c r="H40" s="11">
        <v>16681</v>
      </c>
      <c r="I40" s="11">
        <v>5786</v>
      </c>
      <c r="J40" s="11">
        <v>7807</v>
      </c>
      <c r="K40" s="11">
        <v>9134</v>
      </c>
      <c r="L40" s="11">
        <v>11210</v>
      </c>
      <c r="M40" s="11">
        <v>11810</v>
      </c>
      <c r="N40" s="11">
        <v>34633</v>
      </c>
      <c r="O40" s="11">
        <v>10072</v>
      </c>
      <c r="P40" s="11">
        <v>18888</v>
      </c>
      <c r="Q40" s="11">
        <v>15488</v>
      </c>
      <c r="R40" s="11">
        <v>20328</v>
      </c>
      <c r="S40" s="11">
        <v>2787</v>
      </c>
      <c r="T40" s="11">
        <v>3222</v>
      </c>
      <c r="U40" s="11">
        <v>1748</v>
      </c>
      <c r="V40" s="11">
        <v>3331</v>
      </c>
      <c r="W40" s="11">
        <v>1228</v>
      </c>
      <c r="X40" s="11">
        <v>0</v>
      </c>
    </row>
    <row r="41" spans="1:24" x14ac:dyDescent="0.2">
      <c r="A41" s="4" t="s">
        <v>40</v>
      </c>
      <c r="B41" s="13" t="s">
        <v>73</v>
      </c>
      <c r="C41" s="13" t="s">
        <v>73</v>
      </c>
      <c r="D41" s="13" t="s">
        <v>73</v>
      </c>
      <c r="E41" s="13" t="s">
        <v>73</v>
      </c>
      <c r="F41" s="13" t="s">
        <v>73</v>
      </c>
      <c r="G41" s="13" t="s">
        <v>73</v>
      </c>
      <c r="H41" s="13" t="s">
        <v>73</v>
      </c>
      <c r="I41" s="13" t="s">
        <v>73</v>
      </c>
      <c r="J41" s="13" t="s">
        <v>73</v>
      </c>
      <c r="K41" s="13" t="s">
        <v>73</v>
      </c>
      <c r="L41" s="13" t="s">
        <v>73</v>
      </c>
      <c r="M41" s="13" t="s">
        <v>73</v>
      </c>
      <c r="N41" s="13" t="s">
        <v>73</v>
      </c>
      <c r="O41" s="13" t="s">
        <v>73</v>
      </c>
      <c r="P41" s="13" t="s">
        <v>73</v>
      </c>
      <c r="Q41" s="13" t="s">
        <v>73</v>
      </c>
      <c r="R41" s="13" t="s">
        <v>73</v>
      </c>
      <c r="S41" s="13" t="s">
        <v>73</v>
      </c>
      <c r="T41" s="13" t="s">
        <v>73</v>
      </c>
      <c r="U41" s="13" t="s">
        <v>73</v>
      </c>
      <c r="V41" s="13" t="s">
        <v>73</v>
      </c>
      <c r="W41" s="13" t="s">
        <v>73</v>
      </c>
      <c r="X41" s="13" t="s">
        <v>73</v>
      </c>
    </row>
    <row r="42" spans="1:24" x14ac:dyDescent="0.2">
      <c r="A42" s="4" t="s">
        <v>74</v>
      </c>
      <c r="B42" s="9">
        <v>63975</v>
      </c>
      <c r="C42" s="9">
        <v>2880</v>
      </c>
      <c r="D42" s="9">
        <v>2059</v>
      </c>
      <c r="E42" s="9">
        <v>2884</v>
      </c>
      <c r="F42" s="9">
        <v>3182</v>
      </c>
      <c r="G42" s="9">
        <v>2442</v>
      </c>
      <c r="H42" s="9">
        <v>2873</v>
      </c>
      <c r="I42" s="9">
        <v>2377</v>
      </c>
      <c r="J42" s="9">
        <v>3362</v>
      </c>
      <c r="K42" s="9">
        <v>3607</v>
      </c>
      <c r="L42" s="9">
        <v>2285</v>
      </c>
      <c r="M42" s="9">
        <v>2845</v>
      </c>
      <c r="N42" s="9">
        <v>6098</v>
      </c>
      <c r="O42" s="9">
        <v>6786</v>
      </c>
      <c r="P42" s="9">
        <v>6937</v>
      </c>
      <c r="Q42" s="9">
        <v>1074</v>
      </c>
      <c r="R42" s="9">
        <v>3429</v>
      </c>
      <c r="S42" s="9">
        <v>2336</v>
      </c>
      <c r="T42" s="9">
        <v>2426</v>
      </c>
      <c r="U42" s="9">
        <v>654</v>
      </c>
      <c r="V42" s="9">
        <v>3440</v>
      </c>
      <c r="W42" s="9">
        <v>0</v>
      </c>
      <c r="X42" s="9">
        <v>0</v>
      </c>
    </row>
    <row r="43" spans="1:24" x14ac:dyDescent="0.2">
      <c r="A43" s="4" t="s">
        <v>75</v>
      </c>
      <c r="B43" s="9">
        <v>1694</v>
      </c>
      <c r="C43" s="9">
        <v>216</v>
      </c>
      <c r="D43" s="9">
        <v>82</v>
      </c>
      <c r="E43" s="9">
        <v>7</v>
      </c>
      <c r="F43" s="9">
        <v>55</v>
      </c>
      <c r="G43" s="9">
        <v>64</v>
      </c>
      <c r="H43" s="9">
        <v>0</v>
      </c>
      <c r="I43" s="9">
        <v>35</v>
      </c>
      <c r="J43" s="9">
        <v>33</v>
      </c>
      <c r="K43" s="9">
        <v>64</v>
      </c>
      <c r="L43" s="9">
        <v>0</v>
      </c>
      <c r="M43" s="9">
        <v>349</v>
      </c>
      <c r="N43" s="9">
        <v>0</v>
      </c>
      <c r="O43" s="9">
        <v>61</v>
      </c>
      <c r="P43" s="9">
        <v>532</v>
      </c>
      <c r="Q43" s="9">
        <v>0</v>
      </c>
      <c r="R43" s="9">
        <v>0</v>
      </c>
      <c r="S43" s="9">
        <v>108</v>
      </c>
      <c r="T43" s="9">
        <v>22</v>
      </c>
      <c r="U43" s="9">
        <v>0</v>
      </c>
      <c r="V43" s="9">
        <v>67</v>
      </c>
      <c r="W43" s="9">
        <v>0</v>
      </c>
      <c r="X43" s="9">
        <v>0</v>
      </c>
    </row>
    <row r="44" spans="1:24" x14ac:dyDescent="0.2">
      <c r="A44" s="4" t="s">
        <v>78</v>
      </c>
      <c r="B44" s="9">
        <v>8868</v>
      </c>
      <c r="C44" s="9">
        <v>209</v>
      </c>
      <c r="D44" s="9">
        <v>1093</v>
      </c>
      <c r="E44" s="9">
        <v>901</v>
      </c>
      <c r="F44" s="9">
        <v>0</v>
      </c>
      <c r="G44" s="9">
        <v>78</v>
      </c>
      <c r="H44" s="9">
        <v>348</v>
      </c>
      <c r="I44" s="9">
        <v>125</v>
      </c>
      <c r="J44" s="9">
        <v>193</v>
      </c>
      <c r="K44" s="9">
        <v>289</v>
      </c>
      <c r="L44" s="9">
        <v>308</v>
      </c>
      <c r="M44" s="9">
        <v>167</v>
      </c>
      <c r="N44" s="9">
        <v>2203</v>
      </c>
      <c r="O44" s="9">
        <v>1154</v>
      </c>
      <c r="P44" s="9">
        <v>920</v>
      </c>
      <c r="Q44" s="9">
        <v>177</v>
      </c>
      <c r="R44" s="9">
        <v>250</v>
      </c>
      <c r="S44" s="9">
        <v>393</v>
      </c>
      <c r="T44" s="9">
        <v>297</v>
      </c>
      <c r="U44" s="9">
        <v>278</v>
      </c>
      <c r="V44" s="9">
        <v>279</v>
      </c>
      <c r="W44" s="9">
        <v>-246</v>
      </c>
      <c r="X44" s="9">
        <v>-548</v>
      </c>
    </row>
    <row r="45" spans="1:24" x14ac:dyDescent="0.2">
      <c r="A45" s="4" t="s">
        <v>98</v>
      </c>
      <c r="B45" s="9">
        <v>1800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1800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</row>
    <row r="46" spans="1:24" x14ac:dyDescent="0.2">
      <c r="A46" s="4" t="s">
        <v>99</v>
      </c>
      <c r="B46" s="9">
        <v>378</v>
      </c>
      <c r="C46" s="9">
        <v>0</v>
      </c>
      <c r="D46" s="9">
        <v>0</v>
      </c>
      <c r="E46" s="9">
        <v>298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79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</row>
    <row r="47" spans="1:24" x14ac:dyDescent="0.2">
      <c r="A47" s="4" t="s">
        <v>100</v>
      </c>
      <c r="B47" s="9">
        <v>8583</v>
      </c>
      <c r="C47" s="9">
        <v>317</v>
      </c>
      <c r="D47" s="9">
        <v>0</v>
      </c>
      <c r="E47" s="9">
        <v>0</v>
      </c>
      <c r="F47" s="9">
        <v>0</v>
      </c>
      <c r="G47" s="9">
        <v>0</v>
      </c>
      <c r="H47" s="9">
        <v>2341</v>
      </c>
      <c r="I47" s="9">
        <v>898</v>
      </c>
      <c r="J47" s="9">
        <v>475</v>
      </c>
      <c r="K47" s="9">
        <v>0</v>
      </c>
      <c r="L47" s="9">
        <v>113</v>
      </c>
      <c r="M47" s="9">
        <v>0</v>
      </c>
      <c r="N47" s="9">
        <v>853</v>
      </c>
      <c r="O47" s="9">
        <v>0</v>
      </c>
      <c r="P47" s="9">
        <v>0</v>
      </c>
      <c r="Q47" s="9">
        <v>1411</v>
      </c>
      <c r="R47" s="9">
        <v>0</v>
      </c>
      <c r="S47" s="9">
        <v>0</v>
      </c>
      <c r="T47" s="9">
        <v>0</v>
      </c>
      <c r="U47" s="9">
        <v>1090</v>
      </c>
      <c r="V47" s="9">
        <v>1086</v>
      </c>
      <c r="W47" s="9">
        <v>0</v>
      </c>
      <c r="X47" s="9">
        <v>0</v>
      </c>
    </row>
    <row r="48" spans="1:24" x14ac:dyDescent="0.2">
      <c r="A48" s="4" t="s">
        <v>101</v>
      </c>
      <c r="B48" s="9">
        <v>7767</v>
      </c>
      <c r="C48" s="9">
        <v>23</v>
      </c>
      <c r="D48" s="9">
        <v>101</v>
      </c>
      <c r="E48" s="9">
        <v>20</v>
      </c>
      <c r="F48" s="9">
        <v>171</v>
      </c>
      <c r="G48" s="9">
        <v>8</v>
      </c>
      <c r="H48" s="9">
        <v>736</v>
      </c>
      <c r="I48" s="9">
        <v>487</v>
      </c>
      <c r="J48" s="9">
        <v>2305</v>
      </c>
      <c r="K48" s="9">
        <v>0</v>
      </c>
      <c r="L48" s="9">
        <v>829</v>
      </c>
      <c r="M48" s="9">
        <v>490</v>
      </c>
      <c r="N48" s="9">
        <v>304</v>
      </c>
      <c r="O48" s="9">
        <v>0</v>
      </c>
      <c r="P48" s="9">
        <v>464</v>
      </c>
      <c r="Q48" s="9">
        <v>1118</v>
      </c>
      <c r="R48" s="9">
        <v>271</v>
      </c>
      <c r="S48" s="9">
        <v>7</v>
      </c>
      <c r="T48" s="9">
        <v>6</v>
      </c>
      <c r="U48" s="9">
        <v>139</v>
      </c>
      <c r="V48" s="9">
        <v>0</v>
      </c>
      <c r="W48" s="9">
        <v>287</v>
      </c>
      <c r="X48" s="9">
        <v>0</v>
      </c>
    </row>
    <row r="49" spans="1:24" x14ac:dyDescent="0.2">
      <c r="A49" s="4" t="s">
        <v>102</v>
      </c>
      <c r="B49" s="9">
        <v>170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169</v>
      </c>
      <c r="W49" s="9">
        <v>0</v>
      </c>
      <c r="X49" s="9">
        <v>0</v>
      </c>
    </row>
    <row r="50" spans="1:24" x14ac:dyDescent="0.2">
      <c r="A50" s="4" t="s">
        <v>103</v>
      </c>
      <c r="B50" s="9">
        <v>30054</v>
      </c>
      <c r="C50" s="9">
        <v>1316</v>
      </c>
      <c r="D50" s="9">
        <v>456</v>
      </c>
      <c r="E50" s="9">
        <v>2522</v>
      </c>
      <c r="F50" s="9">
        <v>2923</v>
      </c>
      <c r="G50" s="9">
        <v>232</v>
      </c>
      <c r="H50" s="9">
        <v>467</v>
      </c>
      <c r="I50" s="9">
        <v>1553</v>
      </c>
      <c r="J50" s="9">
        <v>592</v>
      </c>
      <c r="K50" s="9">
        <v>31</v>
      </c>
      <c r="L50" s="9">
        <v>3542</v>
      </c>
      <c r="M50" s="9">
        <v>-278</v>
      </c>
      <c r="N50" s="9">
        <v>3776</v>
      </c>
      <c r="O50" s="9">
        <v>1520</v>
      </c>
      <c r="P50" s="9">
        <v>5606</v>
      </c>
      <c r="Q50" s="9">
        <v>1558</v>
      </c>
      <c r="R50" s="9">
        <v>604</v>
      </c>
      <c r="S50" s="9">
        <v>469</v>
      </c>
      <c r="T50" s="9">
        <v>892</v>
      </c>
      <c r="U50" s="9">
        <v>1773</v>
      </c>
      <c r="V50" s="9">
        <v>345</v>
      </c>
      <c r="W50" s="9">
        <v>157</v>
      </c>
      <c r="X50" s="9">
        <v>0</v>
      </c>
    </row>
    <row r="51" spans="1:24" x14ac:dyDescent="0.2">
      <c r="A51" s="4" t="s">
        <v>104</v>
      </c>
      <c r="B51" s="9">
        <v>530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530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</row>
    <row r="52" spans="1:24" x14ac:dyDescent="0.2">
      <c r="A52" s="4" t="s">
        <v>105</v>
      </c>
      <c r="B52" s="9">
        <v>18012</v>
      </c>
      <c r="C52" s="9">
        <v>0</v>
      </c>
      <c r="D52" s="9">
        <v>0</v>
      </c>
      <c r="E52" s="9">
        <v>1580</v>
      </c>
      <c r="F52" s="9">
        <v>0</v>
      </c>
      <c r="G52" s="9">
        <v>1630</v>
      </c>
      <c r="H52" s="9">
        <v>0</v>
      </c>
      <c r="I52" s="9">
        <v>1950</v>
      </c>
      <c r="J52" s="9">
        <v>590</v>
      </c>
      <c r="K52" s="9">
        <v>3862</v>
      </c>
      <c r="L52" s="9">
        <v>600</v>
      </c>
      <c r="M52" s="9">
        <v>0</v>
      </c>
      <c r="N52" s="9">
        <v>0</v>
      </c>
      <c r="O52" s="9">
        <v>0</v>
      </c>
      <c r="P52" s="9">
        <v>0</v>
      </c>
      <c r="Q52" s="9">
        <v>2885</v>
      </c>
      <c r="R52" s="9">
        <v>915</v>
      </c>
      <c r="S52" s="9">
        <v>0</v>
      </c>
      <c r="T52" s="9">
        <v>0</v>
      </c>
      <c r="U52" s="9">
        <v>4000</v>
      </c>
      <c r="V52" s="9">
        <v>0</v>
      </c>
      <c r="W52" s="9">
        <v>0</v>
      </c>
      <c r="X52" s="9">
        <v>0</v>
      </c>
    </row>
    <row r="53" spans="1:24" x14ac:dyDescent="0.2">
      <c r="A53" s="4" t="s">
        <v>106</v>
      </c>
      <c r="B53" s="9">
        <v>2780</v>
      </c>
      <c r="C53" s="9">
        <v>134</v>
      </c>
      <c r="D53" s="9">
        <v>134</v>
      </c>
      <c r="E53" s="9">
        <v>134</v>
      </c>
      <c r="F53" s="9">
        <v>108</v>
      </c>
      <c r="G53" s="9">
        <v>202</v>
      </c>
      <c r="H53" s="9">
        <v>134</v>
      </c>
      <c r="I53" s="9">
        <v>134</v>
      </c>
      <c r="J53" s="9">
        <v>150</v>
      </c>
      <c r="K53" s="9">
        <v>150</v>
      </c>
      <c r="L53" s="9">
        <v>150</v>
      </c>
      <c r="M53" s="9">
        <v>150</v>
      </c>
      <c r="N53" s="9">
        <v>150</v>
      </c>
      <c r="O53" s="9">
        <v>450</v>
      </c>
      <c r="P53" s="9">
        <v>0</v>
      </c>
      <c r="Q53" s="9">
        <v>150</v>
      </c>
      <c r="R53" s="9">
        <v>150</v>
      </c>
      <c r="S53" s="9">
        <v>0</v>
      </c>
      <c r="T53" s="9">
        <v>0</v>
      </c>
      <c r="U53" s="9">
        <v>0</v>
      </c>
      <c r="V53" s="9">
        <v>150</v>
      </c>
      <c r="W53" s="9">
        <v>150</v>
      </c>
      <c r="X53" s="9">
        <v>0</v>
      </c>
    </row>
    <row r="54" spans="1:24" x14ac:dyDescent="0.2">
      <c r="A54" s="4" t="s">
        <v>107</v>
      </c>
      <c r="B54" s="9">
        <v>5574</v>
      </c>
      <c r="C54" s="9">
        <v>0</v>
      </c>
      <c r="D54" s="9">
        <v>113</v>
      </c>
      <c r="E54" s="9">
        <v>0</v>
      </c>
      <c r="F54" s="9">
        <v>0</v>
      </c>
      <c r="G54" s="9">
        <v>113</v>
      </c>
      <c r="H54" s="9">
        <v>4898</v>
      </c>
      <c r="I54" s="9">
        <v>0</v>
      </c>
      <c r="J54" s="9">
        <v>0</v>
      </c>
      <c r="K54" s="9">
        <v>0</v>
      </c>
      <c r="L54" s="9">
        <v>0</v>
      </c>
      <c r="M54" s="9">
        <v>112</v>
      </c>
      <c r="N54" s="9">
        <v>112</v>
      </c>
      <c r="O54" s="9">
        <v>112</v>
      </c>
      <c r="P54" s="9">
        <v>0</v>
      </c>
      <c r="Q54" s="9">
        <v>0</v>
      </c>
      <c r="R54" s="9">
        <v>0</v>
      </c>
      <c r="S54" s="9">
        <v>0</v>
      </c>
      <c r="T54" s="9">
        <v>113</v>
      </c>
      <c r="U54" s="9">
        <v>0</v>
      </c>
      <c r="V54" s="9">
        <v>0</v>
      </c>
      <c r="W54" s="9">
        <v>0</v>
      </c>
      <c r="X54" s="9">
        <v>0</v>
      </c>
    </row>
    <row r="55" spans="1:24" x14ac:dyDescent="0.2">
      <c r="A55" s="4" t="s">
        <v>108</v>
      </c>
      <c r="B55" s="9">
        <v>13606</v>
      </c>
      <c r="C55" s="9">
        <v>400</v>
      </c>
      <c r="D55" s="9">
        <v>501</v>
      </c>
      <c r="E55" s="9">
        <v>735</v>
      </c>
      <c r="F55" s="9">
        <v>565</v>
      </c>
      <c r="G55" s="9">
        <v>683</v>
      </c>
      <c r="H55" s="9">
        <v>800</v>
      </c>
      <c r="I55" s="9">
        <v>525</v>
      </c>
      <c r="J55" s="9">
        <v>743</v>
      </c>
      <c r="K55" s="9">
        <v>565</v>
      </c>
      <c r="L55" s="9">
        <v>695</v>
      </c>
      <c r="M55" s="9">
        <v>675</v>
      </c>
      <c r="N55" s="9">
        <v>1195</v>
      </c>
      <c r="O55" s="9">
        <v>885</v>
      </c>
      <c r="P55" s="9">
        <v>760</v>
      </c>
      <c r="Q55" s="9">
        <v>810</v>
      </c>
      <c r="R55" s="9">
        <v>520</v>
      </c>
      <c r="S55" s="9">
        <v>310</v>
      </c>
      <c r="T55" s="9">
        <v>574</v>
      </c>
      <c r="U55" s="9">
        <v>400</v>
      </c>
      <c r="V55" s="9">
        <v>0</v>
      </c>
      <c r="W55" s="9">
        <v>1020</v>
      </c>
      <c r="X55" s="9">
        <v>245</v>
      </c>
    </row>
    <row r="56" spans="1:24" x14ac:dyDescent="0.2">
      <c r="A56" s="4" t="s">
        <v>109</v>
      </c>
      <c r="B56" s="9">
        <v>2796</v>
      </c>
      <c r="C56" s="9">
        <v>75</v>
      </c>
      <c r="D56" s="9">
        <v>0</v>
      </c>
      <c r="E56" s="9">
        <v>75</v>
      </c>
      <c r="F56" s="9">
        <v>0</v>
      </c>
      <c r="G56" s="9">
        <v>75</v>
      </c>
      <c r="H56" s="9">
        <v>75</v>
      </c>
      <c r="I56" s="9">
        <v>75</v>
      </c>
      <c r="J56" s="9">
        <v>75</v>
      </c>
      <c r="K56" s="9">
        <v>225</v>
      </c>
      <c r="L56" s="9">
        <v>150</v>
      </c>
      <c r="M56" s="9">
        <v>0</v>
      </c>
      <c r="N56" s="9">
        <v>375</v>
      </c>
      <c r="O56" s="9">
        <v>0</v>
      </c>
      <c r="P56" s="9">
        <v>225</v>
      </c>
      <c r="Q56" s="9">
        <v>75</v>
      </c>
      <c r="R56" s="9">
        <v>75</v>
      </c>
      <c r="S56" s="9">
        <v>225</v>
      </c>
      <c r="T56" s="9">
        <v>0</v>
      </c>
      <c r="U56" s="9">
        <v>225</v>
      </c>
      <c r="V56" s="9">
        <v>621</v>
      </c>
      <c r="W56" s="9">
        <v>150</v>
      </c>
      <c r="X56" s="9">
        <v>0</v>
      </c>
    </row>
    <row r="57" spans="1:24" x14ac:dyDescent="0.2">
      <c r="A57" s="4" t="s">
        <v>110</v>
      </c>
      <c r="B57" s="9">
        <v>1347</v>
      </c>
      <c r="C57" s="9">
        <v>112</v>
      </c>
      <c r="D57" s="9">
        <v>0</v>
      </c>
      <c r="E57" s="9">
        <v>112</v>
      </c>
      <c r="F57" s="9">
        <v>113</v>
      </c>
      <c r="G57" s="9">
        <v>0</v>
      </c>
      <c r="H57" s="9">
        <v>112</v>
      </c>
      <c r="I57" s="9">
        <v>113</v>
      </c>
      <c r="J57" s="9">
        <v>0</v>
      </c>
      <c r="K57" s="9">
        <v>335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113</v>
      </c>
      <c r="R57" s="9">
        <v>0</v>
      </c>
      <c r="S57" s="9">
        <v>113</v>
      </c>
      <c r="T57" s="9">
        <v>0</v>
      </c>
      <c r="U57" s="9">
        <v>112</v>
      </c>
      <c r="V57" s="9">
        <v>0</v>
      </c>
      <c r="W57" s="9">
        <v>112</v>
      </c>
      <c r="X57" s="9">
        <v>0</v>
      </c>
    </row>
    <row r="58" spans="1:24" x14ac:dyDescent="0.2">
      <c r="A58" s="4" t="s">
        <v>111</v>
      </c>
      <c r="B58" s="9">
        <v>132257</v>
      </c>
      <c r="C58" s="9">
        <v>7185</v>
      </c>
      <c r="D58" s="9">
        <v>13601</v>
      </c>
      <c r="E58" s="9">
        <v>340</v>
      </c>
      <c r="F58" s="9">
        <v>704</v>
      </c>
      <c r="G58" s="9">
        <v>4880</v>
      </c>
      <c r="H58" s="9">
        <v>4685</v>
      </c>
      <c r="I58" s="9">
        <v>5043</v>
      </c>
      <c r="J58" s="9">
        <v>4631</v>
      </c>
      <c r="K58" s="9">
        <v>727</v>
      </c>
      <c r="L58" s="9">
        <v>10725</v>
      </c>
      <c r="M58" s="9">
        <v>5974</v>
      </c>
      <c r="N58" s="9">
        <v>11918</v>
      </c>
      <c r="O58" s="9">
        <v>10280</v>
      </c>
      <c r="P58" s="9">
        <v>13105</v>
      </c>
      <c r="Q58" s="9">
        <v>4453</v>
      </c>
      <c r="R58" s="9">
        <v>8402</v>
      </c>
      <c r="S58" s="9">
        <v>260</v>
      </c>
      <c r="T58" s="9">
        <v>6528</v>
      </c>
      <c r="U58" s="9">
        <v>6528</v>
      </c>
      <c r="V58" s="9">
        <v>6324</v>
      </c>
      <c r="W58" s="9">
        <v>6012</v>
      </c>
      <c r="X58" s="9">
        <v>-49</v>
      </c>
    </row>
    <row r="59" spans="1:24" x14ac:dyDescent="0.2">
      <c r="A59" s="4" t="s">
        <v>112</v>
      </c>
      <c r="B59" s="9">
        <v>30090</v>
      </c>
      <c r="C59" s="9">
        <v>439</v>
      </c>
      <c r="D59" s="9">
        <v>952</v>
      </c>
      <c r="E59" s="9">
        <v>2311</v>
      </c>
      <c r="F59" s="9">
        <v>1033</v>
      </c>
      <c r="G59" s="9">
        <v>804</v>
      </c>
      <c r="H59" s="9">
        <v>569</v>
      </c>
      <c r="I59" s="9">
        <v>306</v>
      </c>
      <c r="J59" s="9">
        <v>1787</v>
      </c>
      <c r="K59" s="9">
        <v>1443</v>
      </c>
      <c r="L59" s="9">
        <v>591</v>
      </c>
      <c r="M59" s="9">
        <v>4995</v>
      </c>
      <c r="N59" s="9">
        <v>4380</v>
      </c>
      <c r="O59" s="9">
        <v>1541</v>
      </c>
      <c r="P59" s="9">
        <v>602</v>
      </c>
      <c r="Q59" s="9">
        <v>3347</v>
      </c>
      <c r="R59" s="9">
        <v>1077</v>
      </c>
      <c r="S59" s="9">
        <v>454</v>
      </c>
      <c r="T59" s="9">
        <v>885</v>
      </c>
      <c r="U59" s="9">
        <v>1297</v>
      </c>
      <c r="V59" s="9">
        <v>499</v>
      </c>
      <c r="W59" s="9">
        <v>829</v>
      </c>
      <c r="X59" s="9">
        <v>-48</v>
      </c>
    </row>
    <row r="60" spans="1:24" x14ac:dyDescent="0.2">
      <c r="A60" s="4" t="s">
        <v>113</v>
      </c>
      <c r="B60" s="9">
        <v>31683</v>
      </c>
      <c r="C60" s="9">
        <v>869</v>
      </c>
      <c r="D60" s="9">
        <v>2296</v>
      </c>
      <c r="E60" s="9">
        <v>1850</v>
      </c>
      <c r="F60" s="9">
        <v>770</v>
      </c>
      <c r="G60" s="9">
        <v>1497</v>
      </c>
      <c r="H60" s="9">
        <v>614</v>
      </c>
      <c r="I60" s="9">
        <v>3164</v>
      </c>
      <c r="J60" s="9">
        <v>884</v>
      </c>
      <c r="K60" s="9">
        <v>774</v>
      </c>
      <c r="L60" s="9">
        <v>960</v>
      </c>
      <c r="M60" s="9">
        <v>-2695</v>
      </c>
      <c r="N60" s="9">
        <v>1546</v>
      </c>
      <c r="O60" s="9">
        <v>9566</v>
      </c>
      <c r="P60" s="9">
        <v>6600</v>
      </c>
      <c r="Q60" s="9">
        <v>512</v>
      </c>
      <c r="R60" s="9">
        <v>1029</v>
      </c>
      <c r="S60" s="9">
        <v>-1990</v>
      </c>
      <c r="T60" s="9">
        <v>504</v>
      </c>
      <c r="U60" s="9">
        <v>1052</v>
      </c>
      <c r="V60" s="9">
        <v>83</v>
      </c>
      <c r="W60" s="9">
        <v>1319</v>
      </c>
      <c r="X60" s="9">
        <v>475</v>
      </c>
    </row>
    <row r="61" spans="1:24" x14ac:dyDescent="0.2">
      <c r="A61" s="4" t="s">
        <v>114</v>
      </c>
      <c r="B61" s="11">
        <v>361964</v>
      </c>
      <c r="C61" s="11">
        <v>14175</v>
      </c>
      <c r="D61" s="11">
        <v>21388</v>
      </c>
      <c r="E61" s="11">
        <v>13769</v>
      </c>
      <c r="F61" s="11">
        <v>9624</v>
      </c>
      <c r="G61" s="11">
        <v>12708</v>
      </c>
      <c r="H61" s="11">
        <v>20452</v>
      </c>
      <c r="I61" s="11">
        <v>16785</v>
      </c>
      <c r="J61" s="11">
        <v>15820</v>
      </c>
      <c r="K61" s="11">
        <v>12602</v>
      </c>
      <c r="L61" s="11">
        <v>20948</v>
      </c>
      <c r="M61" s="11">
        <v>12784</v>
      </c>
      <c r="N61" s="11">
        <v>32910</v>
      </c>
      <c r="O61" s="11">
        <v>32355</v>
      </c>
      <c r="P61" s="11">
        <v>35751</v>
      </c>
      <c r="Q61" s="11">
        <v>17762</v>
      </c>
      <c r="R61" s="11">
        <v>16722</v>
      </c>
      <c r="S61" s="11">
        <v>2685</v>
      </c>
      <c r="T61" s="11">
        <v>12247</v>
      </c>
      <c r="U61" s="11">
        <v>17548</v>
      </c>
      <c r="V61" s="11">
        <v>13063</v>
      </c>
      <c r="W61" s="11">
        <v>9790</v>
      </c>
      <c r="X61" s="11">
        <v>75</v>
      </c>
    </row>
    <row r="62" spans="1:24" x14ac:dyDescent="0.2">
      <c r="A62" s="4" t="s">
        <v>41</v>
      </c>
      <c r="B62" s="13" t="s">
        <v>73</v>
      </c>
      <c r="C62" s="13" t="s">
        <v>73</v>
      </c>
      <c r="D62" s="13" t="s">
        <v>73</v>
      </c>
      <c r="E62" s="13" t="s">
        <v>73</v>
      </c>
      <c r="F62" s="13" t="s">
        <v>73</v>
      </c>
      <c r="G62" s="13" t="s">
        <v>73</v>
      </c>
      <c r="H62" s="13" t="s">
        <v>73</v>
      </c>
      <c r="I62" s="13" t="s">
        <v>73</v>
      </c>
      <c r="J62" s="13" t="s">
        <v>73</v>
      </c>
      <c r="K62" s="13" t="s">
        <v>73</v>
      </c>
      <c r="L62" s="13" t="s">
        <v>73</v>
      </c>
      <c r="M62" s="13" t="s">
        <v>73</v>
      </c>
      <c r="N62" s="13" t="s">
        <v>73</v>
      </c>
      <c r="O62" s="13" t="s">
        <v>73</v>
      </c>
      <c r="P62" s="13" t="s">
        <v>73</v>
      </c>
      <c r="Q62" s="13" t="s">
        <v>73</v>
      </c>
      <c r="R62" s="13" t="s">
        <v>73</v>
      </c>
      <c r="S62" s="13" t="s">
        <v>73</v>
      </c>
      <c r="T62" s="13" t="s">
        <v>73</v>
      </c>
      <c r="U62" s="13" t="s">
        <v>73</v>
      </c>
      <c r="V62" s="13" t="s">
        <v>73</v>
      </c>
      <c r="W62" s="13" t="s">
        <v>73</v>
      </c>
      <c r="X62" s="13" t="s">
        <v>73</v>
      </c>
    </row>
    <row r="63" spans="1:24" x14ac:dyDescent="0.2">
      <c r="A63" s="4" t="s">
        <v>74</v>
      </c>
      <c r="B63" s="9">
        <v>294724</v>
      </c>
      <c r="C63" s="9">
        <v>14081</v>
      </c>
      <c r="D63" s="9">
        <v>15401</v>
      </c>
      <c r="E63" s="9">
        <v>15495</v>
      </c>
      <c r="F63" s="9">
        <v>13873</v>
      </c>
      <c r="G63" s="9">
        <v>15287</v>
      </c>
      <c r="H63" s="9">
        <v>12449</v>
      </c>
      <c r="I63" s="9">
        <v>10995</v>
      </c>
      <c r="J63" s="9">
        <v>14840</v>
      </c>
      <c r="K63" s="9">
        <v>12638</v>
      </c>
      <c r="L63" s="9">
        <v>18183</v>
      </c>
      <c r="M63" s="9">
        <v>16040</v>
      </c>
      <c r="N63" s="9">
        <v>31960</v>
      </c>
      <c r="O63" s="9">
        <v>18328</v>
      </c>
      <c r="P63" s="9">
        <v>16743</v>
      </c>
      <c r="Q63" s="9">
        <v>15314</v>
      </c>
      <c r="R63" s="9">
        <v>17018</v>
      </c>
      <c r="S63" s="9">
        <v>3035</v>
      </c>
      <c r="T63" s="9">
        <v>9847</v>
      </c>
      <c r="U63" s="9">
        <v>6084</v>
      </c>
      <c r="V63" s="9">
        <v>11351</v>
      </c>
      <c r="W63" s="9">
        <v>5763</v>
      </c>
      <c r="X63" s="9">
        <v>0</v>
      </c>
    </row>
    <row r="64" spans="1:24" x14ac:dyDescent="0.2">
      <c r="A64" s="4" t="s">
        <v>75</v>
      </c>
      <c r="B64" s="9">
        <v>9320</v>
      </c>
      <c r="C64" s="9">
        <v>535</v>
      </c>
      <c r="D64" s="9">
        <v>272</v>
      </c>
      <c r="E64" s="9">
        <v>657</v>
      </c>
      <c r="F64" s="9">
        <v>175</v>
      </c>
      <c r="G64" s="9">
        <v>367</v>
      </c>
      <c r="H64" s="9">
        <v>57</v>
      </c>
      <c r="I64" s="9">
        <v>345</v>
      </c>
      <c r="J64" s="9">
        <v>358</v>
      </c>
      <c r="K64" s="9">
        <v>808</v>
      </c>
      <c r="L64" s="9">
        <v>123</v>
      </c>
      <c r="M64" s="9">
        <v>563</v>
      </c>
      <c r="N64" s="9">
        <v>516</v>
      </c>
      <c r="O64" s="9">
        <v>311</v>
      </c>
      <c r="P64" s="9">
        <v>1580</v>
      </c>
      <c r="Q64" s="9">
        <v>791</v>
      </c>
      <c r="R64" s="9">
        <v>0</v>
      </c>
      <c r="S64" s="9">
        <v>0</v>
      </c>
      <c r="T64" s="9">
        <v>1663</v>
      </c>
      <c r="U64" s="9">
        <v>157</v>
      </c>
      <c r="V64" s="9">
        <v>41</v>
      </c>
      <c r="W64" s="9">
        <v>0</v>
      </c>
      <c r="X64" s="9">
        <v>0</v>
      </c>
    </row>
    <row r="65" spans="1:24" x14ac:dyDescent="0.2">
      <c r="A65" s="4" t="s">
        <v>77</v>
      </c>
      <c r="B65" s="9">
        <v>132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107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25</v>
      </c>
      <c r="W65" s="9">
        <v>0</v>
      </c>
      <c r="X65" s="9">
        <v>0</v>
      </c>
    </row>
    <row r="66" spans="1:24" x14ac:dyDescent="0.2">
      <c r="A66" s="4" t="s">
        <v>78</v>
      </c>
      <c r="B66" s="9">
        <v>28866</v>
      </c>
      <c r="C66" s="9">
        <v>426</v>
      </c>
      <c r="D66" s="9">
        <v>3026</v>
      </c>
      <c r="E66" s="9">
        <v>237</v>
      </c>
      <c r="F66" s="9">
        <v>544</v>
      </c>
      <c r="G66" s="9">
        <v>590</v>
      </c>
      <c r="H66" s="9">
        <v>1106</v>
      </c>
      <c r="I66" s="9">
        <v>1295</v>
      </c>
      <c r="J66" s="9">
        <v>2437</v>
      </c>
      <c r="K66" s="9">
        <v>1676</v>
      </c>
      <c r="L66" s="9">
        <v>3522</v>
      </c>
      <c r="M66" s="9">
        <v>338</v>
      </c>
      <c r="N66" s="9">
        <v>1986</v>
      </c>
      <c r="O66" s="9">
        <v>2681</v>
      </c>
      <c r="P66" s="9">
        <v>1389</v>
      </c>
      <c r="Q66" s="9">
        <v>3210</v>
      </c>
      <c r="R66" s="9">
        <v>3491</v>
      </c>
      <c r="S66" s="9">
        <v>-1037</v>
      </c>
      <c r="T66" s="9">
        <v>-439</v>
      </c>
      <c r="U66" s="9">
        <v>359</v>
      </c>
      <c r="V66" s="9">
        <v>1211</v>
      </c>
      <c r="W66" s="9">
        <v>817</v>
      </c>
      <c r="X66" s="9">
        <v>0</v>
      </c>
    </row>
    <row r="67" spans="1:24" x14ac:dyDescent="0.2">
      <c r="A67" s="4" t="s">
        <v>115</v>
      </c>
      <c r="B67" s="9">
        <v>190193</v>
      </c>
      <c r="C67" s="9">
        <v>12721</v>
      </c>
      <c r="D67" s="9">
        <v>8073</v>
      </c>
      <c r="E67" s="9">
        <v>10066</v>
      </c>
      <c r="F67" s="9">
        <v>7229</v>
      </c>
      <c r="G67" s="9">
        <v>9296</v>
      </c>
      <c r="H67" s="9">
        <v>6287</v>
      </c>
      <c r="I67" s="9">
        <v>4734</v>
      </c>
      <c r="J67" s="9">
        <v>10065</v>
      </c>
      <c r="K67" s="9">
        <v>7192</v>
      </c>
      <c r="L67" s="9">
        <v>9039</v>
      </c>
      <c r="M67" s="9">
        <v>13366</v>
      </c>
      <c r="N67" s="9">
        <v>27331</v>
      </c>
      <c r="O67" s="9">
        <v>13060</v>
      </c>
      <c r="P67" s="9">
        <v>12152</v>
      </c>
      <c r="Q67" s="9">
        <v>7928</v>
      </c>
      <c r="R67" s="9">
        <v>9927</v>
      </c>
      <c r="S67" s="9">
        <v>1965</v>
      </c>
      <c r="T67" s="9">
        <v>4551</v>
      </c>
      <c r="U67" s="9">
        <v>4222</v>
      </c>
      <c r="V67" s="9">
        <v>6157</v>
      </c>
      <c r="W67" s="9">
        <v>4835</v>
      </c>
      <c r="X67" s="9">
        <v>0</v>
      </c>
    </row>
    <row r="68" spans="1:24" x14ac:dyDescent="0.2">
      <c r="A68" s="4" t="s">
        <v>116</v>
      </c>
      <c r="B68" s="9">
        <v>13111</v>
      </c>
      <c r="C68" s="9">
        <v>1481</v>
      </c>
      <c r="D68" s="9">
        <v>708</v>
      </c>
      <c r="E68" s="9">
        <v>1027</v>
      </c>
      <c r="F68" s="9">
        <v>1023</v>
      </c>
      <c r="G68" s="9">
        <v>796</v>
      </c>
      <c r="H68" s="9">
        <v>290</v>
      </c>
      <c r="I68" s="9">
        <v>319</v>
      </c>
      <c r="J68" s="9">
        <v>375</v>
      </c>
      <c r="K68" s="9">
        <v>497</v>
      </c>
      <c r="L68" s="9">
        <v>102</v>
      </c>
      <c r="M68" s="9">
        <v>460</v>
      </c>
      <c r="N68" s="9">
        <v>2174</v>
      </c>
      <c r="O68" s="9">
        <v>1808</v>
      </c>
      <c r="P68" s="9">
        <v>611</v>
      </c>
      <c r="Q68" s="9">
        <v>454</v>
      </c>
      <c r="R68" s="9">
        <v>984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</row>
    <row r="69" spans="1:24" x14ac:dyDescent="0.2">
      <c r="A69" s="4" t="s">
        <v>117</v>
      </c>
      <c r="B69" s="9">
        <v>207</v>
      </c>
      <c r="C69" s="9">
        <v>0</v>
      </c>
      <c r="D69" s="9">
        <v>0</v>
      </c>
      <c r="E69" s="9">
        <v>0</v>
      </c>
      <c r="F69" s="9">
        <v>0</v>
      </c>
      <c r="G69" s="9">
        <v>180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27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</row>
    <row r="70" spans="1:24" x14ac:dyDescent="0.2">
      <c r="A70" s="4" t="s">
        <v>118</v>
      </c>
      <c r="B70" s="9">
        <v>12822</v>
      </c>
      <c r="C70" s="9">
        <v>489</v>
      </c>
      <c r="D70" s="9">
        <v>368</v>
      </c>
      <c r="E70" s="9">
        <v>559</v>
      </c>
      <c r="F70" s="9">
        <v>611</v>
      </c>
      <c r="G70" s="9">
        <v>439</v>
      </c>
      <c r="H70" s="9">
        <v>557</v>
      </c>
      <c r="I70" s="9">
        <v>258</v>
      </c>
      <c r="J70" s="9">
        <v>346</v>
      </c>
      <c r="K70" s="9">
        <v>381</v>
      </c>
      <c r="L70" s="9">
        <v>445</v>
      </c>
      <c r="M70" s="9">
        <v>739</v>
      </c>
      <c r="N70" s="9">
        <v>2970</v>
      </c>
      <c r="O70" s="9">
        <v>891</v>
      </c>
      <c r="P70" s="9">
        <v>768</v>
      </c>
      <c r="Q70" s="9">
        <v>777</v>
      </c>
      <c r="R70" s="9">
        <v>182</v>
      </c>
      <c r="S70" s="9">
        <v>287</v>
      </c>
      <c r="T70" s="9">
        <v>329</v>
      </c>
      <c r="U70" s="9">
        <v>361</v>
      </c>
      <c r="V70" s="9">
        <v>533</v>
      </c>
      <c r="W70" s="9">
        <v>533</v>
      </c>
      <c r="X70" s="9">
        <v>0</v>
      </c>
    </row>
    <row r="71" spans="1:24" x14ac:dyDescent="0.2">
      <c r="A71" s="4" t="s">
        <v>119</v>
      </c>
      <c r="B71" s="9">
        <v>657</v>
      </c>
      <c r="C71" s="9">
        <v>0</v>
      </c>
      <c r="D71" s="9">
        <v>0</v>
      </c>
      <c r="E71" s="9">
        <v>90</v>
      </c>
      <c r="F71" s="9">
        <v>117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12</v>
      </c>
      <c r="O71" s="9">
        <v>0</v>
      </c>
      <c r="P71" s="9">
        <v>0</v>
      </c>
      <c r="Q71" s="9">
        <v>0</v>
      </c>
      <c r="R71" s="9">
        <v>37</v>
      </c>
      <c r="S71" s="9">
        <v>0</v>
      </c>
      <c r="T71" s="9">
        <v>289</v>
      </c>
      <c r="U71" s="9">
        <v>49</v>
      </c>
      <c r="V71" s="9">
        <v>64</v>
      </c>
      <c r="W71" s="9">
        <v>0</v>
      </c>
      <c r="X71" s="9">
        <v>0</v>
      </c>
    </row>
    <row r="72" spans="1:24" x14ac:dyDescent="0.2">
      <c r="A72" s="4" t="s">
        <v>120</v>
      </c>
      <c r="B72" s="9">
        <v>5889</v>
      </c>
      <c r="C72" s="9">
        <v>255</v>
      </c>
      <c r="D72" s="9">
        <v>503</v>
      </c>
      <c r="E72" s="9">
        <v>1248</v>
      </c>
      <c r="F72" s="9">
        <v>109</v>
      </c>
      <c r="G72" s="9">
        <v>0</v>
      </c>
      <c r="H72" s="9">
        <v>0</v>
      </c>
      <c r="I72" s="9">
        <v>167</v>
      </c>
      <c r="J72" s="9">
        <v>106</v>
      </c>
      <c r="K72" s="9">
        <v>0</v>
      </c>
      <c r="L72" s="9">
        <v>552</v>
      </c>
      <c r="M72" s="9">
        <v>383</v>
      </c>
      <c r="N72" s="9">
        <v>548</v>
      </c>
      <c r="O72" s="9">
        <v>646</v>
      </c>
      <c r="P72" s="9">
        <v>0</v>
      </c>
      <c r="Q72" s="9">
        <v>813</v>
      </c>
      <c r="R72" s="9">
        <v>92</v>
      </c>
      <c r="S72" s="9">
        <v>36</v>
      </c>
      <c r="T72" s="9">
        <v>50</v>
      </c>
      <c r="U72" s="9">
        <v>104</v>
      </c>
      <c r="V72" s="9">
        <v>274</v>
      </c>
      <c r="W72" s="9">
        <v>0</v>
      </c>
      <c r="X72" s="9">
        <v>0</v>
      </c>
    </row>
    <row r="73" spans="1:24" x14ac:dyDescent="0.2">
      <c r="A73" s="4" t="s">
        <v>121</v>
      </c>
      <c r="B73" s="9">
        <v>2580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400</v>
      </c>
      <c r="I73" s="9">
        <v>0</v>
      </c>
      <c r="J73" s="9">
        <v>267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1749</v>
      </c>
      <c r="S73" s="9">
        <v>0</v>
      </c>
      <c r="T73" s="9">
        <v>0</v>
      </c>
      <c r="U73" s="9">
        <v>0</v>
      </c>
      <c r="V73" s="9">
        <v>0</v>
      </c>
      <c r="W73" s="9">
        <v>165</v>
      </c>
      <c r="X73" s="9">
        <v>0</v>
      </c>
    </row>
    <row r="74" spans="1:24" x14ac:dyDescent="0.2">
      <c r="A74" s="4" t="s">
        <v>122</v>
      </c>
      <c r="B74" s="9">
        <v>521</v>
      </c>
      <c r="C74" s="9">
        <v>0</v>
      </c>
      <c r="D74" s="9">
        <v>0</v>
      </c>
      <c r="E74" s="9">
        <v>522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</row>
    <row r="75" spans="1:24" x14ac:dyDescent="0.2">
      <c r="A75" s="4" t="s">
        <v>123</v>
      </c>
      <c r="B75" s="9">
        <v>4161</v>
      </c>
      <c r="C75" s="9">
        <v>668</v>
      </c>
      <c r="D75" s="9">
        <v>503</v>
      </c>
      <c r="E75" s="9">
        <v>613</v>
      </c>
      <c r="F75" s="9">
        <v>0</v>
      </c>
      <c r="G75" s="9">
        <v>824</v>
      </c>
      <c r="H75" s="9">
        <v>357</v>
      </c>
      <c r="I75" s="9">
        <v>475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720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</row>
    <row r="76" spans="1:24" x14ac:dyDescent="0.2">
      <c r="A76" s="4" t="s">
        <v>124</v>
      </c>
      <c r="B76" s="11">
        <v>563183</v>
      </c>
      <c r="C76" s="11">
        <v>30656</v>
      </c>
      <c r="D76" s="11">
        <v>28854</v>
      </c>
      <c r="E76" s="11">
        <v>30514</v>
      </c>
      <c r="F76" s="11">
        <v>23681</v>
      </c>
      <c r="G76" s="11">
        <v>27779</v>
      </c>
      <c r="H76" s="11">
        <v>21503</v>
      </c>
      <c r="I76" s="11">
        <v>18588</v>
      </c>
      <c r="J76" s="11">
        <v>28794</v>
      </c>
      <c r="K76" s="11">
        <v>23299</v>
      </c>
      <c r="L76" s="11">
        <v>31966</v>
      </c>
      <c r="M76" s="11">
        <v>31889</v>
      </c>
      <c r="N76" s="11">
        <v>67524</v>
      </c>
      <c r="O76" s="11">
        <v>37725</v>
      </c>
      <c r="P76" s="11">
        <v>33243</v>
      </c>
      <c r="Q76" s="11">
        <v>30007</v>
      </c>
      <c r="R76" s="11">
        <v>33480</v>
      </c>
      <c r="S76" s="11">
        <v>4286</v>
      </c>
      <c r="T76" s="11">
        <v>16290</v>
      </c>
      <c r="U76" s="11">
        <v>11336</v>
      </c>
      <c r="V76" s="11">
        <v>19656</v>
      </c>
      <c r="W76" s="11">
        <v>12113</v>
      </c>
      <c r="X76" s="11">
        <v>0</v>
      </c>
    </row>
    <row r="77" spans="1:24" x14ac:dyDescent="0.2">
      <c r="A77" s="4" t="s">
        <v>42</v>
      </c>
      <c r="B77" s="13" t="s">
        <v>73</v>
      </c>
      <c r="C77" s="13" t="s">
        <v>73</v>
      </c>
      <c r="D77" s="13" t="s">
        <v>73</v>
      </c>
      <c r="E77" s="13" t="s">
        <v>73</v>
      </c>
      <c r="F77" s="13" t="s">
        <v>73</v>
      </c>
      <c r="G77" s="13" t="s">
        <v>73</v>
      </c>
      <c r="H77" s="13" t="s">
        <v>73</v>
      </c>
      <c r="I77" s="13" t="s">
        <v>73</v>
      </c>
      <c r="J77" s="13" t="s">
        <v>73</v>
      </c>
      <c r="K77" s="13" t="s">
        <v>73</v>
      </c>
      <c r="L77" s="13" t="s">
        <v>73</v>
      </c>
      <c r="M77" s="13" t="s">
        <v>73</v>
      </c>
      <c r="N77" s="13" t="s">
        <v>73</v>
      </c>
      <c r="O77" s="13" t="s">
        <v>73</v>
      </c>
      <c r="P77" s="13" t="s">
        <v>73</v>
      </c>
      <c r="Q77" s="13" t="s">
        <v>73</v>
      </c>
      <c r="R77" s="13" t="s">
        <v>73</v>
      </c>
      <c r="S77" s="13" t="s">
        <v>73</v>
      </c>
      <c r="T77" s="13" t="s">
        <v>73</v>
      </c>
      <c r="U77" s="13" t="s">
        <v>73</v>
      </c>
      <c r="V77" s="13" t="s">
        <v>73</v>
      </c>
      <c r="W77" s="13" t="s">
        <v>73</v>
      </c>
      <c r="X77" s="13" t="s">
        <v>73</v>
      </c>
    </row>
    <row r="78" spans="1:24" x14ac:dyDescent="0.2">
      <c r="A78" s="4" t="s">
        <v>125</v>
      </c>
      <c r="B78" s="9">
        <v>223449</v>
      </c>
      <c r="C78" s="9">
        <v>12995</v>
      </c>
      <c r="D78" s="9">
        <v>10780</v>
      </c>
      <c r="E78" s="9">
        <v>11452</v>
      </c>
      <c r="F78" s="9">
        <v>9904</v>
      </c>
      <c r="G78" s="9">
        <v>10383</v>
      </c>
      <c r="H78" s="9">
        <v>10392</v>
      </c>
      <c r="I78" s="9">
        <v>7427</v>
      </c>
      <c r="J78" s="9">
        <v>10366</v>
      </c>
      <c r="K78" s="9">
        <v>7540</v>
      </c>
      <c r="L78" s="9">
        <v>12601</v>
      </c>
      <c r="M78" s="9">
        <v>13092</v>
      </c>
      <c r="N78" s="9">
        <v>26921</v>
      </c>
      <c r="O78" s="9">
        <v>14327</v>
      </c>
      <c r="P78" s="9">
        <v>16127</v>
      </c>
      <c r="Q78" s="9">
        <v>14178</v>
      </c>
      <c r="R78" s="9">
        <v>15214</v>
      </c>
      <c r="S78" s="9">
        <v>5467</v>
      </c>
      <c r="T78" s="9">
        <v>4424</v>
      </c>
      <c r="U78" s="9">
        <v>3035</v>
      </c>
      <c r="V78" s="9">
        <v>5497</v>
      </c>
      <c r="W78" s="9">
        <v>1327</v>
      </c>
      <c r="X78" s="9">
        <v>0</v>
      </c>
    </row>
    <row r="79" spans="1:24" x14ac:dyDescent="0.2">
      <c r="A79" s="4" t="s">
        <v>126</v>
      </c>
      <c r="B79" s="9">
        <v>95189</v>
      </c>
      <c r="C79" s="9">
        <v>6188</v>
      </c>
      <c r="D79" s="9">
        <v>5387</v>
      </c>
      <c r="E79" s="9">
        <v>5799</v>
      </c>
      <c r="F79" s="9">
        <v>3174</v>
      </c>
      <c r="G79" s="9">
        <v>5117</v>
      </c>
      <c r="H79" s="9">
        <v>5303</v>
      </c>
      <c r="I79" s="9">
        <v>3690</v>
      </c>
      <c r="J79" s="9">
        <v>4736</v>
      </c>
      <c r="K79" s="9">
        <v>3794</v>
      </c>
      <c r="L79" s="9">
        <v>5704</v>
      </c>
      <c r="M79" s="9">
        <v>6531</v>
      </c>
      <c r="N79" s="9">
        <v>12413</v>
      </c>
      <c r="O79" s="9">
        <v>7213</v>
      </c>
      <c r="P79" s="9">
        <v>7697</v>
      </c>
      <c r="Q79" s="9">
        <v>6899</v>
      </c>
      <c r="R79" s="9">
        <v>6074</v>
      </c>
      <c r="S79" s="9">
        <v>-2734</v>
      </c>
      <c r="T79" s="9">
        <v>-2569</v>
      </c>
      <c r="U79" s="9">
        <v>1541</v>
      </c>
      <c r="V79" s="9">
        <v>2539</v>
      </c>
      <c r="W79" s="9">
        <v>694</v>
      </c>
      <c r="X79" s="9">
        <v>0</v>
      </c>
    </row>
    <row r="80" spans="1:24" x14ac:dyDescent="0.2">
      <c r="A80" s="4" t="s">
        <v>127</v>
      </c>
      <c r="B80" s="9">
        <v>10284</v>
      </c>
      <c r="C80" s="9">
        <v>462</v>
      </c>
      <c r="D80" s="9">
        <v>454</v>
      </c>
      <c r="E80" s="9">
        <v>565</v>
      </c>
      <c r="F80" s="9">
        <v>421</v>
      </c>
      <c r="G80" s="9">
        <v>535</v>
      </c>
      <c r="H80" s="9">
        <v>497</v>
      </c>
      <c r="I80" s="9">
        <v>315</v>
      </c>
      <c r="J80" s="9">
        <v>518</v>
      </c>
      <c r="K80" s="9">
        <v>358</v>
      </c>
      <c r="L80" s="9">
        <v>523</v>
      </c>
      <c r="M80" s="9">
        <v>707</v>
      </c>
      <c r="N80" s="9">
        <v>1164</v>
      </c>
      <c r="O80" s="9">
        <v>679</v>
      </c>
      <c r="P80" s="9">
        <v>752</v>
      </c>
      <c r="Q80" s="9">
        <v>729</v>
      </c>
      <c r="R80" s="9">
        <v>425</v>
      </c>
      <c r="S80" s="9">
        <v>326</v>
      </c>
      <c r="T80" s="9">
        <v>295</v>
      </c>
      <c r="U80" s="9">
        <v>200</v>
      </c>
      <c r="V80" s="9">
        <v>253</v>
      </c>
      <c r="W80" s="9">
        <v>105</v>
      </c>
      <c r="X80" s="9">
        <v>0</v>
      </c>
    </row>
    <row r="81" spans="1:24" x14ac:dyDescent="0.2">
      <c r="A81" s="4" t="s">
        <v>128</v>
      </c>
      <c r="B81" s="9">
        <v>27201</v>
      </c>
      <c r="C81" s="9">
        <v>2526</v>
      </c>
      <c r="D81" s="9">
        <v>2012</v>
      </c>
      <c r="E81" s="9">
        <v>2311</v>
      </c>
      <c r="F81" s="9">
        <v>2034</v>
      </c>
      <c r="G81" s="9">
        <v>1968</v>
      </c>
      <c r="H81" s="9">
        <v>1835</v>
      </c>
      <c r="I81" s="9">
        <v>1447</v>
      </c>
      <c r="J81" s="9">
        <v>999</v>
      </c>
      <c r="K81" s="9">
        <v>509</v>
      </c>
      <c r="L81" s="9">
        <v>731</v>
      </c>
      <c r="M81" s="9">
        <v>723</v>
      </c>
      <c r="N81" s="9">
        <v>1889</v>
      </c>
      <c r="O81" s="9">
        <v>1082</v>
      </c>
      <c r="P81" s="9">
        <v>1302</v>
      </c>
      <c r="Q81" s="9">
        <v>1830</v>
      </c>
      <c r="R81" s="9">
        <v>1062</v>
      </c>
      <c r="S81" s="9">
        <v>638</v>
      </c>
      <c r="T81" s="9">
        <v>686</v>
      </c>
      <c r="U81" s="9">
        <v>523</v>
      </c>
      <c r="V81" s="9">
        <v>844</v>
      </c>
      <c r="W81" s="9">
        <v>251</v>
      </c>
      <c r="X81" s="9">
        <v>0</v>
      </c>
    </row>
    <row r="82" spans="1:24" x14ac:dyDescent="0.2">
      <c r="A82" s="4" t="s">
        <v>129</v>
      </c>
      <c r="B82" s="9">
        <v>45442</v>
      </c>
      <c r="C82" s="9">
        <v>8688</v>
      </c>
      <c r="D82" s="9">
        <v>3201</v>
      </c>
      <c r="E82" s="9">
        <v>1664</v>
      </c>
      <c r="F82" s="9">
        <v>1481</v>
      </c>
      <c r="G82" s="9">
        <v>2567</v>
      </c>
      <c r="H82" s="9">
        <v>1321</v>
      </c>
      <c r="I82" s="9">
        <v>3878</v>
      </c>
      <c r="J82" s="9">
        <v>-940</v>
      </c>
      <c r="K82" s="9">
        <v>43</v>
      </c>
      <c r="L82" s="9">
        <v>-450</v>
      </c>
      <c r="M82" s="9">
        <v>2760</v>
      </c>
      <c r="N82" s="9">
        <v>-3041</v>
      </c>
      <c r="O82" s="9">
        <v>4520</v>
      </c>
      <c r="P82" s="9">
        <v>3403</v>
      </c>
      <c r="Q82" s="9">
        <v>44</v>
      </c>
      <c r="R82" s="9">
        <v>934</v>
      </c>
      <c r="S82" s="9">
        <v>14678</v>
      </c>
      <c r="T82" s="9">
        <v>1118</v>
      </c>
      <c r="U82" s="9">
        <v>3</v>
      </c>
      <c r="V82" s="9">
        <v>-257</v>
      </c>
      <c r="W82" s="9">
        <v>-170</v>
      </c>
      <c r="X82" s="9">
        <v>0</v>
      </c>
    </row>
    <row r="83" spans="1:24" x14ac:dyDescent="0.2">
      <c r="A83" s="4" t="s">
        <v>130</v>
      </c>
      <c r="B83" s="9">
        <v>759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100</v>
      </c>
      <c r="K83" s="9">
        <v>0</v>
      </c>
      <c r="L83" s="9">
        <v>97</v>
      </c>
      <c r="M83" s="9">
        <v>82</v>
      </c>
      <c r="N83" s="9">
        <v>162</v>
      </c>
      <c r="O83" s="9">
        <v>144</v>
      </c>
      <c r="P83" s="9">
        <v>96</v>
      </c>
      <c r="Q83" s="9">
        <v>0</v>
      </c>
      <c r="R83" s="9">
        <v>0</v>
      </c>
      <c r="S83" s="9">
        <v>30</v>
      </c>
      <c r="T83" s="9">
        <v>13</v>
      </c>
      <c r="U83" s="9">
        <v>0</v>
      </c>
      <c r="V83" s="9">
        <v>30</v>
      </c>
      <c r="W83" s="9">
        <v>3</v>
      </c>
      <c r="X83" s="9">
        <v>0</v>
      </c>
    </row>
    <row r="84" spans="1:24" x14ac:dyDescent="0.2">
      <c r="A84" s="4" t="s">
        <v>131</v>
      </c>
      <c r="B84" s="9">
        <v>1299</v>
      </c>
      <c r="C84" s="9">
        <v>141</v>
      </c>
      <c r="D84" s="9">
        <v>6</v>
      </c>
      <c r="E84" s="9">
        <v>6</v>
      </c>
      <c r="F84" s="9">
        <v>6</v>
      </c>
      <c r="G84" s="9">
        <v>6</v>
      </c>
      <c r="H84" s="9">
        <v>51</v>
      </c>
      <c r="I84" s="9">
        <v>6</v>
      </c>
      <c r="J84" s="9">
        <v>381</v>
      </c>
      <c r="K84" s="9">
        <v>40</v>
      </c>
      <c r="L84" s="9">
        <v>134</v>
      </c>
      <c r="M84" s="9">
        <v>45</v>
      </c>
      <c r="N84" s="9">
        <v>0</v>
      </c>
      <c r="O84" s="9">
        <v>40</v>
      </c>
      <c r="P84" s="9">
        <v>80</v>
      </c>
      <c r="Q84" s="9">
        <v>45</v>
      </c>
      <c r="R84" s="9">
        <v>0</v>
      </c>
      <c r="S84" s="9">
        <v>45</v>
      </c>
      <c r="T84" s="9">
        <v>20</v>
      </c>
      <c r="U84" s="9">
        <v>225</v>
      </c>
      <c r="V84" s="9">
        <v>20</v>
      </c>
      <c r="W84" s="9">
        <v>0</v>
      </c>
      <c r="X84" s="9">
        <v>0</v>
      </c>
    </row>
    <row r="85" spans="1:24" x14ac:dyDescent="0.2">
      <c r="A85" s="4" t="s">
        <v>132</v>
      </c>
      <c r="B85" s="9">
        <v>15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15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</row>
    <row r="86" spans="1:24" x14ac:dyDescent="0.2">
      <c r="A86" s="4" t="s">
        <v>133</v>
      </c>
      <c r="B86" s="9">
        <v>100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100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</row>
    <row r="87" spans="1:24" x14ac:dyDescent="0.2">
      <c r="A87" s="4" t="s">
        <v>134</v>
      </c>
      <c r="B87" s="9">
        <v>1889</v>
      </c>
      <c r="C87" s="9">
        <v>100</v>
      </c>
      <c r="D87" s="9">
        <v>100</v>
      </c>
      <c r="E87" s="9">
        <v>100</v>
      </c>
      <c r="F87" s="9">
        <v>100</v>
      </c>
      <c r="G87" s="9">
        <v>100</v>
      </c>
      <c r="H87" s="9">
        <v>100</v>
      </c>
      <c r="I87" s="9">
        <v>100</v>
      </c>
      <c r="J87" s="9">
        <v>0</v>
      </c>
      <c r="K87" s="9">
        <v>0</v>
      </c>
      <c r="L87" s="9">
        <v>0</v>
      </c>
      <c r="M87" s="9">
        <v>0</v>
      </c>
      <c r="N87" s="9">
        <v>26</v>
      </c>
      <c r="O87" s="9">
        <v>0</v>
      </c>
      <c r="P87" s="9">
        <v>0</v>
      </c>
      <c r="Q87" s="9">
        <v>581</v>
      </c>
      <c r="R87" s="9">
        <v>0</v>
      </c>
      <c r="S87" s="9">
        <v>0</v>
      </c>
      <c r="T87" s="9">
        <v>266</v>
      </c>
      <c r="U87" s="9">
        <v>45</v>
      </c>
      <c r="V87" s="9">
        <v>272</v>
      </c>
      <c r="W87" s="9">
        <v>0</v>
      </c>
      <c r="X87" s="9">
        <v>0</v>
      </c>
    </row>
    <row r="88" spans="1:24" x14ac:dyDescent="0.2">
      <c r="A88" s="4" t="s">
        <v>135</v>
      </c>
      <c r="B88" s="9">
        <v>781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269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218</v>
      </c>
      <c r="Q88" s="9">
        <v>5</v>
      </c>
      <c r="R88" s="9">
        <v>0</v>
      </c>
      <c r="S88" s="9">
        <v>0</v>
      </c>
      <c r="T88" s="9">
        <v>0</v>
      </c>
      <c r="U88" s="9">
        <v>0</v>
      </c>
      <c r="V88" s="9">
        <v>275</v>
      </c>
      <c r="W88" s="9">
        <v>13</v>
      </c>
      <c r="X88" s="9">
        <v>0</v>
      </c>
    </row>
    <row r="89" spans="1:24" x14ac:dyDescent="0.2">
      <c r="A89" s="4" t="s">
        <v>136</v>
      </c>
      <c r="B89" s="9">
        <v>13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13</v>
      </c>
      <c r="V89" s="9">
        <v>0</v>
      </c>
      <c r="W89" s="9">
        <v>0</v>
      </c>
      <c r="X89" s="9">
        <v>0</v>
      </c>
    </row>
    <row r="90" spans="1:24" x14ac:dyDescent="0.2">
      <c r="A90" s="4" t="s">
        <v>137</v>
      </c>
      <c r="B90" s="11">
        <v>406421</v>
      </c>
      <c r="C90" s="11">
        <v>31100</v>
      </c>
      <c r="D90" s="11">
        <v>21940</v>
      </c>
      <c r="E90" s="11">
        <v>21897</v>
      </c>
      <c r="F90" s="11">
        <v>17120</v>
      </c>
      <c r="G90" s="11">
        <v>20676</v>
      </c>
      <c r="H90" s="11">
        <v>19499</v>
      </c>
      <c r="I90" s="11">
        <v>16863</v>
      </c>
      <c r="J90" s="11">
        <v>16429</v>
      </c>
      <c r="K90" s="11">
        <v>12284</v>
      </c>
      <c r="L90" s="11">
        <v>19340</v>
      </c>
      <c r="M90" s="11">
        <v>23940</v>
      </c>
      <c r="N90" s="11">
        <v>39534</v>
      </c>
      <c r="O90" s="11">
        <v>28005</v>
      </c>
      <c r="P90" s="11">
        <v>29675</v>
      </c>
      <c r="Q90" s="11">
        <v>24326</v>
      </c>
      <c r="R90" s="11">
        <v>23809</v>
      </c>
      <c r="S90" s="11">
        <v>18450</v>
      </c>
      <c r="T90" s="11">
        <v>4253</v>
      </c>
      <c r="U90" s="11">
        <v>5585</v>
      </c>
      <c r="V90" s="11">
        <v>9473</v>
      </c>
      <c r="W90" s="11">
        <v>2223</v>
      </c>
      <c r="X90" s="11">
        <v>0</v>
      </c>
    </row>
    <row r="91" spans="1:24" x14ac:dyDescent="0.2">
      <c r="A91" s="4" t="s">
        <v>43</v>
      </c>
      <c r="B91" s="13" t="s">
        <v>73</v>
      </c>
      <c r="C91" s="13" t="s">
        <v>73</v>
      </c>
      <c r="D91" s="13" t="s">
        <v>73</v>
      </c>
      <c r="E91" s="13" t="s">
        <v>73</v>
      </c>
      <c r="F91" s="13" t="s">
        <v>73</v>
      </c>
      <c r="G91" s="13" t="s">
        <v>73</v>
      </c>
      <c r="H91" s="13" t="s">
        <v>73</v>
      </c>
      <c r="I91" s="13" t="s">
        <v>73</v>
      </c>
      <c r="J91" s="13" t="s">
        <v>73</v>
      </c>
      <c r="K91" s="13" t="s">
        <v>73</v>
      </c>
      <c r="L91" s="13" t="s">
        <v>73</v>
      </c>
      <c r="M91" s="13" t="s">
        <v>73</v>
      </c>
      <c r="N91" s="13" t="s">
        <v>73</v>
      </c>
      <c r="O91" s="13" t="s">
        <v>73</v>
      </c>
      <c r="P91" s="13" t="s">
        <v>73</v>
      </c>
      <c r="Q91" s="13" t="s">
        <v>73</v>
      </c>
      <c r="R91" s="13" t="s">
        <v>73</v>
      </c>
      <c r="S91" s="13" t="s">
        <v>73</v>
      </c>
      <c r="T91" s="13" t="s">
        <v>73</v>
      </c>
      <c r="U91" s="13" t="s">
        <v>73</v>
      </c>
      <c r="V91" s="13" t="s">
        <v>73</v>
      </c>
      <c r="W91" s="13" t="s">
        <v>73</v>
      </c>
      <c r="X91" s="13" t="s">
        <v>73</v>
      </c>
    </row>
    <row r="92" spans="1:24" x14ac:dyDescent="0.2">
      <c r="A92" s="4" t="s">
        <v>74</v>
      </c>
      <c r="B92" s="9">
        <v>44578</v>
      </c>
      <c r="C92" s="9">
        <v>0</v>
      </c>
      <c r="D92" s="9">
        <v>0</v>
      </c>
      <c r="E92" s="9">
        <v>3123</v>
      </c>
      <c r="F92" s="9">
        <v>0</v>
      </c>
      <c r="G92" s="9">
        <v>3757</v>
      </c>
      <c r="H92" s="9">
        <v>1211</v>
      </c>
      <c r="I92" s="9">
        <v>0</v>
      </c>
      <c r="J92" s="9">
        <v>5620</v>
      </c>
      <c r="K92" s="9">
        <v>2214</v>
      </c>
      <c r="L92" s="9">
        <v>3659</v>
      </c>
      <c r="M92" s="9">
        <v>4271</v>
      </c>
      <c r="N92" s="9">
        <v>4888</v>
      </c>
      <c r="O92" s="9">
        <v>8440</v>
      </c>
      <c r="P92" s="9">
        <v>1610</v>
      </c>
      <c r="Q92" s="9">
        <v>5784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</row>
    <row r="93" spans="1:24" x14ac:dyDescent="0.2">
      <c r="A93" s="4" t="s">
        <v>75</v>
      </c>
      <c r="B93" s="9">
        <v>529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23</v>
      </c>
      <c r="K93" s="9">
        <v>0</v>
      </c>
      <c r="L93" s="9">
        <v>204</v>
      </c>
      <c r="M93" s="9">
        <v>0</v>
      </c>
      <c r="N93" s="9">
        <v>49</v>
      </c>
      <c r="O93" s="9">
        <v>253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</row>
    <row r="94" spans="1:24" x14ac:dyDescent="0.2">
      <c r="A94" s="4" t="s">
        <v>77</v>
      </c>
      <c r="B94" s="9">
        <v>14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14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</row>
    <row r="95" spans="1:24" x14ac:dyDescent="0.2">
      <c r="A95" s="4" t="s">
        <v>78</v>
      </c>
      <c r="B95" s="9">
        <v>7219</v>
      </c>
      <c r="C95" s="9">
        <v>0</v>
      </c>
      <c r="D95" s="9">
        <v>-842</v>
      </c>
      <c r="E95" s="9">
        <v>-156</v>
      </c>
      <c r="F95" s="9">
        <v>0</v>
      </c>
      <c r="G95" s="9">
        <v>727</v>
      </c>
      <c r="H95" s="9">
        <v>144</v>
      </c>
      <c r="I95" s="9">
        <v>0</v>
      </c>
      <c r="J95" s="9">
        <v>2149</v>
      </c>
      <c r="K95" s="9">
        <v>-406</v>
      </c>
      <c r="L95" s="9">
        <v>991</v>
      </c>
      <c r="M95" s="9">
        <v>303</v>
      </c>
      <c r="N95" s="9">
        <v>1124</v>
      </c>
      <c r="O95" s="9">
        <v>2920</v>
      </c>
      <c r="P95" s="9">
        <v>33</v>
      </c>
      <c r="Q95" s="9">
        <v>231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</row>
    <row r="96" spans="1:24" x14ac:dyDescent="0.2">
      <c r="A96" s="4" t="s">
        <v>138</v>
      </c>
      <c r="B96" s="9">
        <v>5888</v>
      </c>
      <c r="C96" s="9">
        <v>385</v>
      </c>
      <c r="D96" s="9">
        <v>388</v>
      </c>
      <c r="E96" s="9">
        <v>231</v>
      </c>
      <c r="F96" s="9">
        <v>384</v>
      </c>
      <c r="G96" s="9">
        <v>393</v>
      </c>
      <c r="H96" s="9">
        <v>0</v>
      </c>
      <c r="I96" s="9">
        <v>0</v>
      </c>
      <c r="J96" s="9">
        <v>305</v>
      </c>
      <c r="K96" s="9">
        <v>394</v>
      </c>
      <c r="L96" s="9">
        <v>129</v>
      </c>
      <c r="M96" s="9">
        <v>558</v>
      </c>
      <c r="N96" s="9">
        <v>1003</v>
      </c>
      <c r="O96" s="9">
        <v>510</v>
      </c>
      <c r="P96" s="9">
        <v>129</v>
      </c>
      <c r="Q96" s="9">
        <v>415</v>
      </c>
      <c r="R96" s="9">
        <v>343</v>
      </c>
      <c r="S96" s="9">
        <v>53</v>
      </c>
      <c r="T96" s="9">
        <v>0</v>
      </c>
      <c r="U96" s="9">
        <v>211</v>
      </c>
      <c r="V96" s="9">
        <v>0</v>
      </c>
      <c r="W96" s="9">
        <v>59</v>
      </c>
      <c r="X96" s="9">
        <v>0</v>
      </c>
    </row>
    <row r="97" spans="1:24" x14ac:dyDescent="0.2">
      <c r="A97" s="4" t="s">
        <v>139</v>
      </c>
      <c r="B97" s="9">
        <v>1110</v>
      </c>
      <c r="C97" s="9">
        <v>0</v>
      </c>
      <c r="D97" s="9">
        <v>106</v>
      </c>
      <c r="E97" s="9">
        <v>0</v>
      </c>
      <c r="F97" s="9">
        <v>0</v>
      </c>
      <c r="G97" s="9">
        <v>679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325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</row>
    <row r="98" spans="1:24" x14ac:dyDescent="0.2">
      <c r="A98" s="4" t="s">
        <v>140</v>
      </c>
      <c r="B98" s="9">
        <v>5792</v>
      </c>
      <c r="C98" s="9">
        <v>184</v>
      </c>
      <c r="D98" s="9">
        <v>0</v>
      </c>
      <c r="E98" s="9">
        <v>183</v>
      </c>
      <c r="F98" s="9">
        <v>0</v>
      </c>
      <c r="G98" s="9">
        <v>0</v>
      </c>
      <c r="H98" s="9">
        <v>0</v>
      </c>
      <c r="I98" s="9">
        <v>89</v>
      </c>
      <c r="J98" s="9">
        <v>0</v>
      </c>
      <c r="K98" s="9">
        <v>164</v>
      </c>
      <c r="L98" s="9">
        <v>3681</v>
      </c>
      <c r="M98" s="9">
        <v>361</v>
      </c>
      <c r="N98" s="9">
        <v>328</v>
      </c>
      <c r="O98" s="9">
        <v>53</v>
      </c>
      <c r="P98" s="9">
        <v>358</v>
      </c>
      <c r="Q98" s="9">
        <v>390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</row>
    <row r="99" spans="1:24" x14ac:dyDescent="0.2">
      <c r="A99" s="4" t="s">
        <v>141</v>
      </c>
      <c r="B99" s="11">
        <v>65130</v>
      </c>
      <c r="C99" s="11">
        <v>569</v>
      </c>
      <c r="D99" s="11">
        <v>-348</v>
      </c>
      <c r="E99" s="11">
        <v>3381</v>
      </c>
      <c r="F99" s="11">
        <v>384</v>
      </c>
      <c r="G99" s="11">
        <v>5556</v>
      </c>
      <c r="H99" s="11">
        <v>1355</v>
      </c>
      <c r="I99" s="11">
        <v>89</v>
      </c>
      <c r="J99" s="11">
        <v>8111</v>
      </c>
      <c r="K99" s="11">
        <v>2366</v>
      </c>
      <c r="L99" s="11">
        <v>8664</v>
      </c>
      <c r="M99" s="11">
        <v>5493</v>
      </c>
      <c r="N99" s="11">
        <v>7392</v>
      </c>
      <c r="O99" s="11">
        <v>12176</v>
      </c>
      <c r="P99" s="11">
        <v>2130</v>
      </c>
      <c r="Q99" s="11">
        <v>6820</v>
      </c>
      <c r="R99" s="11">
        <v>668</v>
      </c>
      <c r="S99" s="11">
        <v>53</v>
      </c>
      <c r="T99" s="11">
        <v>0</v>
      </c>
      <c r="U99" s="11">
        <v>211</v>
      </c>
      <c r="V99" s="11">
        <v>0</v>
      </c>
      <c r="W99" s="11">
        <v>59</v>
      </c>
      <c r="X99" s="11">
        <v>0</v>
      </c>
    </row>
    <row r="100" spans="1:24" x14ac:dyDescent="0.2">
      <c r="A100" s="4" t="s">
        <v>44</v>
      </c>
      <c r="B100" s="12">
        <v>4505446</v>
      </c>
      <c r="C100" s="12">
        <v>260058</v>
      </c>
      <c r="D100" s="12">
        <v>211188</v>
      </c>
      <c r="E100" s="12">
        <v>217954</v>
      </c>
      <c r="F100" s="12">
        <v>183461</v>
      </c>
      <c r="G100" s="12">
        <v>225268</v>
      </c>
      <c r="H100" s="12">
        <v>194071</v>
      </c>
      <c r="I100" s="12">
        <v>147829</v>
      </c>
      <c r="J100" s="12">
        <v>225466</v>
      </c>
      <c r="K100" s="12">
        <v>199091</v>
      </c>
      <c r="L100" s="12">
        <v>275039</v>
      </c>
      <c r="M100" s="12">
        <v>255686</v>
      </c>
      <c r="N100" s="12">
        <v>548937</v>
      </c>
      <c r="O100" s="12">
        <v>341674</v>
      </c>
      <c r="P100" s="12">
        <v>334471</v>
      </c>
      <c r="Q100" s="12">
        <v>253743</v>
      </c>
      <c r="R100" s="12">
        <v>271496</v>
      </c>
      <c r="S100" s="12">
        <v>89959</v>
      </c>
      <c r="T100" s="12">
        <v>75358</v>
      </c>
      <c r="U100" s="12">
        <v>65363</v>
      </c>
      <c r="V100" s="12">
        <v>94388</v>
      </c>
      <c r="W100" s="12">
        <v>35625</v>
      </c>
      <c r="X100" s="12">
        <v>-681</v>
      </c>
    </row>
    <row r="101" spans="1:24" x14ac:dyDescent="0.2">
      <c r="A101" s="2" t="s">
        <v>6</v>
      </c>
    </row>
    <row r="102" spans="1:24" x14ac:dyDescent="0.2">
      <c r="A102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1"/>
  <sheetViews>
    <sheetView topLeftCell="A14" workbookViewId="0">
      <selection activeCell="A43" sqref="A43"/>
    </sheetView>
  </sheetViews>
  <sheetFormatPr defaultColWidth="9.140625" defaultRowHeight="12.75" x14ac:dyDescent="0.2"/>
  <cols>
    <col min="1" max="1" width="42.2851562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6.42578125" style="1" customWidth="1"/>
    <col min="20" max="20" width="13.5703125" style="1" customWidth="1"/>
    <col min="21" max="21" width="13.140625" style="1" customWidth="1"/>
    <col min="22" max="22" width="13.85546875" style="1" customWidth="1"/>
    <col min="23" max="23" width="14" style="1" customWidth="1"/>
    <col min="24" max="24" width="14.5703125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0</v>
      </c>
    </row>
    <row r="2" spans="1:24" ht="18" x14ac:dyDescent="0.25">
      <c r="A2" s="3" t="s">
        <v>142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</row>
    <row r="8" spans="1:24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46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143</v>
      </c>
      <c r="B12" s="4" t="s">
        <v>73</v>
      </c>
      <c r="C12" s="4" t="s">
        <v>73</v>
      </c>
      <c r="D12" s="4" t="s">
        <v>73</v>
      </c>
      <c r="E12" s="4" t="s">
        <v>73</v>
      </c>
      <c r="F12" s="4" t="s">
        <v>73</v>
      </c>
      <c r="G12" s="4" t="s">
        <v>73</v>
      </c>
      <c r="H12" s="4" t="s">
        <v>73</v>
      </c>
      <c r="I12" s="4" t="s">
        <v>73</v>
      </c>
      <c r="J12" s="4" t="s">
        <v>73</v>
      </c>
      <c r="K12" s="4" t="s">
        <v>73</v>
      </c>
      <c r="L12" s="4" t="s">
        <v>73</v>
      </c>
      <c r="M12" s="4" t="s">
        <v>73</v>
      </c>
      <c r="N12" s="4" t="s">
        <v>73</v>
      </c>
      <c r="O12" s="4" t="s">
        <v>73</v>
      </c>
      <c r="P12" s="4" t="s">
        <v>73</v>
      </c>
      <c r="Q12" s="4" t="s">
        <v>73</v>
      </c>
      <c r="R12" s="4" t="s">
        <v>73</v>
      </c>
      <c r="S12" s="4" t="s">
        <v>73</v>
      </c>
      <c r="T12" s="4" t="s">
        <v>73</v>
      </c>
      <c r="U12" s="4" t="s">
        <v>73</v>
      </c>
      <c r="V12" s="4" t="s">
        <v>73</v>
      </c>
      <c r="W12" s="4" t="s">
        <v>73</v>
      </c>
      <c r="X12" s="4" t="s">
        <v>73</v>
      </c>
    </row>
    <row r="13" spans="1:24" x14ac:dyDescent="0.2">
      <c r="A13" s="4" t="s">
        <v>144</v>
      </c>
      <c r="B13" s="9">
        <v>3567</v>
      </c>
      <c r="C13" s="9">
        <v>0</v>
      </c>
      <c r="D13" s="9">
        <v>55</v>
      </c>
      <c r="E13" s="9">
        <v>0</v>
      </c>
      <c r="F13" s="9">
        <v>94</v>
      </c>
      <c r="G13" s="9">
        <v>0</v>
      </c>
      <c r="H13" s="9">
        <v>126</v>
      </c>
      <c r="I13" s="9">
        <v>550</v>
      </c>
      <c r="J13" s="9">
        <v>166</v>
      </c>
      <c r="K13" s="9">
        <v>1116</v>
      </c>
      <c r="L13" s="9">
        <v>129</v>
      </c>
      <c r="M13" s="9">
        <v>296</v>
      </c>
      <c r="N13" s="9">
        <v>14</v>
      </c>
      <c r="O13" s="9">
        <v>0</v>
      </c>
      <c r="P13" s="9">
        <v>540</v>
      </c>
      <c r="Q13" s="9">
        <v>0</v>
      </c>
      <c r="R13" s="9">
        <v>0</v>
      </c>
      <c r="S13" s="9">
        <v>37</v>
      </c>
      <c r="T13" s="9">
        <v>0</v>
      </c>
      <c r="U13" s="9">
        <v>219</v>
      </c>
      <c r="V13" s="9">
        <v>194</v>
      </c>
      <c r="W13" s="9">
        <v>33</v>
      </c>
      <c r="X13" s="9">
        <v>0</v>
      </c>
    </row>
    <row r="14" spans="1:24" x14ac:dyDescent="0.2">
      <c r="A14" s="4" t="s">
        <v>145</v>
      </c>
      <c r="B14" s="9">
        <v>599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30</v>
      </c>
      <c r="K14" s="9">
        <v>0</v>
      </c>
      <c r="L14" s="9">
        <v>173</v>
      </c>
      <c r="M14" s="9">
        <v>0</v>
      </c>
      <c r="N14" s="9">
        <v>0</v>
      </c>
      <c r="O14" s="9">
        <v>0</v>
      </c>
      <c r="P14" s="9">
        <v>191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204</v>
      </c>
      <c r="W14" s="9">
        <v>0</v>
      </c>
      <c r="X14" s="9">
        <v>0</v>
      </c>
    </row>
    <row r="15" spans="1:24" x14ac:dyDescent="0.2">
      <c r="A15" s="4" t="s">
        <v>146</v>
      </c>
      <c r="B15" s="9">
        <v>2071</v>
      </c>
      <c r="C15" s="9">
        <v>296</v>
      </c>
      <c r="D15" s="9">
        <v>296</v>
      </c>
      <c r="E15" s="9">
        <v>296</v>
      </c>
      <c r="F15" s="9">
        <v>296</v>
      </c>
      <c r="G15" s="9">
        <v>296</v>
      </c>
      <c r="H15" s="9">
        <v>296</v>
      </c>
      <c r="I15" s="9">
        <v>296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1:24" x14ac:dyDescent="0.2">
      <c r="A16" s="4" t="s">
        <v>147</v>
      </c>
      <c r="B16" s="11">
        <v>6237</v>
      </c>
      <c r="C16" s="11">
        <v>296</v>
      </c>
      <c r="D16" s="11">
        <v>351</v>
      </c>
      <c r="E16" s="11">
        <v>296</v>
      </c>
      <c r="F16" s="11">
        <v>390</v>
      </c>
      <c r="G16" s="11">
        <v>296</v>
      </c>
      <c r="H16" s="11">
        <v>422</v>
      </c>
      <c r="I16" s="11">
        <v>846</v>
      </c>
      <c r="J16" s="11">
        <v>196</v>
      </c>
      <c r="K16" s="11">
        <v>1116</v>
      </c>
      <c r="L16" s="11">
        <v>302</v>
      </c>
      <c r="M16" s="11">
        <v>296</v>
      </c>
      <c r="N16" s="11">
        <v>14</v>
      </c>
      <c r="O16" s="11">
        <v>0</v>
      </c>
      <c r="P16" s="11">
        <v>731</v>
      </c>
      <c r="Q16" s="11">
        <v>0</v>
      </c>
      <c r="R16" s="11">
        <v>0</v>
      </c>
      <c r="S16" s="11">
        <v>37</v>
      </c>
      <c r="T16" s="11">
        <v>0</v>
      </c>
      <c r="U16" s="11">
        <v>219</v>
      </c>
      <c r="V16" s="11">
        <v>398</v>
      </c>
      <c r="W16" s="11">
        <v>33</v>
      </c>
      <c r="X16" s="11">
        <v>0</v>
      </c>
    </row>
    <row r="17" spans="1:24" x14ac:dyDescent="0.2">
      <c r="A17" s="4" t="s">
        <v>148</v>
      </c>
      <c r="B17" s="13" t="s">
        <v>73</v>
      </c>
      <c r="C17" s="13" t="s">
        <v>73</v>
      </c>
      <c r="D17" s="13" t="s">
        <v>73</v>
      </c>
      <c r="E17" s="13" t="s">
        <v>73</v>
      </c>
      <c r="F17" s="13" t="s">
        <v>73</v>
      </c>
      <c r="G17" s="13" t="s">
        <v>73</v>
      </c>
      <c r="H17" s="13" t="s">
        <v>73</v>
      </c>
      <c r="I17" s="13" t="s">
        <v>73</v>
      </c>
      <c r="J17" s="13" t="s">
        <v>73</v>
      </c>
      <c r="K17" s="13" t="s">
        <v>73</v>
      </c>
      <c r="L17" s="13" t="s">
        <v>73</v>
      </c>
      <c r="M17" s="13" t="s">
        <v>73</v>
      </c>
      <c r="N17" s="13" t="s">
        <v>73</v>
      </c>
      <c r="O17" s="13" t="s">
        <v>73</v>
      </c>
      <c r="P17" s="13" t="s">
        <v>73</v>
      </c>
      <c r="Q17" s="13" t="s">
        <v>73</v>
      </c>
      <c r="R17" s="13" t="s">
        <v>73</v>
      </c>
      <c r="S17" s="13" t="s">
        <v>73</v>
      </c>
      <c r="T17" s="13" t="s">
        <v>73</v>
      </c>
      <c r="U17" s="13" t="s">
        <v>73</v>
      </c>
      <c r="V17" s="13" t="s">
        <v>73</v>
      </c>
      <c r="W17" s="13" t="s">
        <v>73</v>
      </c>
      <c r="X17" s="13" t="s">
        <v>73</v>
      </c>
    </row>
    <row r="18" spans="1:24" x14ac:dyDescent="0.2">
      <c r="A18" s="4" t="s">
        <v>74</v>
      </c>
      <c r="B18" s="9">
        <v>186949</v>
      </c>
      <c r="C18" s="9">
        <v>11932</v>
      </c>
      <c r="D18" s="9">
        <v>7822</v>
      </c>
      <c r="E18" s="9">
        <v>8116</v>
      </c>
      <c r="F18" s="9">
        <v>5954</v>
      </c>
      <c r="G18" s="9">
        <v>11656</v>
      </c>
      <c r="H18" s="9">
        <v>10094</v>
      </c>
      <c r="I18" s="9">
        <v>9082</v>
      </c>
      <c r="J18" s="9">
        <v>3168</v>
      </c>
      <c r="K18" s="9">
        <v>3370</v>
      </c>
      <c r="L18" s="9">
        <v>10961</v>
      </c>
      <c r="M18" s="9">
        <v>8600</v>
      </c>
      <c r="N18" s="9">
        <v>15590</v>
      </c>
      <c r="O18" s="9">
        <v>3000</v>
      </c>
      <c r="P18" s="9">
        <v>16870</v>
      </c>
      <c r="Q18" s="9">
        <v>17638</v>
      </c>
      <c r="R18" s="9">
        <v>11801</v>
      </c>
      <c r="S18" s="9">
        <v>7879</v>
      </c>
      <c r="T18" s="9">
        <v>5436</v>
      </c>
      <c r="U18" s="9">
        <v>4682</v>
      </c>
      <c r="V18" s="9">
        <v>13297</v>
      </c>
      <c r="W18" s="9">
        <v>0</v>
      </c>
      <c r="X18" s="9">
        <v>0</v>
      </c>
    </row>
    <row r="19" spans="1:24" x14ac:dyDescent="0.2">
      <c r="A19" s="4" t="s">
        <v>75</v>
      </c>
      <c r="B19" s="9">
        <v>2493</v>
      </c>
      <c r="C19" s="9">
        <v>524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4</v>
      </c>
      <c r="J19" s="9">
        <v>523</v>
      </c>
      <c r="K19" s="9">
        <v>187</v>
      </c>
      <c r="L19" s="9">
        <v>0</v>
      </c>
      <c r="M19" s="9">
        <v>0</v>
      </c>
      <c r="N19" s="9">
        <v>985</v>
      </c>
      <c r="O19" s="9">
        <v>0</v>
      </c>
      <c r="P19" s="9">
        <v>0</v>
      </c>
      <c r="Q19" s="9">
        <v>13</v>
      </c>
      <c r="R19" s="9">
        <v>0</v>
      </c>
      <c r="S19" s="9">
        <v>210</v>
      </c>
      <c r="T19" s="9">
        <v>20</v>
      </c>
      <c r="U19" s="9">
        <v>0</v>
      </c>
      <c r="V19" s="9">
        <v>27</v>
      </c>
      <c r="W19" s="9">
        <v>0</v>
      </c>
      <c r="X19" s="9">
        <v>0</v>
      </c>
    </row>
    <row r="20" spans="1:24" x14ac:dyDescent="0.2">
      <c r="A20" s="4" t="s">
        <v>77</v>
      </c>
      <c r="B20" s="9">
        <v>293</v>
      </c>
      <c r="C20" s="9">
        <v>0</v>
      </c>
      <c r="D20" s="9">
        <v>0</v>
      </c>
      <c r="E20" s="9">
        <v>57</v>
      </c>
      <c r="F20" s="9">
        <v>50</v>
      </c>
      <c r="G20" s="9">
        <v>-43</v>
      </c>
      <c r="H20" s="9">
        <v>57</v>
      </c>
      <c r="I20" s="9">
        <v>100</v>
      </c>
      <c r="J20" s="9">
        <v>71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1:24" x14ac:dyDescent="0.2">
      <c r="A21" s="4" t="s">
        <v>78</v>
      </c>
      <c r="B21" s="9">
        <v>11471</v>
      </c>
      <c r="C21" s="9">
        <v>1962</v>
      </c>
      <c r="D21" s="9">
        <v>-244</v>
      </c>
      <c r="E21" s="9">
        <v>830</v>
      </c>
      <c r="F21" s="9">
        <v>1192</v>
      </c>
      <c r="G21" s="9">
        <v>2323</v>
      </c>
      <c r="H21" s="9">
        <v>535</v>
      </c>
      <c r="I21" s="9">
        <v>1849</v>
      </c>
      <c r="J21" s="9">
        <v>-2175</v>
      </c>
      <c r="K21" s="9">
        <v>-259</v>
      </c>
      <c r="L21" s="9">
        <v>35</v>
      </c>
      <c r="M21" s="9">
        <v>928</v>
      </c>
      <c r="N21" s="9">
        <v>377</v>
      </c>
      <c r="O21" s="9">
        <v>-358</v>
      </c>
      <c r="P21" s="9">
        <v>-612</v>
      </c>
      <c r="Q21" s="9">
        <v>257</v>
      </c>
      <c r="R21" s="9">
        <v>-727</v>
      </c>
      <c r="S21" s="9">
        <v>3416</v>
      </c>
      <c r="T21" s="9">
        <v>312</v>
      </c>
      <c r="U21" s="9">
        <v>1405</v>
      </c>
      <c r="V21" s="9">
        <v>1733</v>
      </c>
      <c r="W21" s="9">
        <v>-271</v>
      </c>
      <c r="X21" s="9">
        <v>-1039</v>
      </c>
    </row>
    <row r="22" spans="1:24" x14ac:dyDescent="0.2">
      <c r="A22" s="4" t="s">
        <v>149</v>
      </c>
      <c r="B22" s="9">
        <v>1512</v>
      </c>
      <c r="C22" s="9">
        <v>0</v>
      </c>
      <c r="D22" s="9">
        <v>62</v>
      </c>
      <c r="E22" s="9">
        <v>0</v>
      </c>
      <c r="F22" s="9">
        <v>107</v>
      </c>
      <c r="G22" s="9">
        <v>0</v>
      </c>
      <c r="H22" s="9">
        <v>0</v>
      </c>
      <c r="I22" s="9">
        <v>0</v>
      </c>
      <c r="J22" s="9">
        <v>0</v>
      </c>
      <c r="K22" s="9">
        <v>195</v>
      </c>
      <c r="L22" s="9">
        <v>0</v>
      </c>
      <c r="M22" s="9">
        <v>774</v>
      </c>
      <c r="N22" s="9">
        <v>47</v>
      </c>
      <c r="O22" s="9">
        <v>25</v>
      </c>
      <c r="P22" s="9">
        <v>0</v>
      </c>
      <c r="Q22" s="9">
        <v>218</v>
      </c>
      <c r="R22" s="9">
        <v>47</v>
      </c>
      <c r="S22" s="9">
        <v>0</v>
      </c>
      <c r="T22" s="9">
        <v>38</v>
      </c>
      <c r="U22" s="9">
        <v>0</v>
      </c>
      <c r="V22" s="9">
        <v>0</v>
      </c>
      <c r="W22" s="9">
        <v>0</v>
      </c>
      <c r="X22" s="9">
        <v>0</v>
      </c>
    </row>
    <row r="23" spans="1:24" x14ac:dyDescent="0.2">
      <c r="A23" s="4" t="s">
        <v>150</v>
      </c>
      <c r="B23" s="9">
        <v>13594</v>
      </c>
      <c r="C23" s="9">
        <v>407</v>
      </c>
      <c r="D23" s="9">
        <v>418</v>
      </c>
      <c r="E23" s="9">
        <v>416</v>
      </c>
      <c r="F23" s="9">
        <v>1356</v>
      </c>
      <c r="G23" s="9">
        <v>602</v>
      </c>
      <c r="H23" s="9">
        <v>416</v>
      </c>
      <c r="I23" s="9">
        <v>666</v>
      </c>
      <c r="J23" s="9">
        <v>593</v>
      </c>
      <c r="K23" s="9">
        <v>597</v>
      </c>
      <c r="L23" s="9">
        <v>638</v>
      </c>
      <c r="M23" s="9">
        <v>805</v>
      </c>
      <c r="N23" s="9">
        <v>2190</v>
      </c>
      <c r="O23" s="9">
        <v>836</v>
      </c>
      <c r="P23" s="9">
        <v>979</v>
      </c>
      <c r="Q23" s="9">
        <v>650</v>
      </c>
      <c r="R23" s="9">
        <v>1487</v>
      </c>
      <c r="S23" s="9">
        <v>103</v>
      </c>
      <c r="T23" s="9">
        <v>101</v>
      </c>
      <c r="U23" s="9">
        <v>100</v>
      </c>
      <c r="V23" s="9">
        <v>105</v>
      </c>
      <c r="W23" s="9">
        <v>97</v>
      </c>
      <c r="X23" s="9">
        <v>35</v>
      </c>
    </row>
    <row r="24" spans="1:24" x14ac:dyDescent="0.2">
      <c r="A24" s="4" t="s">
        <v>151</v>
      </c>
      <c r="B24" s="9">
        <v>6448</v>
      </c>
      <c r="C24" s="9">
        <v>62</v>
      </c>
      <c r="D24" s="9">
        <v>67</v>
      </c>
      <c r="E24" s="9">
        <v>79</v>
      </c>
      <c r="F24" s="9">
        <v>500</v>
      </c>
      <c r="G24" s="9">
        <v>370</v>
      </c>
      <c r="H24" s="9">
        <v>114</v>
      </c>
      <c r="I24" s="9">
        <v>-662</v>
      </c>
      <c r="J24" s="9">
        <v>155</v>
      </c>
      <c r="K24" s="9">
        <v>133</v>
      </c>
      <c r="L24" s="9">
        <v>84</v>
      </c>
      <c r="M24" s="9">
        <v>280</v>
      </c>
      <c r="N24" s="9">
        <v>3404</v>
      </c>
      <c r="O24" s="9">
        <v>102</v>
      </c>
      <c r="P24" s="9">
        <v>49</v>
      </c>
      <c r="Q24" s="9">
        <v>556</v>
      </c>
      <c r="R24" s="9">
        <v>126</v>
      </c>
      <c r="S24" s="9">
        <v>41</v>
      </c>
      <c r="T24" s="9">
        <v>42</v>
      </c>
      <c r="U24" s="9">
        <v>296</v>
      </c>
      <c r="V24" s="9">
        <v>549</v>
      </c>
      <c r="W24" s="9">
        <v>52</v>
      </c>
      <c r="X24" s="9">
        <v>49</v>
      </c>
    </row>
    <row r="25" spans="1:24" x14ac:dyDescent="0.2">
      <c r="A25" s="4" t="s">
        <v>152</v>
      </c>
      <c r="B25" s="9">
        <v>148510</v>
      </c>
      <c r="C25" s="9">
        <v>14491</v>
      </c>
      <c r="D25" s="9">
        <v>4780</v>
      </c>
      <c r="E25" s="9">
        <v>8439</v>
      </c>
      <c r="F25" s="9">
        <v>5727</v>
      </c>
      <c r="G25" s="9">
        <v>8378</v>
      </c>
      <c r="H25" s="9">
        <v>4723</v>
      </c>
      <c r="I25" s="9">
        <v>4581</v>
      </c>
      <c r="J25" s="9">
        <v>10778</v>
      </c>
      <c r="K25" s="9">
        <v>9310</v>
      </c>
      <c r="L25" s="9">
        <v>10817</v>
      </c>
      <c r="M25" s="9">
        <v>7224</v>
      </c>
      <c r="N25" s="9">
        <v>12425</v>
      </c>
      <c r="O25" s="9">
        <v>8598</v>
      </c>
      <c r="P25" s="9">
        <v>8404</v>
      </c>
      <c r="Q25" s="9">
        <v>7866</v>
      </c>
      <c r="R25" s="9">
        <v>6739</v>
      </c>
      <c r="S25" s="9">
        <v>1829</v>
      </c>
      <c r="T25" s="9">
        <v>2003</v>
      </c>
      <c r="U25" s="9">
        <v>2025</v>
      </c>
      <c r="V25" s="9">
        <v>2121</v>
      </c>
      <c r="W25" s="9">
        <v>5730</v>
      </c>
      <c r="X25" s="9">
        <v>1521</v>
      </c>
    </row>
    <row r="26" spans="1:24" x14ac:dyDescent="0.2">
      <c r="A26" s="4" t="s">
        <v>153</v>
      </c>
      <c r="B26" s="9">
        <v>12146</v>
      </c>
      <c r="C26" s="9">
        <v>1359</v>
      </c>
      <c r="D26" s="9">
        <v>0</v>
      </c>
      <c r="E26" s="9">
        <v>497</v>
      </c>
      <c r="F26" s="9">
        <v>353</v>
      </c>
      <c r="G26" s="9">
        <v>461</v>
      </c>
      <c r="H26" s="9">
        <v>0</v>
      </c>
      <c r="I26" s="9">
        <v>1040</v>
      </c>
      <c r="J26" s="9">
        <v>626</v>
      </c>
      <c r="K26" s="9">
        <v>437</v>
      </c>
      <c r="L26" s="9">
        <v>461</v>
      </c>
      <c r="M26" s="9">
        <v>34</v>
      </c>
      <c r="N26" s="9">
        <v>1074</v>
      </c>
      <c r="O26" s="9">
        <v>966</v>
      </c>
      <c r="P26" s="9">
        <v>484</v>
      </c>
      <c r="Q26" s="9">
        <v>900</v>
      </c>
      <c r="R26" s="9">
        <v>474</v>
      </c>
      <c r="S26" s="9">
        <v>342</v>
      </c>
      <c r="T26" s="9">
        <v>476</v>
      </c>
      <c r="U26" s="9">
        <v>1270</v>
      </c>
      <c r="V26" s="9">
        <v>423</v>
      </c>
      <c r="W26" s="9">
        <v>492</v>
      </c>
      <c r="X26" s="9">
        <v>-25</v>
      </c>
    </row>
    <row r="27" spans="1:24" x14ac:dyDescent="0.2">
      <c r="A27" s="4" t="s">
        <v>154</v>
      </c>
      <c r="B27" s="9">
        <v>79</v>
      </c>
      <c r="C27" s="9">
        <v>5</v>
      </c>
      <c r="D27" s="9">
        <v>5</v>
      </c>
      <c r="E27" s="9">
        <v>5</v>
      </c>
      <c r="F27" s="9">
        <v>5</v>
      </c>
      <c r="G27" s="9">
        <v>5</v>
      </c>
      <c r="H27" s="9">
        <v>5</v>
      </c>
      <c r="I27" s="9">
        <v>5</v>
      </c>
      <c r="J27" s="9">
        <v>5</v>
      </c>
      <c r="K27" s="9">
        <v>5</v>
      </c>
      <c r="L27" s="9">
        <v>5</v>
      </c>
      <c r="M27" s="9">
        <v>5</v>
      </c>
      <c r="N27" s="9">
        <v>5</v>
      </c>
      <c r="O27" s="9">
        <v>5</v>
      </c>
      <c r="P27" s="9">
        <v>5</v>
      </c>
      <c r="Q27" s="9">
        <v>5</v>
      </c>
      <c r="R27" s="9">
        <v>5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1:24" x14ac:dyDescent="0.2">
      <c r="A28" s="4" t="s">
        <v>155</v>
      </c>
      <c r="B28" s="9">
        <v>4896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10</v>
      </c>
      <c r="L28" s="9">
        <v>853</v>
      </c>
      <c r="M28" s="9">
        <v>0</v>
      </c>
      <c r="N28" s="9">
        <v>715</v>
      </c>
      <c r="O28" s="9">
        <v>500</v>
      </c>
      <c r="P28" s="9">
        <v>1299</v>
      </c>
      <c r="Q28" s="9">
        <v>155</v>
      </c>
      <c r="R28" s="9">
        <v>625</v>
      </c>
      <c r="S28" s="9">
        <v>146</v>
      </c>
      <c r="T28" s="9">
        <v>146</v>
      </c>
      <c r="U28" s="9">
        <v>146</v>
      </c>
      <c r="V28" s="9">
        <v>155</v>
      </c>
      <c r="W28" s="9">
        <v>146</v>
      </c>
      <c r="X28" s="9">
        <v>0</v>
      </c>
    </row>
    <row r="29" spans="1:24" x14ac:dyDescent="0.2">
      <c r="A29" s="4" t="s">
        <v>156</v>
      </c>
      <c r="B29" s="9">
        <v>242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242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  <row r="30" spans="1:24" x14ac:dyDescent="0.2">
      <c r="A30" s="4" t="s">
        <v>157</v>
      </c>
      <c r="B30" s="9">
        <v>2977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61</v>
      </c>
      <c r="K30" s="9">
        <v>278</v>
      </c>
      <c r="L30" s="9">
        <v>915</v>
      </c>
      <c r="M30" s="9">
        <v>124</v>
      </c>
      <c r="N30" s="9">
        <v>82</v>
      </c>
      <c r="O30" s="9">
        <v>104</v>
      </c>
      <c r="P30" s="9">
        <v>124</v>
      </c>
      <c r="Q30" s="9">
        <v>858</v>
      </c>
      <c r="R30" s="9">
        <v>141</v>
      </c>
      <c r="S30" s="9">
        <v>0</v>
      </c>
      <c r="T30" s="9">
        <v>280</v>
      </c>
      <c r="U30" s="9">
        <v>0</v>
      </c>
      <c r="V30" s="9">
        <v>10</v>
      </c>
      <c r="W30" s="9">
        <v>0</v>
      </c>
      <c r="X30" s="9">
        <v>0</v>
      </c>
    </row>
    <row r="31" spans="1:24" x14ac:dyDescent="0.2">
      <c r="A31" s="4" t="s">
        <v>158</v>
      </c>
      <c r="B31" s="9">
        <v>82703</v>
      </c>
      <c r="C31" s="9">
        <v>4293</v>
      </c>
      <c r="D31" s="9">
        <v>3523</v>
      </c>
      <c r="E31" s="9">
        <v>3715</v>
      </c>
      <c r="F31" s="9">
        <v>3666</v>
      </c>
      <c r="G31" s="9">
        <v>3076</v>
      </c>
      <c r="H31" s="9">
        <v>2325</v>
      </c>
      <c r="I31" s="9">
        <v>2871</v>
      </c>
      <c r="J31" s="9">
        <v>4067</v>
      </c>
      <c r="K31" s="9">
        <v>2751</v>
      </c>
      <c r="L31" s="9">
        <v>4065</v>
      </c>
      <c r="M31" s="9">
        <v>5047</v>
      </c>
      <c r="N31" s="9">
        <v>7869</v>
      </c>
      <c r="O31" s="9">
        <v>6037</v>
      </c>
      <c r="P31" s="9">
        <v>5374</v>
      </c>
      <c r="Q31" s="9">
        <v>5312</v>
      </c>
      <c r="R31" s="9">
        <v>4404</v>
      </c>
      <c r="S31" s="9">
        <v>3018</v>
      </c>
      <c r="T31" s="9">
        <v>2513</v>
      </c>
      <c r="U31" s="9">
        <v>2465</v>
      </c>
      <c r="V31" s="9">
        <v>3398</v>
      </c>
      <c r="W31" s="9">
        <v>2915</v>
      </c>
      <c r="X31" s="9">
        <v>0</v>
      </c>
    </row>
    <row r="32" spans="1:24" x14ac:dyDescent="0.2">
      <c r="A32" s="4" t="s">
        <v>159</v>
      </c>
      <c r="B32" s="9">
        <v>175000</v>
      </c>
      <c r="C32" s="9">
        <v>11000</v>
      </c>
      <c r="D32" s="9">
        <v>11000</v>
      </c>
      <c r="E32" s="9">
        <v>11000</v>
      </c>
      <c r="F32" s="9">
        <v>11000</v>
      </c>
      <c r="G32" s="9">
        <v>11000</v>
      </c>
      <c r="H32" s="9">
        <v>11000</v>
      </c>
      <c r="I32" s="9">
        <v>11000</v>
      </c>
      <c r="J32" s="9">
        <v>8000</v>
      </c>
      <c r="K32" s="9">
        <v>16000</v>
      </c>
      <c r="L32" s="9">
        <v>8000</v>
      </c>
      <c r="M32" s="9">
        <v>8000</v>
      </c>
      <c r="N32" s="9">
        <v>8000</v>
      </c>
      <c r="O32" s="9">
        <v>8000</v>
      </c>
      <c r="P32" s="9">
        <v>8000</v>
      </c>
      <c r="Q32" s="9">
        <v>11000</v>
      </c>
      <c r="R32" s="9">
        <v>11000</v>
      </c>
      <c r="S32" s="9">
        <v>2000</v>
      </c>
      <c r="T32" s="9">
        <v>2000</v>
      </c>
      <c r="U32" s="9">
        <v>2000</v>
      </c>
      <c r="V32" s="9">
        <v>2000</v>
      </c>
      <c r="W32" s="9">
        <v>2000</v>
      </c>
      <c r="X32" s="9">
        <v>2000</v>
      </c>
    </row>
    <row r="33" spans="1:24" x14ac:dyDescent="0.2">
      <c r="A33" s="4" t="s">
        <v>160</v>
      </c>
      <c r="B33" s="9">
        <v>6053</v>
      </c>
      <c r="C33" s="9">
        <v>216</v>
      </c>
      <c r="D33" s="9">
        <v>215</v>
      </c>
      <c r="E33" s="9">
        <v>796</v>
      </c>
      <c r="F33" s="9">
        <v>-450</v>
      </c>
      <c r="G33" s="9">
        <v>620</v>
      </c>
      <c r="H33" s="9">
        <v>136</v>
      </c>
      <c r="I33" s="9">
        <v>275</v>
      </c>
      <c r="J33" s="9">
        <v>275</v>
      </c>
      <c r="K33" s="9">
        <v>670</v>
      </c>
      <c r="L33" s="9">
        <v>300</v>
      </c>
      <c r="M33" s="9">
        <v>131</v>
      </c>
      <c r="N33" s="9">
        <v>131</v>
      </c>
      <c r="O33" s="9">
        <v>275</v>
      </c>
      <c r="P33" s="9">
        <v>844</v>
      </c>
      <c r="Q33" s="9">
        <v>131</v>
      </c>
      <c r="R33" s="9">
        <v>275</v>
      </c>
      <c r="S33" s="9">
        <v>131</v>
      </c>
      <c r="T33" s="9">
        <v>144</v>
      </c>
      <c r="U33" s="9">
        <v>275</v>
      </c>
      <c r="V33" s="9">
        <v>565</v>
      </c>
      <c r="W33" s="9">
        <v>131</v>
      </c>
      <c r="X33" s="9">
        <v>-33</v>
      </c>
    </row>
    <row r="34" spans="1:24" x14ac:dyDescent="0.2">
      <c r="A34" s="4" t="s">
        <v>161</v>
      </c>
      <c r="B34" s="9">
        <v>686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310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271</v>
      </c>
      <c r="U34" s="9">
        <v>0</v>
      </c>
      <c r="V34" s="9">
        <v>105</v>
      </c>
      <c r="W34" s="9">
        <v>0</v>
      </c>
      <c r="X34" s="9">
        <v>0</v>
      </c>
    </row>
    <row r="35" spans="1:24" x14ac:dyDescent="0.2">
      <c r="A35" s="4" t="s">
        <v>162</v>
      </c>
      <c r="B35" s="9">
        <v>8691</v>
      </c>
      <c r="C35" s="9">
        <v>352</v>
      </c>
      <c r="D35" s="9">
        <v>413</v>
      </c>
      <c r="E35" s="9">
        <v>357</v>
      </c>
      <c r="F35" s="9">
        <v>136</v>
      </c>
      <c r="G35" s="9">
        <v>314</v>
      </c>
      <c r="H35" s="9">
        <v>357</v>
      </c>
      <c r="I35" s="9">
        <v>391</v>
      </c>
      <c r="J35" s="9">
        <v>256</v>
      </c>
      <c r="K35" s="9">
        <v>222</v>
      </c>
      <c r="L35" s="9">
        <v>695</v>
      </c>
      <c r="M35" s="9">
        <v>305</v>
      </c>
      <c r="N35" s="9">
        <v>1128</v>
      </c>
      <c r="O35" s="9">
        <v>569</v>
      </c>
      <c r="P35" s="9">
        <v>447</v>
      </c>
      <c r="Q35" s="9">
        <v>1338</v>
      </c>
      <c r="R35" s="9">
        <v>331</v>
      </c>
      <c r="S35" s="9">
        <v>0</v>
      </c>
      <c r="T35" s="9">
        <v>118</v>
      </c>
      <c r="U35" s="9">
        <v>264</v>
      </c>
      <c r="V35" s="9">
        <v>681</v>
      </c>
      <c r="W35" s="9">
        <v>16</v>
      </c>
      <c r="X35" s="9">
        <v>0</v>
      </c>
    </row>
    <row r="36" spans="1:24" x14ac:dyDescent="0.2">
      <c r="A36" s="4" t="s">
        <v>163</v>
      </c>
      <c r="B36" s="9">
        <v>7536</v>
      </c>
      <c r="C36" s="9">
        <v>235</v>
      </c>
      <c r="D36" s="9">
        <v>195</v>
      </c>
      <c r="E36" s="9">
        <v>413</v>
      </c>
      <c r="F36" s="9">
        <v>228</v>
      </c>
      <c r="G36" s="9">
        <v>596</v>
      </c>
      <c r="H36" s="9">
        <v>393</v>
      </c>
      <c r="I36" s="9">
        <v>158</v>
      </c>
      <c r="J36" s="9">
        <v>0</v>
      </c>
      <c r="K36" s="9">
        <v>193</v>
      </c>
      <c r="L36" s="9">
        <v>354</v>
      </c>
      <c r="M36" s="9">
        <v>471</v>
      </c>
      <c r="N36" s="9">
        <v>437</v>
      </c>
      <c r="O36" s="9">
        <v>88</v>
      </c>
      <c r="P36" s="9">
        <v>234</v>
      </c>
      <c r="Q36" s="9">
        <v>1992</v>
      </c>
      <c r="R36" s="9">
        <v>94</v>
      </c>
      <c r="S36" s="9">
        <v>471</v>
      </c>
      <c r="T36" s="9">
        <v>470</v>
      </c>
      <c r="U36" s="9">
        <v>145</v>
      </c>
      <c r="V36" s="9">
        <v>156</v>
      </c>
      <c r="W36" s="9">
        <v>212</v>
      </c>
      <c r="X36" s="9">
        <v>0</v>
      </c>
    </row>
    <row r="37" spans="1:24" x14ac:dyDescent="0.2">
      <c r="A37" s="4" t="s">
        <v>164</v>
      </c>
      <c r="B37" s="9">
        <v>33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32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</row>
    <row r="38" spans="1:24" x14ac:dyDescent="0.2">
      <c r="A38" s="4" t="s">
        <v>165</v>
      </c>
      <c r="B38" s="9">
        <v>322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322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</row>
    <row r="39" spans="1:24" x14ac:dyDescent="0.2">
      <c r="A39" s="4" t="s">
        <v>166</v>
      </c>
      <c r="B39" s="9">
        <v>21465</v>
      </c>
      <c r="C39" s="9">
        <v>1241</v>
      </c>
      <c r="D39" s="9">
        <v>1010</v>
      </c>
      <c r="E39" s="9">
        <v>1462</v>
      </c>
      <c r="F39" s="9">
        <v>1039</v>
      </c>
      <c r="G39" s="9">
        <v>1106</v>
      </c>
      <c r="H39" s="9">
        <v>1087</v>
      </c>
      <c r="I39" s="9">
        <v>718</v>
      </c>
      <c r="J39" s="9">
        <v>1104</v>
      </c>
      <c r="K39" s="9">
        <v>1038</v>
      </c>
      <c r="L39" s="9">
        <v>1143</v>
      </c>
      <c r="M39" s="9">
        <v>1238</v>
      </c>
      <c r="N39" s="9">
        <v>2494</v>
      </c>
      <c r="O39" s="9">
        <v>1476</v>
      </c>
      <c r="P39" s="9">
        <v>-291</v>
      </c>
      <c r="Q39" s="9">
        <v>1213</v>
      </c>
      <c r="R39" s="9">
        <v>1615</v>
      </c>
      <c r="S39" s="9">
        <v>539</v>
      </c>
      <c r="T39" s="9">
        <v>614</v>
      </c>
      <c r="U39" s="9">
        <v>512</v>
      </c>
      <c r="V39" s="9">
        <v>682</v>
      </c>
      <c r="W39" s="9">
        <v>328</v>
      </c>
      <c r="X39" s="9">
        <v>102</v>
      </c>
    </row>
    <row r="40" spans="1:24" x14ac:dyDescent="0.2">
      <c r="A40" s="4" t="s">
        <v>167</v>
      </c>
      <c r="B40" s="9">
        <v>4620</v>
      </c>
      <c r="C40" s="9">
        <v>52</v>
      </c>
      <c r="D40" s="9">
        <v>242</v>
      </c>
      <c r="E40" s="9">
        <v>118</v>
      </c>
      <c r="F40" s="9">
        <v>255</v>
      </c>
      <c r="G40" s="9">
        <v>135</v>
      </c>
      <c r="H40" s="9">
        <v>300</v>
      </c>
      <c r="I40" s="9">
        <v>183</v>
      </c>
      <c r="J40" s="9">
        <v>128</v>
      </c>
      <c r="K40" s="9">
        <v>92</v>
      </c>
      <c r="L40" s="9">
        <v>188</v>
      </c>
      <c r="M40" s="9">
        <v>177</v>
      </c>
      <c r="N40" s="9">
        <v>168</v>
      </c>
      <c r="O40" s="9">
        <v>336</v>
      </c>
      <c r="P40" s="9">
        <v>249</v>
      </c>
      <c r="Q40" s="9">
        <v>1167</v>
      </c>
      <c r="R40" s="9">
        <v>187</v>
      </c>
      <c r="S40" s="9">
        <v>19</v>
      </c>
      <c r="T40" s="9">
        <v>198</v>
      </c>
      <c r="U40" s="9">
        <v>159</v>
      </c>
      <c r="V40" s="9">
        <v>165</v>
      </c>
      <c r="W40" s="9">
        <v>47</v>
      </c>
      <c r="X40" s="9">
        <v>53</v>
      </c>
    </row>
    <row r="41" spans="1:24" x14ac:dyDescent="0.2">
      <c r="A41" s="4" t="s">
        <v>168</v>
      </c>
      <c r="B41" s="9">
        <v>50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50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</row>
    <row r="42" spans="1:24" x14ac:dyDescent="0.2">
      <c r="A42" s="4" t="s">
        <v>169</v>
      </c>
      <c r="B42" s="9">
        <v>3964</v>
      </c>
      <c r="C42" s="9">
        <v>134</v>
      </c>
      <c r="D42" s="9">
        <v>269</v>
      </c>
      <c r="E42" s="9">
        <v>204</v>
      </c>
      <c r="F42" s="9">
        <v>143</v>
      </c>
      <c r="G42" s="9">
        <v>137</v>
      </c>
      <c r="H42" s="9">
        <v>374</v>
      </c>
      <c r="I42" s="9">
        <v>140</v>
      </c>
      <c r="J42" s="9">
        <v>299</v>
      </c>
      <c r="K42" s="9">
        <v>171</v>
      </c>
      <c r="L42" s="9">
        <v>390</v>
      </c>
      <c r="M42" s="9">
        <v>175</v>
      </c>
      <c r="N42" s="9">
        <v>411</v>
      </c>
      <c r="O42" s="9">
        <v>231</v>
      </c>
      <c r="P42" s="9">
        <v>212</v>
      </c>
      <c r="Q42" s="9">
        <v>-270</v>
      </c>
      <c r="R42" s="9">
        <v>136</v>
      </c>
      <c r="S42" s="9">
        <v>104</v>
      </c>
      <c r="T42" s="9">
        <v>99</v>
      </c>
      <c r="U42" s="9">
        <v>104</v>
      </c>
      <c r="V42" s="9">
        <v>329</v>
      </c>
      <c r="W42" s="9">
        <v>171</v>
      </c>
      <c r="X42" s="9">
        <v>0</v>
      </c>
    </row>
    <row r="43" spans="1:24" x14ac:dyDescent="0.2">
      <c r="A43" s="4" t="s">
        <v>170</v>
      </c>
      <c r="B43" s="9">
        <v>418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15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200</v>
      </c>
      <c r="Q43" s="9">
        <v>16</v>
      </c>
      <c r="R43" s="9">
        <v>0</v>
      </c>
      <c r="S43" s="9">
        <v>25</v>
      </c>
      <c r="T43" s="9">
        <v>160</v>
      </c>
      <c r="U43" s="9">
        <v>0</v>
      </c>
      <c r="V43" s="9">
        <v>0</v>
      </c>
      <c r="W43" s="9">
        <v>0</v>
      </c>
      <c r="X43" s="9">
        <v>0</v>
      </c>
    </row>
    <row r="44" spans="1:24" x14ac:dyDescent="0.2">
      <c r="A44" s="4" t="s">
        <v>171</v>
      </c>
      <c r="B44" s="9">
        <v>4853</v>
      </c>
      <c r="C44" s="9">
        <v>282</v>
      </c>
      <c r="D44" s="9">
        <v>320</v>
      </c>
      <c r="E44" s="9">
        <v>231</v>
      </c>
      <c r="F44" s="9">
        <v>284</v>
      </c>
      <c r="G44" s="9">
        <v>232</v>
      </c>
      <c r="H44" s="9">
        <v>231</v>
      </c>
      <c r="I44" s="9">
        <v>232</v>
      </c>
      <c r="J44" s="9">
        <v>0</v>
      </c>
      <c r="K44" s="9">
        <v>0</v>
      </c>
      <c r="L44" s="9">
        <v>1833</v>
      </c>
      <c r="M44" s="9">
        <v>37</v>
      </c>
      <c r="N44" s="9">
        <v>305</v>
      </c>
      <c r="O44" s="9">
        <v>119</v>
      </c>
      <c r="P44" s="9">
        <v>747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</row>
    <row r="45" spans="1:24" x14ac:dyDescent="0.2">
      <c r="A45" s="4" t="s">
        <v>172</v>
      </c>
      <c r="B45" s="9">
        <v>105800</v>
      </c>
      <c r="C45" s="9">
        <v>7500</v>
      </c>
      <c r="D45" s="9">
        <v>5000</v>
      </c>
      <c r="E45" s="9">
        <v>5000</v>
      </c>
      <c r="F45" s="9">
        <v>5000</v>
      </c>
      <c r="G45" s="9">
        <v>8000</v>
      </c>
      <c r="H45" s="9">
        <v>5000</v>
      </c>
      <c r="I45" s="9">
        <v>5000</v>
      </c>
      <c r="J45" s="9">
        <v>6000</v>
      </c>
      <c r="K45" s="9">
        <v>4300</v>
      </c>
      <c r="L45" s="9">
        <v>6500</v>
      </c>
      <c r="M45" s="9">
        <v>9500</v>
      </c>
      <c r="N45" s="9">
        <v>17000</v>
      </c>
      <c r="O45" s="9">
        <v>10000</v>
      </c>
      <c r="P45" s="9">
        <v>10000</v>
      </c>
      <c r="Q45" s="9">
        <v>5000</v>
      </c>
      <c r="R45" s="9">
        <v>7000</v>
      </c>
      <c r="S45" s="9">
        <v>-2500</v>
      </c>
      <c r="T45" s="9">
        <v>-2500</v>
      </c>
      <c r="U45" s="9">
        <v>-1500</v>
      </c>
      <c r="V45" s="9">
        <v>-3500</v>
      </c>
      <c r="W45" s="9">
        <v>0</v>
      </c>
      <c r="X45" s="9">
        <v>0</v>
      </c>
    </row>
    <row r="46" spans="1:24" x14ac:dyDescent="0.2">
      <c r="A46" s="4" t="s">
        <v>173</v>
      </c>
      <c r="B46" s="9">
        <v>80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80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</row>
    <row r="47" spans="1:24" x14ac:dyDescent="0.2">
      <c r="A47" s="4" t="s">
        <v>174</v>
      </c>
      <c r="B47" s="9">
        <v>48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48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</row>
    <row r="48" spans="1:24" x14ac:dyDescent="0.2">
      <c r="A48" s="4" t="s">
        <v>175</v>
      </c>
      <c r="B48" s="9">
        <v>63108</v>
      </c>
      <c r="C48" s="9">
        <v>3891</v>
      </c>
      <c r="D48" s="9">
        <v>3891</v>
      </c>
      <c r="E48" s="9">
        <v>4766</v>
      </c>
      <c r="F48" s="9">
        <v>3891</v>
      </c>
      <c r="G48" s="9">
        <v>3891</v>
      </c>
      <c r="H48" s="9">
        <v>3892</v>
      </c>
      <c r="I48" s="9">
        <v>3891</v>
      </c>
      <c r="J48" s="9">
        <v>2350</v>
      </c>
      <c r="K48" s="9">
        <v>2350</v>
      </c>
      <c r="L48" s="9">
        <v>3800</v>
      </c>
      <c r="M48" s="9">
        <v>2650</v>
      </c>
      <c r="N48" s="9">
        <v>2350</v>
      </c>
      <c r="O48" s="9">
        <v>3400</v>
      </c>
      <c r="P48" s="9">
        <v>2350</v>
      </c>
      <c r="Q48" s="9">
        <v>3650</v>
      </c>
      <c r="R48" s="9">
        <v>3350</v>
      </c>
      <c r="S48" s="9">
        <v>1649</v>
      </c>
      <c r="T48" s="9">
        <v>1650</v>
      </c>
      <c r="U48" s="9">
        <v>1649</v>
      </c>
      <c r="V48" s="9">
        <v>1649</v>
      </c>
      <c r="W48" s="9">
        <v>1649</v>
      </c>
      <c r="X48" s="9">
        <v>500</v>
      </c>
    </row>
    <row r="49" spans="1:24" x14ac:dyDescent="0.2">
      <c r="A49" s="4" t="s">
        <v>176</v>
      </c>
      <c r="B49" s="12">
        <v>883277</v>
      </c>
      <c r="C49" s="12">
        <v>60234</v>
      </c>
      <c r="D49" s="12">
        <v>39339</v>
      </c>
      <c r="E49" s="12">
        <v>46797</v>
      </c>
      <c r="F49" s="12">
        <v>40826</v>
      </c>
      <c r="G49" s="12">
        <v>53155</v>
      </c>
      <c r="H49" s="12">
        <v>41511</v>
      </c>
      <c r="I49" s="12">
        <v>42370</v>
      </c>
      <c r="J49" s="12">
        <v>36885</v>
      </c>
      <c r="K49" s="12">
        <v>43166</v>
      </c>
      <c r="L49" s="12">
        <v>52339</v>
      </c>
      <c r="M49" s="12">
        <v>46833</v>
      </c>
      <c r="N49" s="12">
        <v>77201</v>
      </c>
      <c r="O49" s="12">
        <v>44309</v>
      </c>
      <c r="P49" s="12">
        <v>56699</v>
      </c>
      <c r="Q49" s="12">
        <v>60035</v>
      </c>
      <c r="R49" s="12">
        <v>49110</v>
      </c>
      <c r="S49" s="12">
        <v>19701</v>
      </c>
      <c r="T49" s="12">
        <v>14591</v>
      </c>
      <c r="U49" s="12">
        <v>16216</v>
      </c>
      <c r="V49" s="12">
        <v>25048</v>
      </c>
      <c r="W49" s="12">
        <v>13748</v>
      </c>
      <c r="X49" s="12">
        <v>3163</v>
      </c>
    </row>
    <row r="50" spans="1:24" x14ac:dyDescent="0.2">
      <c r="A50" s="2" t="s">
        <v>6</v>
      </c>
    </row>
    <row r="51" spans="1:24" x14ac:dyDescent="0.2">
      <c r="A51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4"/>
  <sheetViews>
    <sheetView workbookViewId="0"/>
  </sheetViews>
  <sheetFormatPr defaultColWidth="9.140625" defaultRowHeight="12.75" x14ac:dyDescent="0.2"/>
  <cols>
    <col min="1" max="1" width="32.28515625" style="1" customWidth="1"/>
    <col min="2" max="2" width="15" style="1" customWidth="1"/>
    <col min="3" max="3" width="16.140625" style="1" customWidth="1"/>
    <col min="4" max="4" width="18.85546875" style="1" customWidth="1"/>
    <col min="5" max="5" width="12.7109375" style="1" customWidth="1"/>
    <col min="6" max="6" width="26.28515625" style="1" customWidth="1"/>
    <col min="7" max="7" width="19.42578125" style="1" customWidth="1"/>
    <col min="8" max="8" width="18.7109375" style="1" customWidth="1"/>
    <col min="9" max="9" width="14.85546875" style="1" customWidth="1"/>
    <col min="10" max="10" width="15.5703125" style="1" customWidth="1"/>
    <col min="11" max="11" width="12.85546875" style="1" customWidth="1"/>
    <col min="12" max="12" width="20.7109375" style="1" customWidth="1"/>
    <col min="13" max="13" width="14.140625" style="1" customWidth="1"/>
    <col min="14" max="14" width="15.7109375" style="1" customWidth="1"/>
    <col min="15" max="15" width="20.7109375" style="1" customWidth="1"/>
    <col min="16" max="16" width="13.5703125" style="1" customWidth="1"/>
    <col min="17" max="17" width="15.5703125" style="1" customWidth="1"/>
    <col min="18" max="18" width="22.28515625" style="1" customWidth="1"/>
    <col min="19" max="19" width="17.42578125" style="1" customWidth="1"/>
    <col min="20" max="20" width="16.42578125" style="1" customWidth="1"/>
    <col min="21" max="21" width="13.5703125" style="1" customWidth="1"/>
    <col min="22" max="22" width="13.140625" style="1" customWidth="1"/>
    <col min="23" max="23" width="13.85546875" style="1" customWidth="1"/>
    <col min="24" max="24" width="14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177</v>
      </c>
    </row>
    <row r="2" spans="1:24" ht="18" x14ac:dyDescent="0.25">
      <c r="A2" s="3" t="s">
        <v>178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36" t="s">
        <v>6</v>
      </c>
      <c r="C7" s="36"/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5" t="s">
        <v>21</v>
      </c>
      <c r="S7" s="5" t="s">
        <v>22</v>
      </c>
      <c r="T7" s="5" t="s">
        <v>23</v>
      </c>
      <c r="U7" s="5" t="s">
        <v>24</v>
      </c>
      <c r="V7" s="5" t="s">
        <v>25</v>
      </c>
      <c r="W7" s="5" t="s">
        <v>26</v>
      </c>
      <c r="X7" s="5" t="s">
        <v>27</v>
      </c>
    </row>
    <row r="8" spans="1:24" x14ac:dyDescent="0.2">
      <c r="A8" s="4" t="s">
        <v>6</v>
      </c>
      <c r="B8" s="36" t="s">
        <v>29</v>
      </c>
      <c r="C8" s="36"/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37" t="s">
        <v>4</v>
      </c>
      <c r="C9" s="37"/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179</v>
      </c>
      <c r="C10" s="8" t="s">
        <v>180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181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182</v>
      </c>
      <c r="B12" s="14">
        <v>2259</v>
      </c>
      <c r="C12" s="14">
        <v>80.680000000000007</v>
      </c>
      <c r="D12" s="14">
        <v>169</v>
      </c>
      <c r="E12" s="14">
        <v>64</v>
      </c>
      <c r="F12" s="14">
        <v>33</v>
      </c>
      <c r="G12" s="14">
        <v>84</v>
      </c>
      <c r="H12" s="14">
        <v>188</v>
      </c>
      <c r="I12" s="14">
        <v>83</v>
      </c>
      <c r="J12" s="14">
        <v>47</v>
      </c>
      <c r="K12" s="14">
        <v>180</v>
      </c>
      <c r="L12" s="14">
        <v>28</v>
      </c>
      <c r="M12" s="14">
        <v>168</v>
      </c>
      <c r="N12" s="14">
        <v>226</v>
      </c>
      <c r="O12" s="14">
        <v>149</v>
      </c>
      <c r="P12" s="14">
        <v>418</v>
      </c>
      <c r="Q12" s="14">
        <v>157</v>
      </c>
      <c r="R12" s="14">
        <v>120</v>
      </c>
      <c r="S12" s="14">
        <v>145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</row>
    <row r="13" spans="1:24" x14ac:dyDescent="0.2">
      <c r="A13" s="4" t="s">
        <v>183</v>
      </c>
      <c r="B13" s="14">
        <v>3645</v>
      </c>
      <c r="C13" s="14">
        <v>130.18</v>
      </c>
      <c r="D13" s="14">
        <v>184</v>
      </c>
      <c r="E13" s="14">
        <v>230</v>
      </c>
      <c r="F13" s="14">
        <v>369</v>
      </c>
      <c r="G13" s="14">
        <v>102</v>
      </c>
      <c r="H13" s="14">
        <v>252</v>
      </c>
      <c r="I13" s="14">
        <v>70</v>
      </c>
      <c r="J13" s="14">
        <v>164</v>
      </c>
      <c r="K13" s="14">
        <v>157</v>
      </c>
      <c r="L13" s="14">
        <v>139</v>
      </c>
      <c r="M13" s="14">
        <v>251</v>
      </c>
      <c r="N13" s="14">
        <v>292</v>
      </c>
      <c r="O13" s="14">
        <v>452</v>
      </c>
      <c r="P13" s="14">
        <v>484</v>
      </c>
      <c r="Q13" s="14">
        <v>199</v>
      </c>
      <c r="R13" s="14">
        <v>86</v>
      </c>
      <c r="S13" s="14">
        <v>214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</row>
    <row r="14" spans="1:24" x14ac:dyDescent="0.2">
      <c r="A14" s="4" t="s">
        <v>184</v>
      </c>
      <c r="B14" s="14">
        <v>1442</v>
      </c>
      <c r="C14" s="14">
        <v>51.5</v>
      </c>
      <c r="D14" s="14">
        <v>47</v>
      </c>
      <c r="E14" s="14">
        <v>58</v>
      </c>
      <c r="F14" s="14">
        <v>115</v>
      </c>
      <c r="G14" s="14">
        <v>0</v>
      </c>
      <c r="H14" s="14">
        <v>9</v>
      </c>
      <c r="I14" s="14">
        <v>13</v>
      </c>
      <c r="J14" s="14">
        <v>0</v>
      </c>
      <c r="K14" s="14">
        <v>56</v>
      </c>
      <c r="L14" s="14">
        <v>60</v>
      </c>
      <c r="M14" s="14">
        <v>59</v>
      </c>
      <c r="N14" s="14">
        <v>98</v>
      </c>
      <c r="O14" s="14">
        <v>197</v>
      </c>
      <c r="P14" s="14">
        <v>273</v>
      </c>
      <c r="Q14" s="14">
        <v>218</v>
      </c>
      <c r="R14" s="14">
        <v>71</v>
      </c>
      <c r="S14" s="14">
        <v>168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</row>
    <row r="15" spans="1:24" x14ac:dyDescent="0.2">
      <c r="A15" s="4" t="s">
        <v>185</v>
      </c>
      <c r="B15" s="14">
        <v>2218</v>
      </c>
      <c r="C15" s="14">
        <v>79.209999999999994</v>
      </c>
      <c r="D15" s="14">
        <v>458</v>
      </c>
      <c r="E15" s="14">
        <v>120</v>
      </c>
      <c r="F15" s="14">
        <v>161</v>
      </c>
      <c r="G15" s="14">
        <v>143</v>
      </c>
      <c r="H15" s="14">
        <v>147</v>
      </c>
      <c r="I15" s="14">
        <v>140</v>
      </c>
      <c r="J15" s="14">
        <v>84</v>
      </c>
      <c r="K15" s="14">
        <v>179</v>
      </c>
      <c r="L15" s="14">
        <v>28</v>
      </c>
      <c r="M15" s="14">
        <v>103</v>
      </c>
      <c r="N15" s="14">
        <v>99</v>
      </c>
      <c r="O15" s="14">
        <v>121</v>
      </c>
      <c r="P15" s="14">
        <v>110</v>
      </c>
      <c r="Q15" s="14">
        <v>176</v>
      </c>
      <c r="R15" s="14">
        <v>149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</row>
    <row r="16" spans="1:24" x14ac:dyDescent="0.2">
      <c r="A16" s="4" t="s">
        <v>186</v>
      </c>
      <c r="B16" s="14">
        <v>1297</v>
      </c>
      <c r="C16" s="14">
        <v>46.32</v>
      </c>
      <c r="D16" s="14">
        <v>194</v>
      </c>
      <c r="E16" s="14">
        <v>246</v>
      </c>
      <c r="F16" s="14">
        <v>0</v>
      </c>
      <c r="G16" s="14">
        <v>44</v>
      </c>
      <c r="H16" s="14">
        <v>186</v>
      </c>
      <c r="I16" s="14">
        <v>64</v>
      </c>
      <c r="J16" s="14">
        <v>51</v>
      </c>
      <c r="K16" s="14">
        <v>60</v>
      </c>
      <c r="L16" s="14">
        <v>0</v>
      </c>
      <c r="M16" s="14">
        <v>53</v>
      </c>
      <c r="N16" s="14">
        <v>194</v>
      </c>
      <c r="O16" s="14">
        <v>45</v>
      </c>
      <c r="P16" s="14">
        <v>41</v>
      </c>
      <c r="Q16" s="14">
        <v>13</v>
      </c>
      <c r="R16" s="14">
        <v>16</v>
      </c>
      <c r="S16" s="14">
        <v>90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</row>
    <row r="17" spans="1:24" x14ac:dyDescent="0.2">
      <c r="A17" s="4" t="s">
        <v>187</v>
      </c>
      <c r="B17" s="14">
        <v>3</v>
      </c>
      <c r="C17" s="14">
        <v>0.11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3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</row>
    <row r="18" spans="1:24" x14ac:dyDescent="0.2">
      <c r="A18" s="4" t="s">
        <v>188</v>
      </c>
      <c r="B18" s="14">
        <v>3673</v>
      </c>
      <c r="C18" s="14">
        <v>131.18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617</v>
      </c>
      <c r="U18" s="14">
        <v>894</v>
      </c>
      <c r="V18" s="14">
        <v>555</v>
      </c>
      <c r="W18" s="14">
        <v>787</v>
      </c>
      <c r="X18" s="14">
        <v>820</v>
      </c>
    </row>
    <row r="19" spans="1:24" x14ac:dyDescent="0.2">
      <c r="A19" s="4" t="s">
        <v>189</v>
      </c>
      <c r="B19" s="14">
        <v>9849</v>
      </c>
      <c r="C19" s="14">
        <v>351.75</v>
      </c>
      <c r="D19" s="14">
        <v>578</v>
      </c>
      <c r="E19" s="14">
        <v>325</v>
      </c>
      <c r="F19" s="14">
        <v>664</v>
      </c>
      <c r="G19" s="14">
        <v>575</v>
      </c>
      <c r="H19" s="14">
        <v>390</v>
      </c>
      <c r="I19" s="14">
        <v>549</v>
      </c>
      <c r="J19" s="14">
        <v>257</v>
      </c>
      <c r="K19" s="14">
        <v>421</v>
      </c>
      <c r="L19" s="14">
        <v>747</v>
      </c>
      <c r="M19" s="14">
        <v>329</v>
      </c>
      <c r="N19" s="14">
        <v>512</v>
      </c>
      <c r="O19" s="14">
        <v>2052</v>
      </c>
      <c r="P19" s="14">
        <v>577</v>
      </c>
      <c r="Q19" s="14">
        <v>900</v>
      </c>
      <c r="R19" s="14">
        <v>481</v>
      </c>
      <c r="S19" s="14">
        <v>492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</row>
    <row r="20" spans="1:24" x14ac:dyDescent="0.2">
      <c r="A20" s="4" t="s">
        <v>190</v>
      </c>
      <c r="B20" s="14">
        <v>2115</v>
      </c>
      <c r="C20" s="14">
        <v>75.540000000000006</v>
      </c>
      <c r="D20" s="14">
        <v>112</v>
      </c>
      <c r="E20" s="14">
        <v>112</v>
      </c>
      <c r="F20" s="14">
        <v>85</v>
      </c>
      <c r="G20" s="14">
        <v>101</v>
      </c>
      <c r="H20" s="14">
        <v>54</v>
      </c>
      <c r="I20" s="14">
        <v>28</v>
      </c>
      <c r="J20" s="14">
        <v>84</v>
      </c>
      <c r="K20" s="14">
        <v>140</v>
      </c>
      <c r="L20" s="14">
        <v>0</v>
      </c>
      <c r="M20" s="14">
        <v>140</v>
      </c>
      <c r="N20" s="14">
        <v>0</v>
      </c>
      <c r="O20" s="14">
        <v>587</v>
      </c>
      <c r="P20" s="14">
        <v>0</v>
      </c>
      <c r="Q20" s="14">
        <v>188</v>
      </c>
      <c r="R20" s="14">
        <v>139</v>
      </c>
      <c r="S20" s="14">
        <v>345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</row>
    <row r="21" spans="1:24" x14ac:dyDescent="0.2">
      <c r="A21" s="4" t="s">
        <v>191</v>
      </c>
      <c r="B21" s="14">
        <v>370</v>
      </c>
      <c r="C21" s="14">
        <v>13.21</v>
      </c>
      <c r="D21" s="14">
        <v>21</v>
      </c>
      <c r="E21" s="14">
        <v>20</v>
      </c>
      <c r="F21" s="14">
        <v>0</v>
      </c>
      <c r="G21" s="14">
        <v>0</v>
      </c>
      <c r="H21" s="14">
        <v>79</v>
      </c>
      <c r="I21" s="14">
        <v>9</v>
      </c>
      <c r="J21" s="14">
        <v>22</v>
      </c>
      <c r="K21" s="14">
        <v>9</v>
      </c>
      <c r="L21" s="14">
        <v>0</v>
      </c>
      <c r="M21" s="14">
        <v>28</v>
      </c>
      <c r="N21" s="14">
        <v>52</v>
      </c>
      <c r="O21" s="14">
        <v>0</v>
      </c>
      <c r="P21" s="14">
        <v>46</v>
      </c>
      <c r="Q21" s="14">
        <v>13</v>
      </c>
      <c r="R21" s="14">
        <v>43</v>
      </c>
      <c r="S21" s="14">
        <v>28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</row>
    <row r="22" spans="1:24" x14ac:dyDescent="0.2">
      <c r="A22" s="4" t="s">
        <v>192</v>
      </c>
      <c r="B22" s="15">
        <v>26871</v>
      </c>
      <c r="C22" s="15">
        <v>959.68</v>
      </c>
      <c r="D22" s="15">
        <v>1763</v>
      </c>
      <c r="E22" s="15">
        <v>1175</v>
      </c>
      <c r="F22" s="15">
        <v>1427</v>
      </c>
      <c r="G22" s="15">
        <v>1049</v>
      </c>
      <c r="H22" s="15">
        <v>1305</v>
      </c>
      <c r="I22" s="15">
        <v>956</v>
      </c>
      <c r="J22" s="15">
        <v>709</v>
      </c>
      <c r="K22" s="15">
        <v>1202</v>
      </c>
      <c r="L22" s="15">
        <v>1002</v>
      </c>
      <c r="M22" s="15">
        <v>1131</v>
      </c>
      <c r="N22" s="15">
        <v>1473</v>
      </c>
      <c r="O22" s="15">
        <v>3606</v>
      </c>
      <c r="P22" s="15">
        <v>1949</v>
      </c>
      <c r="Q22" s="15">
        <v>1864</v>
      </c>
      <c r="R22" s="15">
        <v>1105</v>
      </c>
      <c r="S22" s="15">
        <v>1482</v>
      </c>
      <c r="T22" s="15">
        <v>617</v>
      </c>
      <c r="U22" s="15">
        <v>894</v>
      </c>
      <c r="V22" s="15">
        <v>555</v>
      </c>
      <c r="W22" s="15">
        <v>787</v>
      </c>
      <c r="X22" s="15">
        <v>820</v>
      </c>
    </row>
    <row r="23" spans="1:24" x14ac:dyDescent="0.2">
      <c r="A23" s="2" t="s">
        <v>6</v>
      </c>
    </row>
    <row r="24" spans="1:24" x14ac:dyDescent="0.2">
      <c r="A24" s="2" t="s">
        <v>6</v>
      </c>
    </row>
  </sheetData>
  <mergeCells count="3">
    <mergeCell ref="B7:C7"/>
    <mergeCell ref="B8:C8"/>
    <mergeCell ref="B9:C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4"/>
  <sheetViews>
    <sheetView topLeftCell="A4" zoomScale="130" zoomScaleNormal="130" workbookViewId="0">
      <selection activeCell="A22" sqref="A22:Y34"/>
    </sheetView>
  </sheetViews>
  <sheetFormatPr defaultColWidth="9.140625" defaultRowHeight="12.75" x14ac:dyDescent="0.2"/>
  <cols>
    <col min="1" max="1" width="37.85546875" style="1" customWidth="1"/>
    <col min="2" max="2" width="14.28515625" style="1" customWidth="1"/>
    <col min="3" max="3" width="13.140625" style="1" customWidth="1"/>
    <col min="4" max="4" width="18.85546875" style="1" customWidth="1"/>
    <col min="5" max="5" width="12.7109375" style="1" customWidth="1"/>
    <col min="6" max="6" width="26.28515625" style="1" customWidth="1"/>
    <col min="7" max="7" width="19.42578125" style="1" customWidth="1"/>
    <col min="8" max="8" width="18.7109375" style="1" customWidth="1"/>
    <col min="9" max="9" width="14.85546875" style="1" customWidth="1"/>
    <col min="10" max="10" width="15.5703125" style="1" customWidth="1"/>
    <col min="11" max="11" width="12.85546875" style="1" customWidth="1"/>
    <col min="12" max="12" width="20.7109375" style="1" customWidth="1"/>
    <col min="13" max="13" width="14.140625" style="1" customWidth="1"/>
    <col min="14" max="14" width="15.7109375" style="1" customWidth="1"/>
    <col min="15" max="15" width="20.7109375" style="1" customWidth="1"/>
    <col min="16" max="16" width="13.5703125" style="1" customWidth="1"/>
    <col min="17" max="17" width="15.5703125" style="1" customWidth="1"/>
    <col min="18" max="18" width="22.28515625" style="1" customWidth="1"/>
    <col min="19" max="19" width="17.42578125" style="1" customWidth="1"/>
    <col min="20" max="20" width="16.42578125" style="1" customWidth="1"/>
    <col min="21" max="21" width="13.5703125" style="1" customWidth="1"/>
    <col min="22" max="22" width="13.140625" style="1" customWidth="1"/>
    <col min="23" max="23" width="13.85546875" style="1" customWidth="1"/>
    <col min="24" max="24" width="14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177</v>
      </c>
    </row>
    <row r="2" spans="1:24" ht="18" x14ac:dyDescent="0.25">
      <c r="A2" s="3" t="s">
        <v>193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36" t="s">
        <v>6</v>
      </c>
      <c r="C7" s="36"/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5" t="s">
        <v>21</v>
      </c>
      <c r="S7" s="5" t="s">
        <v>22</v>
      </c>
      <c r="T7" s="5" t="s">
        <v>23</v>
      </c>
      <c r="U7" s="5" t="s">
        <v>24</v>
      </c>
      <c r="V7" s="5" t="s">
        <v>25</v>
      </c>
      <c r="W7" s="5" t="s">
        <v>26</v>
      </c>
      <c r="X7" s="5" t="s">
        <v>27</v>
      </c>
    </row>
    <row r="8" spans="1:24" x14ac:dyDescent="0.2">
      <c r="A8" s="4" t="s">
        <v>6</v>
      </c>
      <c r="B8" s="36" t="s">
        <v>29</v>
      </c>
      <c r="C8" s="36"/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37" t="s">
        <v>4</v>
      </c>
      <c r="C9" s="37"/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30</v>
      </c>
      <c r="C10" s="8" t="s">
        <v>194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195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196</v>
      </c>
      <c r="B12" s="9">
        <v>530513</v>
      </c>
      <c r="C12" s="14">
        <v>234.84</v>
      </c>
      <c r="D12" s="9">
        <v>39375</v>
      </c>
      <c r="E12" s="9">
        <v>15118</v>
      </c>
      <c r="F12" s="9">
        <v>7425</v>
      </c>
      <c r="G12" s="9">
        <v>17870</v>
      </c>
      <c r="H12" s="9">
        <v>41535</v>
      </c>
      <c r="I12" s="9">
        <v>18060</v>
      </c>
      <c r="J12" s="9">
        <v>8890</v>
      </c>
      <c r="K12" s="9">
        <v>40725</v>
      </c>
      <c r="L12" s="9">
        <v>6300</v>
      </c>
      <c r="M12" s="9">
        <v>39200</v>
      </c>
      <c r="N12" s="9">
        <v>52820</v>
      </c>
      <c r="O12" s="9">
        <v>33429</v>
      </c>
      <c r="P12" s="9">
        <v>96702</v>
      </c>
      <c r="Q12" s="9">
        <v>38890</v>
      </c>
      <c r="R12" s="9">
        <v>33600</v>
      </c>
      <c r="S12" s="9">
        <v>40575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1:24" x14ac:dyDescent="0.2">
      <c r="A13" s="4" t="s">
        <v>197</v>
      </c>
      <c r="B13" s="16">
        <v>1652813</v>
      </c>
      <c r="C13" s="17">
        <v>226.26</v>
      </c>
      <c r="D13" s="16">
        <v>148062</v>
      </c>
      <c r="E13" s="16">
        <v>86312</v>
      </c>
      <c r="F13" s="16">
        <v>121763</v>
      </c>
      <c r="G13" s="16">
        <v>61925</v>
      </c>
      <c r="H13" s="16">
        <v>95721</v>
      </c>
      <c r="I13" s="16">
        <v>52186</v>
      </c>
      <c r="J13" s="16">
        <v>53927</v>
      </c>
      <c r="K13" s="16">
        <v>76160</v>
      </c>
      <c r="L13" s="16">
        <v>46274</v>
      </c>
      <c r="M13" s="16">
        <v>83752</v>
      </c>
      <c r="N13" s="16">
        <v>127629</v>
      </c>
      <c r="O13" s="16">
        <v>194833</v>
      </c>
      <c r="P13" s="16">
        <v>191919</v>
      </c>
      <c r="Q13" s="16">
        <v>148257</v>
      </c>
      <c r="R13" s="16">
        <v>76923</v>
      </c>
      <c r="S13" s="16">
        <v>87170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</row>
    <row r="14" spans="1:24" x14ac:dyDescent="0.2">
      <c r="A14" s="4" t="s">
        <v>198</v>
      </c>
      <c r="B14" s="10">
        <v>783217</v>
      </c>
      <c r="C14" s="18">
        <v>603.87</v>
      </c>
      <c r="D14" s="10">
        <v>115551</v>
      </c>
      <c r="E14" s="10">
        <v>140854</v>
      </c>
      <c r="F14" s="10">
        <v>0</v>
      </c>
      <c r="G14" s="10">
        <v>29431</v>
      </c>
      <c r="H14" s="10">
        <v>111533</v>
      </c>
      <c r="I14" s="10">
        <v>33326</v>
      </c>
      <c r="J14" s="10">
        <v>33526</v>
      </c>
      <c r="K14" s="10">
        <v>38128</v>
      </c>
      <c r="L14" s="10">
        <v>0</v>
      </c>
      <c r="M14" s="10">
        <v>35179</v>
      </c>
      <c r="N14" s="10">
        <v>113719</v>
      </c>
      <c r="O14" s="10">
        <v>29013</v>
      </c>
      <c r="P14" s="10">
        <v>25180</v>
      </c>
      <c r="Q14" s="10">
        <v>8524</v>
      </c>
      <c r="R14" s="10">
        <v>9290</v>
      </c>
      <c r="S14" s="10">
        <v>59963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x14ac:dyDescent="0.2">
      <c r="A15" s="4" t="s">
        <v>199</v>
      </c>
      <c r="B15" s="9">
        <v>4263</v>
      </c>
      <c r="C15" s="14">
        <v>1420.96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-110</v>
      </c>
      <c r="J15" s="9">
        <v>0</v>
      </c>
      <c r="K15" s="9">
        <v>-9</v>
      </c>
      <c r="L15" s="9">
        <v>0</v>
      </c>
      <c r="M15" s="9">
        <v>-69</v>
      </c>
      <c r="N15" s="9">
        <v>-4</v>
      </c>
      <c r="O15" s="9">
        <v>4573</v>
      </c>
      <c r="P15" s="9">
        <v>0</v>
      </c>
      <c r="Q15" s="9">
        <v>-118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1:24" x14ac:dyDescent="0.2">
      <c r="A16" s="4" t="s">
        <v>200</v>
      </c>
      <c r="B16" s="9">
        <v>88132</v>
      </c>
      <c r="C16" s="14">
        <v>0</v>
      </c>
      <c r="D16" s="9">
        <v>6042</v>
      </c>
      <c r="E16" s="9">
        <v>6808</v>
      </c>
      <c r="F16" s="9">
        <v>0</v>
      </c>
      <c r="G16" s="9">
        <v>14236</v>
      </c>
      <c r="H16" s="9">
        <v>4127</v>
      </c>
      <c r="I16" s="9">
        <v>6841</v>
      </c>
      <c r="J16" s="9">
        <v>8555</v>
      </c>
      <c r="K16" s="9">
        <v>1407</v>
      </c>
      <c r="L16" s="9">
        <v>0</v>
      </c>
      <c r="M16" s="9">
        <v>348</v>
      </c>
      <c r="N16" s="9">
        <v>191</v>
      </c>
      <c r="O16" s="9">
        <v>5902</v>
      </c>
      <c r="P16" s="9">
        <v>3075</v>
      </c>
      <c r="Q16" s="9">
        <v>18764</v>
      </c>
      <c r="R16" s="9">
        <v>8943</v>
      </c>
      <c r="S16" s="9">
        <v>2893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1:24" x14ac:dyDescent="0.2">
      <c r="A17" s="4" t="s">
        <v>201</v>
      </c>
      <c r="B17" s="9">
        <v>507247</v>
      </c>
      <c r="C17" s="14">
        <v>138.1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119425</v>
      </c>
      <c r="U17" s="9">
        <v>110690</v>
      </c>
      <c r="V17" s="9">
        <v>62350</v>
      </c>
      <c r="W17" s="9">
        <v>133393</v>
      </c>
      <c r="X17" s="9">
        <v>81388</v>
      </c>
    </row>
    <row r="18" spans="1:24" x14ac:dyDescent="0.2">
      <c r="A18" s="4" t="s">
        <v>202</v>
      </c>
      <c r="B18" s="16">
        <v>2804507</v>
      </c>
      <c r="C18" s="17">
        <v>234.41</v>
      </c>
      <c r="D18" s="16">
        <v>157031</v>
      </c>
      <c r="E18" s="16">
        <v>93071</v>
      </c>
      <c r="F18" s="16">
        <v>141396</v>
      </c>
      <c r="G18" s="16">
        <v>179116</v>
      </c>
      <c r="H18" s="16">
        <v>104741</v>
      </c>
      <c r="I18" s="16">
        <v>139703</v>
      </c>
      <c r="J18" s="16">
        <v>75296</v>
      </c>
      <c r="K18" s="16">
        <v>110842</v>
      </c>
      <c r="L18" s="16">
        <v>152276</v>
      </c>
      <c r="M18" s="16">
        <v>95070</v>
      </c>
      <c r="N18" s="16">
        <v>137927</v>
      </c>
      <c r="O18" s="16">
        <v>668253</v>
      </c>
      <c r="P18" s="16">
        <v>128299</v>
      </c>
      <c r="Q18" s="16">
        <v>275118</v>
      </c>
      <c r="R18" s="16">
        <v>157019</v>
      </c>
      <c r="S18" s="16">
        <v>189347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</row>
    <row r="19" spans="1:24" x14ac:dyDescent="0.2">
      <c r="A19" s="4" t="s">
        <v>203</v>
      </c>
      <c r="B19" s="11">
        <v>250766</v>
      </c>
      <c r="C19" s="19">
        <v>251135.81</v>
      </c>
      <c r="D19" s="11">
        <v>12059</v>
      </c>
      <c r="E19" s="11">
        <v>12127</v>
      </c>
      <c r="F19" s="11">
        <v>0</v>
      </c>
      <c r="G19" s="11">
        <v>0</v>
      </c>
      <c r="H19" s="11">
        <v>55808</v>
      </c>
      <c r="I19" s="11">
        <v>5521</v>
      </c>
      <c r="J19" s="11">
        <v>14634</v>
      </c>
      <c r="K19" s="11">
        <v>5030</v>
      </c>
      <c r="L19" s="11">
        <v>0</v>
      </c>
      <c r="M19" s="11">
        <v>22428</v>
      </c>
      <c r="N19" s="11">
        <v>37939</v>
      </c>
      <c r="O19" s="11">
        <v>0</v>
      </c>
      <c r="P19" s="11">
        <v>31028</v>
      </c>
      <c r="Q19" s="11">
        <v>9334</v>
      </c>
      <c r="R19" s="11">
        <v>28086</v>
      </c>
      <c r="S19" s="11">
        <v>16771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</row>
    <row r="20" spans="1:24" x14ac:dyDescent="0.2">
      <c r="A20" s="4" t="s">
        <v>204</v>
      </c>
      <c r="B20" s="12">
        <v>6621458</v>
      </c>
      <c r="C20" s="15">
        <v>246.42</v>
      </c>
      <c r="D20" s="12">
        <v>478120</v>
      </c>
      <c r="E20" s="12">
        <v>354290</v>
      </c>
      <c r="F20" s="12">
        <v>270584</v>
      </c>
      <c r="G20" s="12">
        <v>302578</v>
      </c>
      <c r="H20" s="12">
        <v>413465</v>
      </c>
      <c r="I20" s="12">
        <v>255527</v>
      </c>
      <c r="J20" s="12">
        <v>194828</v>
      </c>
      <c r="K20" s="12">
        <v>272283</v>
      </c>
      <c r="L20" s="12">
        <v>204850</v>
      </c>
      <c r="M20" s="12">
        <v>275908</v>
      </c>
      <c r="N20" s="12">
        <v>470221</v>
      </c>
      <c r="O20" s="12">
        <v>936003</v>
      </c>
      <c r="P20" s="12">
        <v>476203</v>
      </c>
      <c r="Q20" s="12">
        <v>498769</v>
      </c>
      <c r="R20" s="12">
        <v>313861</v>
      </c>
      <c r="S20" s="12">
        <v>396719</v>
      </c>
      <c r="T20" s="12">
        <v>119425</v>
      </c>
      <c r="U20" s="12">
        <v>110690</v>
      </c>
      <c r="V20" s="12">
        <v>62350</v>
      </c>
      <c r="W20" s="12">
        <v>133393</v>
      </c>
      <c r="X20" s="12">
        <v>81388</v>
      </c>
    </row>
    <row r="21" spans="1:24" x14ac:dyDescent="0.2">
      <c r="A21" s="2" t="s">
        <v>6</v>
      </c>
    </row>
    <row r="22" spans="1:24" x14ac:dyDescent="0.2">
      <c r="A22" s="2"/>
    </row>
    <row r="24" spans="1:24" x14ac:dyDescent="0.2"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</sheetData>
  <mergeCells count="3">
    <mergeCell ref="B7:C7"/>
    <mergeCell ref="B8:C8"/>
    <mergeCell ref="B9:C9"/>
  </mergeCells>
  <pageMargins left="0.75" right="0.75" top="1" bottom="1" header="0.5" footer="0.5"/>
  <pageSetup orientation="portrait" horizontalDpi="300" verticalDpi="300"/>
  <ignoredErrors>
    <ignoredError sqref="A1:IV21 Z23:IV23 Z22:IV22 A35:IV65536 Z24:IV24 Z25:IV3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1"/>
  <sheetViews>
    <sheetView workbookViewId="0"/>
  </sheetViews>
  <sheetFormatPr defaultColWidth="9.140625" defaultRowHeight="12.75" x14ac:dyDescent="0.2"/>
  <cols>
    <col min="1" max="1" width="48.14062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3.5703125" style="1" customWidth="1"/>
    <col min="20" max="20" width="9.140625" style="1" customWidth="1"/>
    <col min="21" max="16384" width="9.140625" style="1"/>
  </cols>
  <sheetData>
    <row r="1" spans="1:19" ht="18" x14ac:dyDescent="0.25">
      <c r="A1" s="3" t="s">
        <v>0</v>
      </c>
    </row>
    <row r="2" spans="1:19" ht="18" x14ac:dyDescent="0.25">
      <c r="A2" s="3" t="s">
        <v>205</v>
      </c>
    </row>
    <row r="3" spans="1:19" ht="18" x14ac:dyDescent="0.25">
      <c r="A3" s="3" t="s">
        <v>2</v>
      </c>
    </row>
    <row r="4" spans="1:19" x14ac:dyDescent="0.2">
      <c r="A4" s="4" t="s">
        <v>3</v>
      </c>
      <c r="B4" s="4" t="s">
        <v>4</v>
      </c>
    </row>
    <row r="5" spans="1:19" x14ac:dyDescent="0.2">
      <c r="A5" s="4" t="s">
        <v>5</v>
      </c>
      <c r="B5" s="4" t="s">
        <v>0</v>
      </c>
    </row>
    <row r="6" spans="1:19" x14ac:dyDescent="0.2">
      <c r="A6" s="2" t="s">
        <v>6</v>
      </c>
    </row>
    <row r="7" spans="1:19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24</v>
      </c>
    </row>
    <row r="8" spans="1:19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</row>
    <row r="9" spans="1:19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</row>
    <row r="10" spans="1:19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</row>
    <row r="11" spans="1:19" x14ac:dyDescent="0.2">
      <c r="A11" s="4" t="s">
        <v>206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</row>
    <row r="12" spans="1:19" x14ac:dyDescent="0.2">
      <c r="A12" s="4" t="s">
        <v>207</v>
      </c>
      <c r="B12" s="9">
        <v>113</v>
      </c>
      <c r="C12" s="9">
        <v>0</v>
      </c>
      <c r="D12" s="9">
        <v>0</v>
      </c>
      <c r="E12" s="9">
        <v>0</v>
      </c>
      <c r="F12" s="9">
        <v>0</v>
      </c>
      <c r="G12" s="9">
        <v>113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</row>
    <row r="13" spans="1:19" x14ac:dyDescent="0.2">
      <c r="A13" s="4" t="s">
        <v>208</v>
      </c>
      <c r="B13" s="9">
        <v>4487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-25</v>
      </c>
      <c r="I13" s="9">
        <v>140</v>
      </c>
      <c r="J13" s="9">
        <v>0</v>
      </c>
      <c r="K13" s="9">
        <v>0</v>
      </c>
      <c r="L13" s="9">
        <v>0</v>
      </c>
      <c r="M13" s="9">
        <v>0</v>
      </c>
      <c r="N13" s="9">
        <v>190</v>
      </c>
      <c r="O13" s="9">
        <v>0</v>
      </c>
      <c r="P13" s="9">
        <v>23</v>
      </c>
      <c r="Q13" s="9">
        <v>183</v>
      </c>
      <c r="R13" s="9">
        <v>3976</v>
      </c>
      <c r="S13" s="9">
        <v>0</v>
      </c>
    </row>
    <row r="14" spans="1:19" x14ac:dyDescent="0.2">
      <c r="A14" s="4" t="s">
        <v>209</v>
      </c>
      <c r="B14" s="9">
        <v>79824</v>
      </c>
      <c r="C14" s="9">
        <v>12462</v>
      </c>
      <c r="D14" s="9">
        <v>15252</v>
      </c>
      <c r="E14" s="9">
        <v>0</v>
      </c>
      <c r="F14" s="9">
        <v>2728</v>
      </c>
      <c r="G14" s="9">
        <v>11532</v>
      </c>
      <c r="H14" s="9">
        <v>3968</v>
      </c>
      <c r="I14" s="9">
        <v>3162</v>
      </c>
      <c r="J14" s="9">
        <v>3600</v>
      </c>
      <c r="K14" s="9">
        <v>0</v>
      </c>
      <c r="L14" s="9">
        <v>3180</v>
      </c>
      <c r="M14" s="9">
        <v>11640</v>
      </c>
      <c r="N14" s="9">
        <v>2700</v>
      </c>
      <c r="O14" s="9">
        <v>2460</v>
      </c>
      <c r="P14" s="9">
        <v>660</v>
      </c>
      <c r="Q14" s="9">
        <v>900</v>
      </c>
      <c r="R14" s="9">
        <v>5580</v>
      </c>
      <c r="S14" s="9">
        <v>0</v>
      </c>
    </row>
    <row r="15" spans="1:19" x14ac:dyDescent="0.2">
      <c r="A15" s="4" t="s">
        <v>210</v>
      </c>
      <c r="B15" s="9">
        <v>21188</v>
      </c>
      <c r="C15" s="9">
        <v>1302</v>
      </c>
      <c r="D15" s="9">
        <v>1240</v>
      </c>
      <c r="E15" s="9">
        <v>0</v>
      </c>
      <c r="F15" s="9">
        <v>0</v>
      </c>
      <c r="G15" s="9">
        <v>4898</v>
      </c>
      <c r="H15" s="9">
        <v>558</v>
      </c>
      <c r="I15" s="9">
        <v>1364</v>
      </c>
      <c r="J15" s="9">
        <v>540</v>
      </c>
      <c r="K15" s="9">
        <v>0</v>
      </c>
      <c r="L15" s="9">
        <v>1680</v>
      </c>
      <c r="M15" s="9">
        <v>2821</v>
      </c>
      <c r="N15" s="9">
        <v>80</v>
      </c>
      <c r="O15" s="9">
        <v>2760</v>
      </c>
      <c r="P15" s="9">
        <v>780</v>
      </c>
      <c r="Q15" s="9">
        <v>1485</v>
      </c>
      <c r="R15" s="9">
        <v>1680</v>
      </c>
      <c r="S15" s="9">
        <v>0</v>
      </c>
    </row>
    <row r="16" spans="1:19" x14ac:dyDescent="0.2">
      <c r="A16" s="4" t="s">
        <v>211</v>
      </c>
      <c r="B16" s="9">
        <v>73574</v>
      </c>
      <c r="C16" s="9">
        <v>4859</v>
      </c>
      <c r="D16" s="9">
        <v>5758</v>
      </c>
      <c r="E16" s="9">
        <v>0</v>
      </c>
      <c r="F16" s="9">
        <v>12488</v>
      </c>
      <c r="G16" s="9">
        <v>3810</v>
      </c>
      <c r="H16" s="9">
        <v>6554</v>
      </c>
      <c r="I16" s="9">
        <v>7943</v>
      </c>
      <c r="J16" s="9">
        <v>1244</v>
      </c>
      <c r="K16" s="9">
        <v>0</v>
      </c>
      <c r="L16" s="9">
        <v>413</v>
      </c>
      <c r="M16" s="9">
        <v>143</v>
      </c>
      <c r="N16" s="9">
        <v>5116</v>
      </c>
      <c r="O16" s="9">
        <v>2567</v>
      </c>
      <c r="P16" s="9">
        <v>15879</v>
      </c>
      <c r="Q16" s="9">
        <v>7936</v>
      </c>
      <c r="R16" s="9">
        <v>-1137</v>
      </c>
      <c r="S16" s="9">
        <v>0</v>
      </c>
    </row>
    <row r="17" spans="1:19" x14ac:dyDescent="0.2">
      <c r="A17" s="4" t="s">
        <v>212</v>
      </c>
      <c r="B17" s="9">
        <v>769</v>
      </c>
      <c r="C17" s="9">
        <v>0</v>
      </c>
      <c r="D17" s="9">
        <v>0</v>
      </c>
      <c r="E17" s="9">
        <v>0</v>
      </c>
      <c r="F17" s="9">
        <v>360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318</v>
      </c>
      <c r="Q17" s="9">
        <v>0</v>
      </c>
      <c r="R17" s="9">
        <v>91</v>
      </c>
      <c r="S17" s="9">
        <v>0</v>
      </c>
    </row>
    <row r="18" spans="1:19" x14ac:dyDescent="0.2">
      <c r="A18" s="4" t="s">
        <v>213</v>
      </c>
      <c r="B18" s="16">
        <v>100021</v>
      </c>
      <c r="C18" s="16">
        <v>10685</v>
      </c>
      <c r="D18" s="16">
        <v>11157</v>
      </c>
      <c r="E18" s="16">
        <v>851</v>
      </c>
      <c r="F18" s="16">
        <v>7490</v>
      </c>
      <c r="G18" s="16">
        <v>11149</v>
      </c>
      <c r="H18" s="16">
        <v>1288</v>
      </c>
      <c r="I18" s="16">
        <v>486</v>
      </c>
      <c r="J18" s="16">
        <v>7138</v>
      </c>
      <c r="K18" s="16">
        <v>2057</v>
      </c>
      <c r="L18" s="16">
        <v>1362</v>
      </c>
      <c r="M18" s="16">
        <v>13472</v>
      </c>
      <c r="N18" s="16">
        <v>7826</v>
      </c>
      <c r="O18" s="16">
        <v>5901</v>
      </c>
      <c r="P18" s="16">
        <v>4875</v>
      </c>
      <c r="Q18" s="16">
        <v>8700</v>
      </c>
      <c r="R18" s="16">
        <v>5437</v>
      </c>
      <c r="S18" s="16">
        <v>149</v>
      </c>
    </row>
    <row r="19" spans="1:19" x14ac:dyDescent="0.2">
      <c r="A19" s="4" t="s">
        <v>214</v>
      </c>
      <c r="B19" s="12">
        <v>279976</v>
      </c>
      <c r="C19" s="12">
        <v>29308</v>
      </c>
      <c r="D19" s="12">
        <v>33407</v>
      </c>
      <c r="E19" s="12">
        <v>851</v>
      </c>
      <c r="F19" s="12">
        <v>23066</v>
      </c>
      <c r="G19" s="12">
        <v>31502</v>
      </c>
      <c r="H19" s="12">
        <v>12343</v>
      </c>
      <c r="I19" s="12">
        <v>13095</v>
      </c>
      <c r="J19" s="12">
        <v>12522</v>
      </c>
      <c r="K19" s="12">
        <v>2057</v>
      </c>
      <c r="L19" s="12">
        <v>6635</v>
      </c>
      <c r="M19" s="12">
        <v>28076</v>
      </c>
      <c r="N19" s="12">
        <v>15912</v>
      </c>
      <c r="O19" s="12">
        <v>13688</v>
      </c>
      <c r="P19" s="12">
        <v>22535</v>
      </c>
      <c r="Q19" s="12">
        <v>19204</v>
      </c>
      <c r="R19" s="12">
        <v>15627</v>
      </c>
      <c r="S19" s="12">
        <v>149</v>
      </c>
    </row>
    <row r="20" spans="1:19" x14ac:dyDescent="0.2">
      <c r="A20" s="2" t="s">
        <v>6</v>
      </c>
    </row>
    <row r="21" spans="1:19" x14ac:dyDescent="0.2">
      <c r="A21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4"/>
  <sheetViews>
    <sheetView workbookViewId="0"/>
  </sheetViews>
  <sheetFormatPr defaultColWidth="9.140625" defaultRowHeight="12.75" x14ac:dyDescent="0.2"/>
  <cols>
    <col min="1" max="1" width="48.14062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3.5703125" style="1" customWidth="1"/>
    <col min="20" max="20" width="9.140625" style="1" customWidth="1"/>
    <col min="21" max="16384" width="9.140625" style="1"/>
  </cols>
  <sheetData>
    <row r="1" spans="1:19" ht="18" x14ac:dyDescent="0.25">
      <c r="A1" s="3" t="s">
        <v>0</v>
      </c>
    </row>
    <row r="2" spans="1:19" ht="18" x14ac:dyDescent="0.25">
      <c r="A2" s="3" t="s">
        <v>215</v>
      </c>
    </row>
    <row r="3" spans="1:19" ht="18" x14ac:dyDescent="0.25">
      <c r="A3" s="3" t="s">
        <v>2</v>
      </c>
    </row>
    <row r="4" spans="1:19" x14ac:dyDescent="0.2">
      <c r="A4" s="4" t="s">
        <v>3</v>
      </c>
      <c r="B4" s="4" t="s">
        <v>4</v>
      </c>
    </row>
    <row r="5" spans="1:19" x14ac:dyDescent="0.2">
      <c r="A5" s="4" t="s">
        <v>5</v>
      </c>
      <c r="B5" s="4" t="s">
        <v>0</v>
      </c>
    </row>
    <row r="6" spans="1:19" x14ac:dyDescent="0.2">
      <c r="A6" s="2" t="s">
        <v>6</v>
      </c>
    </row>
    <row r="7" spans="1:19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24</v>
      </c>
    </row>
    <row r="8" spans="1:19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</row>
    <row r="9" spans="1:19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</row>
    <row r="10" spans="1:19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</row>
    <row r="11" spans="1:19" x14ac:dyDescent="0.2">
      <c r="A11" s="4" t="s">
        <v>206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</row>
    <row r="12" spans="1:19" x14ac:dyDescent="0.2">
      <c r="A12" s="4" t="s">
        <v>207</v>
      </c>
      <c r="B12" s="4" t="s">
        <v>73</v>
      </c>
      <c r="C12" s="4" t="s">
        <v>73</v>
      </c>
      <c r="D12" s="4" t="s">
        <v>73</v>
      </c>
      <c r="E12" s="4" t="s">
        <v>73</v>
      </c>
      <c r="F12" s="4" t="s">
        <v>73</v>
      </c>
      <c r="G12" s="4" t="s">
        <v>73</v>
      </c>
      <c r="H12" s="4" t="s">
        <v>73</v>
      </c>
      <c r="I12" s="4" t="s">
        <v>73</v>
      </c>
      <c r="J12" s="4" t="s">
        <v>73</v>
      </c>
      <c r="K12" s="4" t="s">
        <v>73</v>
      </c>
      <c r="L12" s="4" t="s">
        <v>73</v>
      </c>
      <c r="M12" s="4" t="s">
        <v>73</v>
      </c>
      <c r="N12" s="4" t="s">
        <v>73</v>
      </c>
      <c r="O12" s="4" t="s">
        <v>73</v>
      </c>
      <c r="P12" s="4" t="s">
        <v>73</v>
      </c>
      <c r="Q12" s="4" t="s">
        <v>73</v>
      </c>
      <c r="R12" s="4" t="s">
        <v>73</v>
      </c>
      <c r="S12" s="4" t="s">
        <v>73</v>
      </c>
    </row>
    <row r="13" spans="1:19" x14ac:dyDescent="0.2">
      <c r="A13" s="4" t="s">
        <v>216</v>
      </c>
      <c r="B13" s="9">
        <v>45</v>
      </c>
      <c r="C13" s="9">
        <v>0</v>
      </c>
      <c r="D13" s="9">
        <v>0</v>
      </c>
      <c r="E13" s="9">
        <v>0</v>
      </c>
      <c r="F13" s="9">
        <v>0</v>
      </c>
      <c r="G13" s="9">
        <v>45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</row>
    <row r="14" spans="1:19" x14ac:dyDescent="0.2">
      <c r="A14" s="4" t="s">
        <v>217</v>
      </c>
      <c r="B14" s="9">
        <v>23</v>
      </c>
      <c r="C14" s="9">
        <v>0</v>
      </c>
      <c r="D14" s="9">
        <v>0</v>
      </c>
      <c r="E14" s="9">
        <v>0</v>
      </c>
      <c r="F14" s="9">
        <v>0</v>
      </c>
      <c r="G14" s="9">
        <v>23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</row>
    <row r="15" spans="1:19" x14ac:dyDescent="0.2">
      <c r="A15" s="4" t="s">
        <v>218</v>
      </c>
      <c r="B15" s="9">
        <v>45</v>
      </c>
      <c r="C15" s="9">
        <v>0</v>
      </c>
      <c r="D15" s="9">
        <v>0</v>
      </c>
      <c r="E15" s="9">
        <v>0</v>
      </c>
      <c r="F15" s="9">
        <v>0</v>
      </c>
      <c r="G15" s="9">
        <v>45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</row>
    <row r="16" spans="1:19" x14ac:dyDescent="0.2">
      <c r="A16" s="4" t="s">
        <v>219</v>
      </c>
      <c r="B16" s="11">
        <v>113</v>
      </c>
      <c r="C16" s="11">
        <v>0</v>
      </c>
      <c r="D16" s="11">
        <v>0</v>
      </c>
      <c r="E16" s="11">
        <v>0</v>
      </c>
      <c r="F16" s="11">
        <v>0</v>
      </c>
      <c r="G16" s="11">
        <v>113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</row>
    <row r="17" spans="1:19" x14ac:dyDescent="0.2">
      <c r="A17" s="4" t="s">
        <v>208</v>
      </c>
      <c r="B17" s="13" t="s">
        <v>73</v>
      </c>
      <c r="C17" s="13" t="s">
        <v>73</v>
      </c>
      <c r="D17" s="13" t="s">
        <v>73</v>
      </c>
      <c r="E17" s="13" t="s">
        <v>73</v>
      </c>
      <c r="F17" s="13" t="s">
        <v>73</v>
      </c>
      <c r="G17" s="13" t="s">
        <v>73</v>
      </c>
      <c r="H17" s="13" t="s">
        <v>73</v>
      </c>
      <c r="I17" s="13" t="s">
        <v>73</v>
      </c>
      <c r="J17" s="13" t="s">
        <v>73</v>
      </c>
      <c r="K17" s="13" t="s">
        <v>73</v>
      </c>
      <c r="L17" s="13" t="s">
        <v>73</v>
      </c>
      <c r="M17" s="13" t="s">
        <v>73</v>
      </c>
      <c r="N17" s="13" t="s">
        <v>73</v>
      </c>
      <c r="O17" s="13" t="s">
        <v>73</v>
      </c>
      <c r="P17" s="13" t="s">
        <v>73</v>
      </c>
      <c r="Q17" s="13" t="s">
        <v>73</v>
      </c>
      <c r="R17" s="13" t="s">
        <v>73</v>
      </c>
      <c r="S17" s="13" t="s">
        <v>73</v>
      </c>
    </row>
    <row r="18" spans="1:19" x14ac:dyDescent="0.2">
      <c r="A18" s="4" t="s">
        <v>216</v>
      </c>
      <c r="B18" s="9">
        <v>663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59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123</v>
      </c>
      <c r="R18" s="9">
        <v>481</v>
      </c>
      <c r="S18" s="9">
        <v>0</v>
      </c>
    </row>
    <row r="19" spans="1:19" x14ac:dyDescent="0.2">
      <c r="A19" s="4" t="s">
        <v>217</v>
      </c>
      <c r="B19" s="9">
        <v>3574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-25</v>
      </c>
      <c r="I19" s="9">
        <v>81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23</v>
      </c>
      <c r="Q19" s="9">
        <v>0</v>
      </c>
      <c r="R19" s="9">
        <v>3495</v>
      </c>
      <c r="S19" s="9">
        <v>0</v>
      </c>
    </row>
    <row r="20" spans="1:19" x14ac:dyDescent="0.2">
      <c r="A20" s="4" t="s">
        <v>218</v>
      </c>
      <c r="B20" s="9">
        <v>250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190</v>
      </c>
      <c r="O20" s="9">
        <v>0</v>
      </c>
      <c r="P20" s="9">
        <v>0</v>
      </c>
      <c r="Q20" s="9">
        <v>60</v>
      </c>
      <c r="R20" s="9">
        <v>0</v>
      </c>
      <c r="S20" s="9">
        <v>0</v>
      </c>
    </row>
    <row r="21" spans="1:19" x14ac:dyDescent="0.2">
      <c r="A21" s="4" t="s">
        <v>220</v>
      </c>
      <c r="B21" s="11">
        <v>4487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-25</v>
      </c>
      <c r="I21" s="11">
        <v>140</v>
      </c>
      <c r="J21" s="11">
        <v>0</v>
      </c>
      <c r="K21" s="11">
        <v>0</v>
      </c>
      <c r="L21" s="11">
        <v>0</v>
      </c>
      <c r="M21" s="11">
        <v>0</v>
      </c>
      <c r="N21" s="11">
        <v>190</v>
      </c>
      <c r="O21" s="11">
        <v>0</v>
      </c>
      <c r="P21" s="11">
        <v>23</v>
      </c>
      <c r="Q21" s="11">
        <v>183</v>
      </c>
      <c r="R21" s="11">
        <v>3976</v>
      </c>
      <c r="S21" s="11">
        <v>0</v>
      </c>
    </row>
    <row r="22" spans="1:19" x14ac:dyDescent="0.2">
      <c r="A22" s="4" t="s">
        <v>209</v>
      </c>
      <c r="B22" s="13" t="s">
        <v>73</v>
      </c>
      <c r="C22" s="13" t="s">
        <v>73</v>
      </c>
      <c r="D22" s="13" t="s">
        <v>73</v>
      </c>
      <c r="E22" s="13" t="s">
        <v>73</v>
      </c>
      <c r="F22" s="13" t="s">
        <v>73</v>
      </c>
      <c r="G22" s="13" t="s">
        <v>73</v>
      </c>
      <c r="H22" s="13" t="s">
        <v>73</v>
      </c>
      <c r="I22" s="13" t="s">
        <v>73</v>
      </c>
      <c r="J22" s="13" t="s">
        <v>73</v>
      </c>
      <c r="K22" s="13" t="s">
        <v>73</v>
      </c>
      <c r="L22" s="13" t="s">
        <v>73</v>
      </c>
      <c r="M22" s="13" t="s">
        <v>73</v>
      </c>
      <c r="N22" s="13" t="s">
        <v>73</v>
      </c>
      <c r="O22" s="13" t="s">
        <v>73</v>
      </c>
      <c r="P22" s="13" t="s">
        <v>73</v>
      </c>
      <c r="Q22" s="13" t="s">
        <v>73</v>
      </c>
      <c r="R22" s="13" t="s">
        <v>73</v>
      </c>
      <c r="S22" s="13" t="s">
        <v>73</v>
      </c>
    </row>
    <row r="23" spans="1:19" x14ac:dyDescent="0.2">
      <c r="A23" s="4" t="s">
        <v>216</v>
      </c>
      <c r="B23" s="9">
        <v>32336</v>
      </c>
      <c r="C23" s="9">
        <v>5380</v>
      </c>
      <c r="D23" s="9">
        <v>6404</v>
      </c>
      <c r="E23" s="9">
        <v>0</v>
      </c>
      <c r="F23" s="9">
        <v>1386</v>
      </c>
      <c r="G23" s="9">
        <v>5764</v>
      </c>
      <c r="H23" s="9">
        <v>1982</v>
      </c>
      <c r="I23" s="9">
        <v>1507</v>
      </c>
      <c r="J23" s="9">
        <v>838</v>
      </c>
      <c r="K23" s="9">
        <v>0</v>
      </c>
      <c r="L23" s="9">
        <v>2282</v>
      </c>
      <c r="M23" s="9">
        <v>3960</v>
      </c>
      <c r="N23" s="9">
        <v>763</v>
      </c>
      <c r="O23" s="9">
        <v>476</v>
      </c>
      <c r="P23" s="9">
        <v>317</v>
      </c>
      <c r="Q23" s="9">
        <v>440</v>
      </c>
      <c r="R23" s="9">
        <v>839</v>
      </c>
      <c r="S23" s="9">
        <v>0</v>
      </c>
    </row>
    <row r="24" spans="1:19" x14ac:dyDescent="0.2">
      <c r="A24" s="4" t="s">
        <v>217</v>
      </c>
      <c r="B24" s="9">
        <v>43007</v>
      </c>
      <c r="C24" s="9">
        <v>7082</v>
      </c>
      <c r="D24" s="9">
        <v>8271</v>
      </c>
      <c r="E24" s="9">
        <v>0</v>
      </c>
      <c r="F24" s="9">
        <v>1063</v>
      </c>
      <c r="G24" s="9">
        <v>4301</v>
      </c>
      <c r="H24" s="9">
        <v>1946</v>
      </c>
      <c r="I24" s="9">
        <v>1655</v>
      </c>
      <c r="J24" s="9">
        <v>2762</v>
      </c>
      <c r="K24" s="9">
        <v>0</v>
      </c>
      <c r="L24" s="9">
        <v>898</v>
      </c>
      <c r="M24" s="9">
        <v>6665</v>
      </c>
      <c r="N24" s="9">
        <v>1334</v>
      </c>
      <c r="O24" s="9">
        <v>1691</v>
      </c>
      <c r="P24" s="9">
        <v>297</v>
      </c>
      <c r="Q24" s="9">
        <v>299</v>
      </c>
      <c r="R24" s="9">
        <v>4741</v>
      </c>
      <c r="S24" s="9">
        <v>0</v>
      </c>
    </row>
    <row r="25" spans="1:19" x14ac:dyDescent="0.2">
      <c r="A25" s="4" t="s">
        <v>218</v>
      </c>
      <c r="B25" s="9">
        <v>4481</v>
      </c>
      <c r="C25" s="9">
        <v>0</v>
      </c>
      <c r="D25" s="9">
        <v>577</v>
      </c>
      <c r="E25" s="9">
        <v>0</v>
      </c>
      <c r="F25" s="9">
        <v>279</v>
      </c>
      <c r="G25" s="9">
        <v>1467</v>
      </c>
      <c r="H25" s="9">
        <v>40</v>
      </c>
      <c r="I25" s="9">
        <v>0</v>
      </c>
      <c r="J25" s="9">
        <v>0</v>
      </c>
      <c r="K25" s="9">
        <v>0</v>
      </c>
      <c r="L25" s="9">
        <v>0</v>
      </c>
      <c r="M25" s="9">
        <v>1015</v>
      </c>
      <c r="N25" s="9">
        <v>603</v>
      </c>
      <c r="O25" s="9">
        <v>293</v>
      </c>
      <c r="P25" s="9">
        <v>46</v>
      </c>
      <c r="Q25" s="9">
        <v>161</v>
      </c>
      <c r="R25" s="9">
        <v>0</v>
      </c>
      <c r="S25" s="9">
        <v>0</v>
      </c>
    </row>
    <row r="26" spans="1:19" x14ac:dyDescent="0.2">
      <c r="A26" s="4" t="s">
        <v>221</v>
      </c>
      <c r="B26" s="11">
        <v>79824</v>
      </c>
      <c r="C26" s="11">
        <v>12462</v>
      </c>
      <c r="D26" s="11">
        <v>15252</v>
      </c>
      <c r="E26" s="11">
        <v>0</v>
      </c>
      <c r="F26" s="11">
        <v>2728</v>
      </c>
      <c r="G26" s="11">
        <v>11532</v>
      </c>
      <c r="H26" s="11">
        <v>3968</v>
      </c>
      <c r="I26" s="11">
        <v>3162</v>
      </c>
      <c r="J26" s="11">
        <v>3600</v>
      </c>
      <c r="K26" s="11">
        <v>0</v>
      </c>
      <c r="L26" s="11">
        <v>3180</v>
      </c>
      <c r="M26" s="11">
        <v>11640</v>
      </c>
      <c r="N26" s="11">
        <v>2700</v>
      </c>
      <c r="O26" s="11">
        <v>2460</v>
      </c>
      <c r="P26" s="11">
        <v>660</v>
      </c>
      <c r="Q26" s="11">
        <v>900</v>
      </c>
      <c r="R26" s="11">
        <v>5580</v>
      </c>
      <c r="S26" s="11">
        <v>0</v>
      </c>
    </row>
    <row r="27" spans="1:19" x14ac:dyDescent="0.2">
      <c r="A27" s="4" t="s">
        <v>210</v>
      </c>
      <c r="B27" s="13" t="s">
        <v>73</v>
      </c>
      <c r="C27" s="13" t="s">
        <v>73</v>
      </c>
      <c r="D27" s="13" t="s">
        <v>73</v>
      </c>
      <c r="E27" s="13" t="s">
        <v>73</v>
      </c>
      <c r="F27" s="13" t="s">
        <v>73</v>
      </c>
      <c r="G27" s="13" t="s">
        <v>73</v>
      </c>
      <c r="H27" s="13" t="s">
        <v>73</v>
      </c>
      <c r="I27" s="13" t="s">
        <v>73</v>
      </c>
      <c r="J27" s="13" t="s">
        <v>73</v>
      </c>
      <c r="K27" s="13" t="s">
        <v>73</v>
      </c>
      <c r="L27" s="13" t="s">
        <v>73</v>
      </c>
      <c r="M27" s="13" t="s">
        <v>73</v>
      </c>
      <c r="N27" s="13" t="s">
        <v>73</v>
      </c>
      <c r="O27" s="13" t="s">
        <v>73</v>
      </c>
      <c r="P27" s="13" t="s">
        <v>73</v>
      </c>
      <c r="Q27" s="13" t="s">
        <v>73</v>
      </c>
      <c r="R27" s="13" t="s">
        <v>73</v>
      </c>
      <c r="S27" s="13" t="s">
        <v>73</v>
      </c>
    </row>
    <row r="28" spans="1:19" x14ac:dyDescent="0.2">
      <c r="A28" s="4" t="s">
        <v>216</v>
      </c>
      <c r="B28" s="9">
        <v>8029</v>
      </c>
      <c r="C28" s="9">
        <v>601</v>
      </c>
      <c r="D28" s="9">
        <v>566</v>
      </c>
      <c r="E28" s="9">
        <v>0</v>
      </c>
      <c r="F28" s="9">
        <v>0</v>
      </c>
      <c r="G28" s="9">
        <v>2160</v>
      </c>
      <c r="H28" s="9">
        <v>325</v>
      </c>
      <c r="I28" s="9">
        <v>596</v>
      </c>
      <c r="J28" s="9">
        <v>138</v>
      </c>
      <c r="K28" s="9">
        <v>0</v>
      </c>
      <c r="L28" s="9">
        <v>877</v>
      </c>
      <c r="M28" s="9">
        <v>925</v>
      </c>
      <c r="N28" s="9">
        <v>40</v>
      </c>
      <c r="O28" s="9">
        <v>289</v>
      </c>
      <c r="P28" s="9">
        <v>411</v>
      </c>
      <c r="Q28" s="9">
        <v>768</v>
      </c>
      <c r="R28" s="9">
        <v>334</v>
      </c>
      <c r="S28" s="9">
        <v>0</v>
      </c>
    </row>
    <row r="29" spans="1:19" x14ac:dyDescent="0.2">
      <c r="A29" s="4" t="s">
        <v>217</v>
      </c>
      <c r="B29" s="9">
        <v>10895</v>
      </c>
      <c r="C29" s="9">
        <v>701</v>
      </c>
      <c r="D29" s="9">
        <v>674</v>
      </c>
      <c r="E29" s="9">
        <v>0</v>
      </c>
      <c r="F29" s="9">
        <v>0</v>
      </c>
      <c r="G29" s="9">
        <v>1787</v>
      </c>
      <c r="H29" s="9">
        <v>197</v>
      </c>
      <c r="I29" s="9">
        <v>692</v>
      </c>
      <c r="J29" s="9">
        <v>402</v>
      </c>
      <c r="K29" s="9">
        <v>0</v>
      </c>
      <c r="L29" s="9">
        <v>630</v>
      </c>
      <c r="M29" s="9">
        <v>1252</v>
      </c>
      <c r="N29" s="9">
        <v>40</v>
      </c>
      <c r="O29" s="9">
        <v>2154</v>
      </c>
      <c r="P29" s="9">
        <v>303</v>
      </c>
      <c r="Q29" s="9">
        <v>717</v>
      </c>
      <c r="R29" s="9">
        <v>1346</v>
      </c>
      <c r="S29" s="9">
        <v>0</v>
      </c>
    </row>
    <row r="30" spans="1:19" x14ac:dyDescent="0.2">
      <c r="A30" s="4" t="s">
        <v>218</v>
      </c>
      <c r="B30" s="9">
        <v>2264</v>
      </c>
      <c r="C30" s="9">
        <v>0</v>
      </c>
      <c r="D30" s="9">
        <v>0</v>
      </c>
      <c r="E30" s="9">
        <v>0</v>
      </c>
      <c r="F30" s="9">
        <v>0</v>
      </c>
      <c r="G30" s="9">
        <v>951</v>
      </c>
      <c r="H30" s="9">
        <v>36</v>
      </c>
      <c r="I30" s="9">
        <v>76</v>
      </c>
      <c r="J30" s="9">
        <v>0</v>
      </c>
      <c r="K30" s="9">
        <v>0</v>
      </c>
      <c r="L30" s="9">
        <v>173</v>
      </c>
      <c r="M30" s="9">
        <v>644</v>
      </c>
      <c r="N30" s="9">
        <v>0</v>
      </c>
      <c r="O30" s="9">
        <v>317</v>
      </c>
      <c r="P30" s="9">
        <v>66</v>
      </c>
      <c r="Q30" s="9">
        <v>0</v>
      </c>
      <c r="R30" s="9">
        <v>0</v>
      </c>
      <c r="S30" s="9">
        <v>0</v>
      </c>
    </row>
    <row r="31" spans="1:19" x14ac:dyDescent="0.2">
      <c r="A31" s="4" t="s">
        <v>222</v>
      </c>
      <c r="B31" s="11">
        <v>21188</v>
      </c>
      <c r="C31" s="11">
        <v>1302</v>
      </c>
      <c r="D31" s="11">
        <v>1240</v>
      </c>
      <c r="E31" s="11">
        <v>0</v>
      </c>
      <c r="F31" s="11">
        <v>0</v>
      </c>
      <c r="G31" s="11">
        <v>4898</v>
      </c>
      <c r="H31" s="11">
        <v>558</v>
      </c>
      <c r="I31" s="11">
        <v>1364</v>
      </c>
      <c r="J31" s="11">
        <v>540</v>
      </c>
      <c r="K31" s="11">
        <v>0</v>
      </c>
      <c r="L31" s="11">
        <v>1680</v>
      </c>
      <c r="M31" s="11">
        <v>2821</v>
      </c>
      <c r="N31" s="11">
        <v>80</v>
      </c>
      <c r="O31" s="11">
        <v>2760</v>
      </c>
      <c r="P31" s="11">
        <v>780</v>
      </c>
      <c r="Q31" s="11">
        <v>1485</v>
      </c>
      <c r="R31" s="11">
        <v>1680</v>
      </c>
      <c r="S31" s="11">
        <v>0</v>
      </c>
    </row>
    <row r="32" spans="1:19" x14ac:dyDescent="0.2">
      <c r="A32" s="4" t="s">
        <v>211</v>
      </c>
      <c r="B32" s="13" t="s">
        <v>73</v>
      </c>
      <c r="C32" s="13" t="s">
        <v>73</v>
      </c>
      <c r="D32" s="13" t="s">
        <v>73</v>
      </c>
      <c r="E32" s="13" t="s">
        <v>73</v>
      </c>
      <c r="F32" s="13" t="s">
        <v>73</v>
      </c>
      <c r="G32" s="13" t="s">
        <v>73</v>
      </c>
      <c r="H32" s="13" t="s">
        <v>73</v>
      </c>
      <c r="I32" s="13" t="s">
        <v>73</v>
      </c>
      <c r="J32" s="13" t="s">
        <v>73</v>
      </c>
      <c r="K32" s="13" t="s">
        <v>73</v>
      </c>
      <c r="L32" s="13" t="s">
        <v>73</v>
      </c>
      <c r="M32" s="13" t="s">
        <v>73</v>
      </c>
      <c r="N32" s="13" t="s">
        <v>73</v>
      </c>
      <c r="O32" s="13" t="s">
        <v>73</v>
      </c>
      <c r="P32" s="13" t="s">
        <v>73</v>
      </c>
      <c r="Q32" s="13" t="s">
        <v>73</v>
      </c>
      <c r="R32" s="13" t="s">
        <v>73</v>
      </c>
      <c r="S32" s="13" t="s">
        <v>73</v>
      </c>
    </row>
    <row r="33" spans="1:19" x14ac:dyDescent="0.2">
      <c r="A33" s="4" t="s">
        <v>216</v>
      </c>
      <c r="B33" s="9">
        <v>35722</v>
      </c>
      <c r="C33" s="9">
        <v>2614</v>
      </c>
      <c r="D33" s="9">
        <v>3446</v>
      </c>
      <c r="E33" s="9">
        <v>0</v>
      </c>
      <c r="F33" s="9">
        <v>6509</v>
      </c>
      <c r="G33" s="9">
        <v>1258</v>
      </c>
      <c r="H33" s="9">
        <v>3782</v>
      </c>
      <c r="I33" s="9">
        <v>3903</v>
      </c>
      <c r="J33" s="9">
        <v>75</v>
      </c>
      <c r="K33" s="9">
        <v>0</v>
      </c>
      <c r="L33" s="9">
        <v>413</v>
      </c>
      <c r="M33" s="9">
        <v>71</v>
      </c>
      <c r="N33" s="9">
        <v>2788</v>
      </c>
      <c r="O33" s="9">
        <v>0</v>
      </c>
      <c r="P33" s="9">
        <v>6878</v>
      </c>
      <c r="Q33" s="9">
        <v>3577</v>
      </c>
      <c r="R33" s="9">
        <v>409</v>
      </c>
      <c r="S33" s="9">
        <v>0</v>
      </c>
    </row>
    <row r="34" spans="1:19" x14ac:dyDescent="0.2">
      <c r="A34" s="4" t="s">
        <v>217</v>
      </c>
      <c r="B34" s="9">
        <v>30869</v>
      </c>
      <c r="C34" s="9">
        <v>1750</v>
      </c>
      <c r="D34" s="9">
        <v>2312</v>
      </c>
      <c r="E34" s="9">
        <v>0</v>
      </c>
      <c r="F34" s="9">
        <v>3735</v>
      </c>
      <c r="G34" s="9">
        <v>2344</v>
      </c>
      <c r="H34" s="9">
        <v>2485</v>
      </c>
      <c r="I34" s="9">
        <v>3930</v>
      </c>
      <c r="J34" s="9">
        <v>1169</v>
      </c>
      <c r="K34" s="9">
        <v>0</v>
      </c>
      <c r="L34" s="9">
        <v>0</v>
      </c>
      <c r="M34" s="9">
        <v>72</v>
      </c>
      <c r="N34" s="9">
        <v>1307</v>
      </c>
      <c r="O34" s="9">
        <v>2176</v>
      </c>
      <c r="P34" s="9">
        <v>7166</v>
      </c>
      <c r="Q34" s="9">
        <v>3968</v>
      </c>
      <c r="R34" s="9">
        <v>-1546</v>
      </c>
      <c r="S34" s="9">
        <v>0</v>
      </c>
    </row>
    <row r="35" spans="1:19" x14ac:dyDescent="0.2">
      <c r="A35" s="4" t="s">
        <v>218</v>
      </c>
      <c r="B35" s="9">
        <v>6983</v>
      </c>
      <c r="C35" s="9">
        <v>495</v>
      </c>
      <c r="D35" s="9">
        <v>0</v>
      </c>
      <c r="E35" s="9">
        <v>0</v>
      </c>
      <c r="F35" s="9">
        <v>2244</v>
      </c>
      <c r="G35" s="9">
        <v>208</v>
      </c>
      <c r="H35" s="9">
        <v>287</v>
      </c>
      <c r="I35" s="9">
        <v>110</v>
      </c>
      <c r="J35" s="9">
        <v>0</v>
      </c>
      <c r="K35" s="9">
        <v>0</v>
      </c>
      <c r="L35" s="9">
        <v>0</v>
      </c>
      <c r="M35" s="9">
        <v>0</v>
      </c>
      <c r="N35" s="9">
        <v>1021</v>
      </c>
      <c r="O35" s="9">
        <v>391</v>
      </c>
      <c r="P35" s="9">
        <v>1835</v>
      </c>
      <c r="Q35" s="9">
        <v>391</v>
      </c>
      <c r="R35" s="9">
        <v>0</v>
      </c>
      <c r="S35" s="9">
        <v>0</v>
      </c>
    </row>
    <row r="36" spans="1:19" x14ac:dyDescent="0.2">
      <c r="A36" s="4" t="s">
        <v>223</v>
      </c>
      <c r="B36" s="11">
        <v>73574</v>
      </c>
      <c r="C36" s="11">
        <v>4859</v>
      </c>
      <c r="D36" s="11">
        <v>5758</v>
      </c>
      <c r="E36" s="11">
        <v>0</v>
      </c>
      <c r="F36" s="11">
        <v>12488</v>
      </c>
      <c r="G36" s="11">
        <v>3810</v>
      </c>
      <c r="H36" s="11">
        <v>6554</v>
      </c>
      <c r="I36" s="11">
        <v>7943</v>
      </c>
      <c r="J36" s="11">
        <v>1244</v>
      </c>
      <c r="K36" s="11">
        <v>0</v>
      </c>
      <c r="L36" s="11">
        <v>413</v>
      </c>
      <c r="M36" s="11">
        <v>143</v>
      </c>
      <c r="N36" s="11">
        <v>5116</v>
      </c>
      <c r="O36" s="11">
        <v>2567</v>
      </c>
      <c r="P36" s="11">
        <v>15879</v>
      </c>
      <c r="Q36" s="11">
        <v>7936</v>
      </c>
      <c r="R36" s="11">
        <v>-1137</v>
      </c>
      <c r="S36" s="11">
        <v>0</v>
      </c>
    </row>
    <row r="37" spans="1:19" x14ac:dyDescent="0.2">
      <c r="A37" s="4" t="s">
        <v>212</v>
      </c>
      <c r="B37" s="13" t="s">
        <v>73</v>
      </c>
      <c r="C37" s="13" t="s">
        <v>73</v>
      </c>
      <c r="D37" s="13" t="s">
        <v>73</v>
      </c>
      <c r="E37" s="13" t="s">
        <v>73</v>
      </c>
      <c r="F37" s="13" t="s">
        <v>73</v>
      </c>
      <c r="G37" s="13" t="s">
        <v>73</v>
      </c>
      <c r="H37" s="13" t="s">
        <v>73</v>
      </c>
      <c r="I37" s="13" t="s">
        <v>73</v>
      </c>
      <c r="J37" s="13" t="s">
        <v>73</v>
      </c>
      <c r="K37" s="13" t="s">
        <v>73</v>
      </c>
      <c r="L37" s="13" t="s">
        <v>73</v>
      </c>
      <c r="M37" s="13" t="s">
        <v>73</v>
      </c>
      <c r="N37" s="13" t="s">
        <v>73</v>
      </c>
      <c r="O37" s="13" t="s">
        <v>73</v>
      </c>
      <c r="P37" s="13" t="s">
        <v>73</v>
      </c>
      <c r="Q37" s="13" t="s">
        <v>73</v>
      </c>
      <c r="R37" s="13" t="s">
        <v>73</v>
      </c>
      <c r="S37" s="13" t="s">
        <v>73</v>
      </c>
    </row>
    <row r="38" spans="1:19" x14ac:dyDescent="0.2">
      <c r="A38" s="4" t="s">
        <v>216</v>
      </c>
      <c r="B38" s="9">
        <v>354</v>
      </c>
      <c r="C38" s="9">
        <v>0</v>
      </c>
      <c r="D38" s="9">
        <v>0</v>
      </c>
      <c r="E38" s="9">
        <v>0</v>
      </c>
      <c r="F38" s="9">
        <v>167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187</v>
      </c>
      <c r="Q38" s="9">
        <v>0</v>
      </c>
      <c r="R38" s="9">
        <v>0</v>
      </c>
      <c r="S38" s="9">
        <v>0</v>
      </c>
    </row>
    <row r="39" spans="1:19" x14ac:dyDescent="0.2">
      <c r="A39" s="4" t="s">
        <v>217</v>
      </c>
      <c r="B39" s="9">
        <v>316</v>
      </c>
      <c r="C39" s="9">
        <v>0</v>
      </c>
      <c r="D39" s="9">
        <v>0</v>
      </c>
      <c r="E39" s="9">
        <v>0</v>
      </c>
      <c r="F39" s="9">
        <v>193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32</v>
      </c>
      <c r="Q39" s="9">
        <v>0</v>
      </c>
      <c r="R39" s="9">
        <v>91</v>
      </c>
      <c r="S39" s="9">
        <v>0</v>
      </c>
    </row>
    <row r="40" spans="1:19" x14ac:dyDescent="0.2">
      <c r="A40" s="4" t="s">
        <v>218</v>
      </c>
      <c r="B40" s="9">
        <v>99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99</v>
      </c>
      <c r="Q40" s="9">
        <v>0</v>
      </c>
      <c r="R40" s="9">
        <v>0</v>
      </c>
      <c r="S40" s="9">
        <v>0</v>
      </c>
    </row>
    <row r="41" spans="1:19" x14ac:dyDescent="0.2">
      <c r="A41" s="4" t="s">
        <v>224</v>
      </c>
      <c r="B41" s="11">
        <v>769</v>
      </c>
      <c r="C41" s="11">
        <v>0</v>
      </c>
      <c r="D41" s="11">
        <v>0</v>
      </c>
      <c r="E41" s="11">
        <v>0</v>
      </c>
      <c r="F41" s="11">
        <v>360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318</v>
      </c>
      <c r="Q41" s="11">
        <v>0</v>
      </c>
      <c r="R41" s="11">
        <v>91</v>
      </c>
      <c r="S41" s="11">
        <v>0</v>
      </c>
    </row>
    <row r="42" spans="1:19" x14ac:dyDescent="0.2">
      <c r="A42" s="4" t="s">
        <v>213</v>
      </c>
      <c r="B42" s="13" t="s">
        <v>73</v>
      </c>
      <c r="C42" s="13" t="s">
        <v>73</v>
      </c>
      <c r="D42" s="13" t="s">
        <v>73</v>
      </c>
      <c r="E42" s="13" t="s">
        <v>73</v>
      </c>
      <c r="F42" s="13" t="s">
        <v>73</v>
      </c>
      <c r="G42" s="13" t="s">
        <v>73</v>
      </c>
      <c r="H42" s="13" t="s">
        <v>73</v>
      </c>
      <c r="I42" s="13" t="s">
        <v>73</v>
      </c>
      <c r="J42" s="13" t="s">
        <v>73</v>
      </c>
      <c r="K42" s="13" t="s">
        <v>73</v>
      </c>
      <c r="L42" s="13" t="s">
        <v>73</v>
      </c>
      <c r="M42" s="13" t="s">
        <v>73</v>
      </c>
      <c r="N42" s="13" t="s">
        <v>73</v>
      </c>
      <c r="O42" s="13" t="s">
        <v>73</v>
      </c>
      <c r="P42" s="13" t="s">
        <v>73</v>
      </c>
      <c r="Q42" s="13" t="s">
        <v>73</v>
      </c>
      <c r="R42" s="13" t="s">
        <v>73</v>
      </c>
      <c r="S42" s="13" t="s">
        <v>73</v>
      </c>
    </row>
    <row r="43" spans="1:19" x14ac:dyDescent="0.2">
      <c r="A43" s="4" t="s">
        <v>225</v>
      </c>
      <c r="B43" s="9">
        <v>52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52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 spans="1:19" x14ac:dyDescent="0.2">
      <c r="A44" s="4" t="s">
        <v>226</v>
      </c>
      <c r="B44" s="9">
        <v>55598</v>
      </c>
      <c r="C44" s="9">
        <v>7915</v>
      </c>
      <c r="D44" s="9">
        <v>9360</v>
      </c>
      <c r="E44" s="9">
        <v>31</v>
      </c>
      <c r="F44" s="9">
        <v>6705</v>
      </c>
      <c r="G44" s="9">
        <v>8920</v>
      </c>
      <c r="H44" s="9">
        <v>1067</v>
      </c>
      <c r="I44" s="9">
        <v>88</v>
      </c>
      <c r="J44" s="9">
        <v>3148</v>
      </c>
      <c r="K44" s="9">
        <v>206</v>
      </c>
      <c r="L44" s="9">
        <v>755</v>
      </c>
      <c r="M44" s="9">
        <v>8687</v>
      </c>
      <c r="N44" s="9">
        <v>1781</v>
      </c>
      <c r="O44" s="9">
        <v>2192</v>
      </c>
      <c r="P44" s="9">
        <v>765</v>
      </c>
      <c r="Q44" s="9">
        <v>2060</v>
      </c>
      <c r="R44" s="9">
        <v>1771</v>
      </c>
      <c r="S44" s="9">
        <v>149</v>
      </c>
    </row>
    <row r="45" spans="1:19" x14ac:dyDescent="0.2">
      <c r="A45" s="4" t="s">
        <v>227</v>
      </c>
      <c r="B45" s="9">
        <v>2423</v>
      </c>
      <c r="C45" s="9">
        <v>255</v>
      </c>
      <c r="D45" s="9">
        <v>625</v>
      </c>
      <c r="E45" s="9">
        <v>0</v>
      </c>
      <c r="F45" s="9">
        <v>240</v>
      </c>
      <c r="G45" s="9">
        <v>560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150</v>
      </c>
      <c r="N45" s="9">
        <v>290</v>
      </c>
      <c r="O45" s="9">
        <v>70</v>
      </c>
      <c r="P45" s="9">
        <v>0</v>
      </c>
      <c r="Q45" s="9">
        <v>0</v>
      </c>
      <c r="R45" s="9">
        <v>233</v>
      </c>
      <c r="S45" s="9">
        <v>0</v>
      </c>
    </row>
    <row r="46" spans="1:19" x14ac:dyDescent="0.2">
      <c r="A46" s="4" t="s">
        <v>228</v>
      </c>
      <c r="B46" s="9">
        <v>4206</v>
      </c>
      <c r="C46" s="9">
        <v>628</v>
      </c>
      <c r="D46" s="9">
        <v>320</v>
      </c>
      <c r="E46" s="9">
        <v>820</v>
      </c>
      <c r="F46" s="9">
        <v>0</v>
      </c>
      <c r="G46" s="9">
        <v>268</v>
      </c>
      <c r="H46" s="9">
        <v>0</v>
      </c>
      <c r="I46" s="9">
        <v>0</v>
      </c>
      <c r="J46" s="9">
        <v>179</v>
      </c>
      <c r="K46" s="9">
        <v>0</v>
      </c>
      <c r="L46" s="9">
        <v>0</v>
      </c>
      <c r="M46" s="9">
        <v>521</v>
      </c>
      <c r="N46" s="9">
        <v>509</v>
      </c>
      <c r="O46" s="9">
        <v>420</v>
      </c>
      <c r="P46" s="9">
        <v>20</v>
      </c>
      <c r="Q46" s="9">
        <v>271</v>
      </c>
      <c r="R46" s="9">
        <v>251</v>
      </c>
      <c r="S46" s="9">
        <v>0</v>
      </c>
    </row>
    <row r="47" spans="1:19" x14ac:dyDescent="0.2">
      <c r="A47" s="4" t="s">
        <v>229</v>
      </c>
      <c r="B47" s="9">
        <v>1867</v>
      </c>
      <c r="C47" s="9">
        <v>0</v>
      </c>
      <c r="D47" s="9">
        <v>0</v>
      </c>
      <c r="E47" s="9">
        <v>0</v>
      </c>
      <c r="F47" s="9">
        <v>545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214</v>
      </c>
      <c r="M47" s="9">
        <v>764</v>
      </c>
      <c r="N47" s="9">
        <v>118</v>
      </c>
      <c r="O47" s="9">
        <v>0</v>
      </c>
      <c r="P47" s="9">
        <v>0</v>
      </c>
      <c r="Q47" s="9">
        <v>225</v>
      </c>
      <c r="R47" s="9">
        <v>0</v>
      </c>
      <c r="S47" s="9">
        <v>0</v>
      </c>
    </row>
    <row r="48" spans="1:19" x14ac:dyDescent="0.2">
      <c r="A48" s="4" t="s">
        <v>230</v>
      </c>
      <c r="B48" s="9">
        <v>8217</v>
      </c>
      <c r="C48" s="9">
        <v>1887</v>
      </c>
      <c r="D48" s="9">
        <v>852</v>
      </c>
      <c r="E48" s="9">
        <v>0</v>
      </c>
      <c r="F48" s="9">
        <v>0</v>
      </c>
      <c r="G48" s="9">
        <v>734</v>
      </c>
      <c r="H48" s="9">
        <v>221</v>
      </c>
      <c r="I48" s="9">
        <v>398</v>
      </c>
      <c r="J48" s="9">
        <v>146</v>
      </c>
      <c r="K48" s="9">
        <v>912</v>
      </c>
      <c r="L48" s="9">
        <v>393</v>
      </c>
      <c r="M48" s="9">
        <v>350</v>
      </c>
      <c r="N48" s="9">
        <v>1206</v>
      </c>
      <c r="O48" s="9">
        <v>139</v>
      </c>
      <c r="P48" s="9">
        <v>605</v>
      </c>
      <c r="Q48" s="9">
        <v>262</v>
      </c>
      <c r="R48" s="9">
        <v>112</v>
      </c>
      <c r="S48" s="9">
        <v>0</v>
      </c>
    </row>
    <row r="49" spans="1:19" x14ac:dyDescent="0.2">
      <c r="A49" s="4" t="s">
        <v>231</v>
      </c>
      <c r="B49" s="9">
        <v>24198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3665</v>
      </c>
      <c r="K49" s="9">
        <v>939</v>
      </c>
      <c r="L49" s="9">
        <v>0</v>
      </c>
      <c r="M49" s="9">
        <v>3000</v>
      </c>
      <c r="N49" s="9">
        <v>3870</v>
      </c>
      <c r="O49" s="9">
        <v>3080</v>
      </c>
      <c r="P49" s="9">
        <v>3485</v>
      </c>
      <c r="Q49" s="9">
        <v>3090</v>
      </c>
      <c r="R49" s="9">
        <v>3070</v>
      </c>
      <c r="S49" s="9">
        <v>0</v>
      </c>
    </row>
    <row r="50" spans="1:19" x14ac:dyDescent="0.2">
      <c r="A50" s="4" t="s">
        <v>232</v>
      </c>
      <c r="B50" s="9">
        <v>3460</v>
      </c>
      <c r="C50" s="9">
        <v>0</v>
      </c>
      <c r="D50" s="9">
        <v>0</v>
      </c>
      <c r="E50" s="9">
        <v>0</v>
      </c>
      <c r="F50" s="9">
        <v>0</v>
      </c>
      <c r="G50" s="9">
        <v>667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2792</v>
      </c>
      <c r="R50" s="9">
        <v>0</v>
      </c>
      <c r="S50" s="9">
        <v>0</v>
      </c>
    </row>
    <row r="51" spans="1:19" x14ac:dyDescent="0.2">
      <c r="A51" s="4" t="s">
        <v>233</v>
      </c>
      <c r="B51" s="11">
        <v>100021</v>
      </c>
      <c r="C51" s="11">
        <v>10685</v>
      </c>
      <c r="D51" s="11">
        <v>11157</v>
      </c>
      <c r="E51" s="11">
        <v>851</v>
      </c>
      <c r="F51" s="11">
        <v>7490</v>
      </c>
      <c r="G51" s="11">
        <v>11149</v>
      </c>
      <c r="H51" s="11">
        <v>1288</v>
      </c>
      <c r="I51" s="11">
        <v>486</v>
      </c>
      <c r="J51" s="11">
        <v>7138</v>
      </c>
      <c r="K51" s="11">
        <v>2057</v>
      </c>
      <c r="L51" s="11">
        <v>1362</v>
      </c>
      <c r="M51" s="11">
        <v>13472</v>
      </c>
      <c r="N51" s="11">
        <v>7826</v>
      </c>
      <c r="O51" s="11">
        <v>5901</v>
      </c>
      <c r="P51" s="11">
        <v>4875</v>
      </c>
      <c r="Q51" s="11">
        <v>8700</v>
      </c>
      <c r="R51" s="11">
        <v>5437</v>
      </c>
      <c r="S51" s="11">
        <v>149</v>
      </c>
    </row>
    <row r="52" spans="1:19" x14ac:dyDescent="0.2">
      <c r="A52" s="4" t="s">
        <v>214</v>
      </c>
      <c r="B52" s="12">
        <v>279976</v>
      </c>
      <c r="C52" s="12">
        <v>29308</v>
      </c>
      <c r="D52" s="12">
        <v>33407</v>
      </c>
      <c r="E52" s="12">
        <v>851</v>
      </c>
      <c r="F52" s="12">
        <v>23066</v>
      </c>
      <c r="G52" s="12">
        <v>31502</v>
      </c>
      <c r="H52" s="12">
        <v>12343</v>
      </c>
      <c r="I52" s="12">
        <v>13095</v>
      </c>
      <c r="J52" s="12">
        <v>12522</v>
      </c>
      <c r="K52" s="12">
        <v>2057</v>
      </c>
      <c r="L52" s="12">
        <v>6635</v>
      </c>
      <c r="M52" s="12">
        <v>28076</v>
      </c>
      <c r="N52" s="12">
        <v>15912</v>
      </c>
      <c r="O52" s="12">
        <v>13688</v>
      </c>
      <c r="P52" s="12">
        <v>22535</v>
      </c>
      <c r="Q52" s="12">
        <v>19204</v>
      </c>
      <c r="R52" s="12">
        <v>15627</v>
      </c>
      <c r="S52" s="12">
        <v>149</v>
      </c>
    </row>
    <row r="53" spans="1:19" x14ac:dyDescent="0.2">
      <c r="A53" s="2" t="s">
        <v>6</v>
      </c>
    </row>
    <row r="54" spans="1:19" x14ac:dyDescent="0.2">
      <c r="A54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5"/>
  <sheetViews>
    <sheetView workbookViewId="0"/>
  </sheetViews>
  <sheetFormatPr defaultColWidth="9.140625" defaultRowHeight="12.75" x14ac:dyDescent="0.2"/>
  <cols>
    <col min="1" max="1" width="34.8554687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6.42578125" style="1" customWidth="1"/>
    <col min="20" max="20" width="13.5703125" style="1" customWidth="1"/>
    <col min="21" max="21" width="13.140625" style="1" customWidth="1"/>
    <col min="22" max="22" width="13.85546875" style="1" customWidth="1"/>
    <col min="23" max="23" width="14" style="1" customWidth="1"/>
    <col min="24" max="24" width="14.5703125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0</v>
      </c>
    </row>
    <row r="2" spans="1:24" ht="18" x14ac:dyDescent="0.25">
      <c r="A2" s="3" t="s">
        <v>234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</row>
    <row r="8" spans="1:24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235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236</v>
      </c>
      <c r="B12" s="4" t="s">
        <v>73</v>
      </c>
      <c r="C12" s="4" t="s">
        <v>73</v>
      </c>
      <c r="D12" s="4" t="s">
        <v>73</v>
      </c>
      <c r="E12" s="4" t="s">
        <v>73</v>
      </c>
      <c r="F12" s="4" t="s">
        <v>73</v>
      </c>
      <c r="G12" s="4" t="s">
        <v>73</v>
      </c>
      <c r="H12" s="4" t="s">
        <v>73</v>
      </c>
      <c r="I12" s="4" t="s">
        <v>73</v>
      </c>
      <c r="J12" s="4" t="s">
        <v>73</v>
      </c>
      <c r="K12" s="4" t="s">
        <v>73</v>
      </c>
      <c r="L12" s="4" t="s">
        <v>73</v>
      </c>
      <c r="M12" s="4" t="s">
        <v>73</v>
      </c>
      <c r="N12" s="4" t="s">
        <v>73</v>
      </c>
      <c r="O12" s="4" t="s">
        <v>73</v>
      </c>
      <c r="P12" s="4" t="s">
        <v>73</v>
      </c>
      <c r="Q12" s="4" t="s">
        <v>73</v>
      </c>
      <c r="R12" s="4" t="s">
        <v>73</v>
      </c>
      <c r="S12" s="4" t="s">
        <v>73</v>
      </c>
      <c r="T12" s="4" t="s">
        <v>73</v>
      </c>
      <c r="U12" s="4" t="s">
        <v>73</v>
      </c>
      <c r="V12" s="4" t="s">
        <v>73</v>
      </c>
      <c r="W12" s="4" t="s">
        <v>73</v>
      </c>
      <c r="X12" s="4" t="s">
        <v>73</v>
      </c>
    </row>
    <row r="13" spans="1:24" x14ac:dyDescent="0.2">
      <c r="A13" s="4" t="s">
        <v>237</v>
      </c>
      <c r="B13" s="9">
        <v>137109</v>
      </c>
      <c r="C13" s="9">
        <v>5983</v>
      </c>
      <c r="D13" s="9">
        <v>2789</v>
      </c>
      <c r="E13" s="9">
        <v>7156</v>
      </c>
      <c r="F13" s="9">
        <v>1476</v>
      </c>
      <c r="G13" s="9">
        <v>7094</v>
      </c>
      <c r="H13" s="9">
        <v>6578</v>
      </c>
      <c r="I13" s="9">
        <v>8468</v>
      </c>
      <c r="J13" s="9">
        <v>7748</v>
      </c>
      <c r="K13" s="9">
        <v>6121</v>
      </c>
      <c r="L13" s="9">
        <v>9681</v>
      </c>
      <c r="M13" s="9">
        <v>7473</v>
      </c>
      <c r="N13" s="9">
        <v>14823</v>
      </c>
      <c r="O13" s="9">
        <v>6576</v>
      </c>
      <c r="P13" s="9">
        <v>77</v>
      </c>
      <c r="Q13" s="9">
        <v>10663</v>
      </c>
      <c r="R13" s="9">
        <v>8659</v>
      </c>
      <c r="S13" s="9">
        <v>10144</v>
      </c>
      <c r="T13" s="9">
        <v>6834</v>
      </c>
      <c r="U13" s="9">
        <v>0</v>
      </c>
      <c r="V13" s="9">
        <v>8766</v>
      </c>
      <c r="W13" s="9">
        <v>0</v>
      </c>
      <c r="X13" s="9">
        <v>0</v>
      </c>
    </row>
    <row r="14" spans="1:24" x14ac:dyDescent="0.2">
      <c r="A14" s="4" t="s">
        <v>238</v>
      </c>
      <c r="B14" s="9">
        <v>72696</v>
      </c>
      <c r="C14" s="9">
        <v>10412</v>
      </c>
      <c r="D14" s="9">
        <v>0</v>
      </c>
      <c r="E14" s="9">
        <v>712</v>
      </c>
      <c r="F14" s="9">
        <v>4189</v>
      </c>
      <c r="G14" s="9">
        <v>14892</v>
      </c>
      <c r="H14" s="9">
        <v>3924</v>
      </c>
      <c r="I14" s="9">
        <v>2596</v>
      </c>
      <c r="J14" s="9">
        <v>0</v>
      </c>
      <c r="K14" s="9">
        <v>0</v>
      </c>
      <c r="L14" s="9">
        <v>7671</v>
      </c>
      <c r="M14" s="9">
        <v>7510</v>
      </c>
      <c r="N14" s="9">
        <v>6055</v>
      </c>
      <c r="O14" s="9">
        <v>6213</v>
      </c>
      <c r="P14" s="9">
        <v>0</v>
      </c>
      <c r="Q14" s="9">
        <v>0</v>
      </c>
      <c r="R14" s="9">
        <v>8521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1:24" x14ac:dyDescent="0.2">
      <c r="A15" s="4" t="s">
        <v>239</v>
      </c>
      <c r="B15" s="9">
        <v>13688</v>
      </c>
      <c r="C15" s="9">
        <v>0</v>
      </c>
      <c r="D15" s="9">
        <v>3208</v>
      </c>
      <c r="E15" s="9">
        <v>0</v>
      </c>
      <c r="F15" s="9">
        <v>0</v>
      </c>
      <c r="G15" s="9">
        <v>3868</v>
      </c>
      <c r="H15" s="9">
        <v>3455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-480</v>
      </c>
      <c r="T15" s="9">
        <v>-1052</v>
      </c>
      <c r="U15" s="9">
        <v>4752</v>
      </c>
      <c r="V15" s="9">
        <v>-63</v>
      </c>
      <c r="W15" s="9">
        <v>0</v>
      </c>
      <c r="X15" s="9">
        <v>0</v>
      </c>
    </row>
    <row r="16" spans="1:24" x14ac:dyDescent="0.2">
      <c r="A16" s="4" t="s">
        <v>240</v>
      </c>
      <c r="B16" s="9">
        <v>217598</v>
      </c>
      <c r="C16" s="9">
        <v>28819</v>
      </c>
      <c r="D16" s="9">
        <v>34518</v>
      </c>
      <c r="E16" s="9">
        <v>9932</v>
      </c>
      <c r="F16" s="9">
        <v>5760</v>
      </c>
      <c r="G16" s="9">
        <v>5110</v>
      </c>
      <c r="H16" s="9">
        <v>11327</v>
      </c>
      <c r="I16" s="9">
        <v>5168</v>
      </c>
      <c r="J16" s="9">
        <v>12468</v>
      </c>
      <c r="K16" s="9">
        <v>7827</v>
      </c>
      <c r="L16" s="9">
        <v>8037</v>
      </c>
      <c r="M16" s="9">
        <v>12082</v>
      </c>
      <c r="N16" s="9">
        <v>22258</v>
      </c>
      <c r="O16" s="9">
        <v>12563</v>
      </c>
      <c r="P16" s="9">
        <v>9435</v>
      </c>
      <c r="Q16" s="9">
        <v>2574</v>
      </c>
      <c r="R16" s="9">
        <v>21736</v>
      </c>
      <c r="S16" s="9">
        <v>3703</v>
      </c>
      <c r="T16" s="9">
        <v>2992</v>
      </c>
      <c r="U16" s="9">
        <v>450</v>
      </c>
      <c r="V16" s="9">
        <v>840</v>
      </c>
      <c r="W16" s="9">
        <v>0</v>
      </c>
      <c r="X16" s="9">
        <v>0</v>
      </c>
    </row>
    <row r="17" spans="1:24" x14ac:dyDescent="0.2">
      <c r="A17" s="4" t="s">
        <v>241</v>
      </c>
      <c r="B17" s="9">
        <v>14589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4841</v>
      </c>
      <c r="K17" s="9">
        <v>0</v>
      </c>
      <c r="L17" s="9">
        <v>0</v>
      </c>
      <c r="M17" s="9">
        <v>0</v>
      </c>
      <c r="N17" s="9">
        <v>8776</v>
      </c>
      <c r="O17" s="9">
        <v>0</v>
      </c>
      <c r="P17" s="9">
        <v>971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1:24" x14ac:dyDescent="0.2">
      <c r="A18" s="4" t="s">
        <v>242</v>
      </c>
      <c r="B18" s="9">
        <v>7070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7070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1:24" x14ac:dyDescent="0.2">
      <c r="A19" s="4" t="s">
        <v>243</v>
      </c>
      <c r="B19" s="9">
        <v>82721</v>
      </c>
      <c r="C19" s="9">
        <v>8353</v>
      </c>
      <c r="D19" s="9">
        <v>7439</v>
      </c>
      <c r="E19" s="9">
        <v>6933</v>
      </c>
      <c r="F19" s="9">
        <v>5498</v>
      </c>
      <c r="G19" s="9">
        <v>3413</v>
      </c>
      <c r="H19" s="9">
        <v>1177</v>
      </c>
      <c r="I19" s="9">
        <v>8221</v>
      </c>
      <c r="J19" s="9">
        <v>-162</v>
      </c>
      <c r="K19" s="9">
        <v>891</v>
      </c>
      <c r="L19" s="9">
        <v>7858</v>
      </c>
      <c r="M19" s="9">
        <v>5277</v>
      </c>
      <c r="N19" s="9">
        <v>9485</v>
      </c>
      <c r="O19" s="9">
        <v>-3578</v>
      </c>
      <c r="P19" s="9">
        <v>7118</v>
      </c>
      <c r="Q19" s="9">
        <v>7120</v>
      </c>
      <c r="R19" s="9">
        <v>7681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1:24" x14ac:dyDescent="0.2">
      <c r="A20" s="4" t="s">
        <v>244</v>
      </c>
      <c r="B20" s="9">
        <v>418424</v>
      </c>
      <c r="C20" s="9">
        <v>18526</v>
      </c>
      <c r="D20" s="9">
        <v>4032</v>
      </c>
      <c r="E20" s="9">
        <v>19561</v>
      </c>
      <c r="F20" s="9">
        <v>20682</v>
      </c>
      <c r="G20" s="9">
        <v>14357</v>
      </c>
      <c r="H20" s="9">
        <v>22408</v>
      </c>
      <c r="I20" s="9">
        <v>10415</v>
      </c>
      <c r="J20" s="9">
        <v>13519</v>
      </c>
      <c r="K20" s="9">
        <v>1931</v>
      </c>
      <c r="L20" s="9">
        <v>32124</v>
      </c>
      <c r="M20" s="9">
        <v>31238</v>
      </c>
      <c r="N20" s="9">
        <v>54448</v>
      </c>
      <c r="O20" s="9">
        <v>34811</v>
      </c>
      <c r="P20" s="9">
        <v>31572</v>
      </c>
      <c r="Q20" s="9">
        <v>31823</v>
      </c>
      <c r="R20" s="9">
        <v>37496</v>
      </c>
      <c r="S20" s="9">
        <v>8805</v>
      </c>
      <c r="T20" s="9">
        <v>5157</v>
      </c>
      <c r="U20" s="9">
        <v>6170</v>
      </c>
      <c r="V20" s="9">
        <v>19350</v>
      </c>
      <c r="W20" s="9">
        <v>0</v>
      </c>
      <c r="X20" s="9">
        <v>0</v>
      </c>
    </row>
    <row r="21" spans="1:24" x14ac:dyDescent="0.2">
      <c r="A21" s="4" t="s">
        <v>245</v>
      </c>
      <c r="B21" s="9">
        <v>1078183</v>
      </c>
      <c r="C21" s="9">
        <v>53213</v>
      </c>
      <c r="D21" s="9">
        <v>55041</v>
      </c>
      <c r="E21" s="9">
        <v>65217</v>
      </c>
      <c r="F21" s="9">
        <v>47840</v>
      </c>
      <c r="G21" s="9">
        <v>48794</v>
      </c>
      <c r="H21" s="9">
        <v>51309</v>
      </c>
      <c r="I21" s="9">
        <v>39392</v>
      </c>
      <c r="J21" s="9">
        <v>57341</v>
      </c>
      <c r="K21" s="9">
        <v>50370</v>
      </c>
      <c r="L21" s="9">
        <v>63740</v>
      </c>
      <c r="M21" s="9">
        <v>60349</v>
      </c>
      <c r="N21" s="9">
        <v>137842</v>
      </c>
      <c r="O21" s="9">
        <v>86762</v>
      </c>
      <c r="P21" s="9">
        <v>100083</v>
      </c>
      <c r="Q21" s="9">
        <v>66869</v>
      </c>
      <c r="R21" s="9">
        <v>67838</v>
      </c>
      <c r="S21" s="9">
        <v>5669</v>
      </c>
      <c r="T21" s="9">
        <v>7469</v>
      </c>
      <c r="U21" s="9">
        <v>4664</v>
      </c>
      <c r="V21" s="9">
        <v>7779</v>
      </c>
      <c r="W21" s="9">
        <v>878</v>
      </c>
      <c r="X21" s="9">
        <v>-277</v>
      </c>
    </row>
    <row r="22" spans="1:24" x14ac:dyDescent="0.2">
      <c r="A22" s="4" t="s">
        <v>246</v>
      </c>
      <c r="B22" s="9">
        <v>623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623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1:24" x14ac:dyDescent="0.2">
      <c r="A23" s="4" t="s">
        <v>247</v>
      </c>
      <c r="B23" s="9">
        <v>38781</v>
      </c>
      <c r="C23" s="9">
        <v>3047</v>
      </c>
      <c r="D23" s="9">
        <v>2846</v>
      </c>
      <c r="E23" s="9">
        <v>3182</v>
      </c>
      <c r="F23" s="9">
        <v>2200</v>
      </c>
      <c r="G23" s="9">
        <v>1969</v>
      </c>
      <c r="H23" s="9">
        <v>2236</v>
      </c>
      <c r="I23" s="9">
        <v>4007</v>
      </c>
      <c r="J23" s="9">
        <v>-806</v>
      </c>
      <c r="K23" s="9">
        <v>-251</v>
      </c>
      <c r="L23" s="9">
        <v>4080</v>
      </c>
      <c r="M23" s="9">
        <v>1242</v>
      </c>
      <c r="N23" s="9">
        <v>4034</v>
      </c>
      <c r="O23" s="9">
        <v>3824</v>
      </c>
      <c r="P23" s="9">
        <v>-590</v>
      </c>
      <c r="Q23" s="9">
        <v>3914</v>
      </c>
      <c r="R23" s="9">
        <v>3843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1:24" x14ac:dyDescent="0.2">
      <c r="A24" s="4" t="s">
        <v>248</v>
      </c>
      <c r="B24" s="9">
        <v>18787</v>
      </c>
      <c r="C24" s="9">
        <v>0</v>
      </c>
      <c r="D24" s="9">
        <v>0</v>
      </c>
      <c r="E24" s="9">
        <v>0</v>
      </c>
      <c r="F24" s="9">
        <v>2877</v>
      </c>
      <c r="G24" s="9">
        <v>0</v>
      </c>
      <c r="H24" s="9">
        <v>0</v>
      </c>
      <c r="I24" s="9">
        <v>0</v>
      </c>
      <c r="J24" s="9">
        <v>4691</v>
      </c>
      <c r="K24" s="9">
        <v>0</v>
      </c>
      <c r="L24" s="9">
        <v>0</v>
      </c>
      <c r="M24" s="9">
        <v>1688</v>
      </c>
      <c r="N24" s="9">
        <v>7133</v>
      </c>
      <c r="O24" s="9">
        <v>0</v>
      </c>
      <c r="P24" s="9">
        <v>2400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1:24" x14ac:dyDescent="0.2">
      <c r="A25" s="4" t="s">
        <v>249</v>
      </c>
      <c r="B25" s="9">
        <v>44546</v>
      </c>
      <c r="C25" s="9">
        <v>3852</v>
      </c>
      <c r="D25" s="9">
        <v>2528</v>
      </c>
      <c r="E25" s="9">
        <v>2214</v>
      </c>
      <c r="F25" s="9">
        <v>3255</v>
      </c>
      <c r="G25" s="9">
        <v>2908</v>
      </c>
      <c r="H25" s="9">
        <v>2138</v>
      </c>
      <c r="I25" s="9">
        <v>2914</v>
      </c>
      <c r="J25" s="9">
        <v>3995</v>
      </c>
      <c r="K25" s="9">
        <v>3009</v>
      </c>
      <c r="L25" s="9">
        <v>748</v>
      </c>
      <c r="M25" s="9">
        <v>2557</v>
      </c>
      <c r="N25" s="9">
        <v>616</v>
      </c>
      <c r="O25" s="9">
        <v>3098</v>
      </c>
      <c r="P25" s="9">
        <v>3074</v>
      </c>
      <c r="Q25" s="9">
        <v>2460</v>
      </c>
      <c r="R25" s="9">
        <v>1038</v>
      </c>
      <c r="S25" s="9">
        <v>0</v>
      </c>
      <c r="T25" s="9">
        <v>3548</v>
      </c>
      <c r="U25" s="9">
        <v>678</v>
      </c>
      <c r="V25" s="9">
        <v>-82</v>
      </c>
      <c r="W25" s="9">
        <v>0</v>
      </c>
      <c r="X25" s="9">
        <v>0</v>
      </c>
    </row>
    <row r="26" spans="1:24" x14ac:dyDescent="0.2">
      <c r="A26" s="4" t="s">
        <v>250</v>
      </c>
      <c r="B26" s="9">
        <v>32304</v>
      </c>
      <c r="C26" s="9">
        <v>2806</v>
      </c>
      <c r="D26" s="9">
        <v>0</v>
      </c>
      <c r="E26" s="9">
        <v>2515</v>
      </c>
      <c r="F26" s="9">
        <v>0</v>
      </c>
      <c r="G26" s="9">
        <v>-570</v>
      </c>
      <c r="H26" s="9">
        <v>0</v>
      </c>
      <c r="I26" s="9">
        <v>0</v>
      </c>
      <c r="J26" s="9">
        <v>5071</v>
      </c>
      <c r="K26" s="9">
        <v>686</v>
      </c>
      <c r="L26" s="9">
        <v>0</v>
      </c>
      <c r="M26" s="9">
        <v>2900</v>
      </c>
      <c r="N26" s="9">
        <v>8693</v>
      </c>
      <c r="O26" s="9">
        <v>1703</v>
      </c>
      <c r="P26" s="9">
        <v>2610</v>
      </c>
      <c r="Q26" s="9">
        <v>0</v>
      </c>
      <c r="R26" s="9">
        <v>4107</v>
      </c>
      <c r="S26" s="9">
        <v>-78</v>
      </c>
      <c r="T26" s="9">
        <v>0</v>
      </c>
      <c r="U26" s="9">
        <v>0</v>
      </c>
      <c r="V26" s="9">
        <v>1861</v>
      </c>
      <c r="W26" s="9">
        <v>0</v>
      </c>
      <c r="X26" s="9">
        <v>0</v>
      </c>
    </row>
    <row r="27" spans="1:24" x14ac:dyDescent="0.2">
      <c r="A27" s="4" t="s">
        <v>251</v>
      </c>
      <c r="B27" s="9">
        <v>101394</v>
      </c>
      <c r="C27" s="9">
        <v>9072</v>
      </c>
      <c r="D27" s="9">
        <v>0</v>
      </c>
      <c r="E27" s="9">
        <v>29</v>
      </c>
      <c r="F27" s="9">
        <v>-264</v>
      </c>
      <c r="G27" s="9">
        <v>-22</v>
      </c>
      <c r="H27" s="9">
        <v>0</v>
      </c>
      <c r="I27" s="9">
        <v>0</v>
      </c>
      <c r="J27" s="9">
        <v>-79</v>
      </c>
      <c r="K27" s="9">
        <v>0</v>
      </c>
      <c r="L27" s="9">
        <v>0</v>
      </c>
      <c r="M27" s="9">
        <v>1383</v>
      </c>
      <c r="N27" s="9">
        <v>15443</v>
      </c>
      <c r="O27" s="9">
        <v>-227</v>
      </c>
      <c r="P27" s="9">
        <v>-270</v>
      </c>
      <c r="Q27" s="9">
        <v>0</v>
      </c>
      <c r="R27" s="9">
        <v>-219</v>
      </c>
      <c r="S27" s="9">
        <v>33748</v>
      </c>
      <c r="T27" s="9">
        <v>13580</v>
      </c>
      <c r="U27" s="9">
        <v>11384</v>
      </c>
      <c r="V27" s="9">
        <v>9186</v>
      </c>
      <c r="W27" s="9">
        <v>9128</v>
      </c>
      <c r="X27" s="9">
        <v>-479</v>
      </c>
    </row>
    <row r="28" spans="1:24" x14ac:dyDescent="0.2">
      <c r="A28" s="4" t="s">
        <v>252</v>
      </c>
      <c r="B28" s="9">
        <v>28776</v>
      </c>
      <c r="C28" s="9">
        <v>0</v>
      </c>
      <c r="D28" s="9">
        <v>2961</v>
      </c>
      <c r="E28" s="9">
        <v>0</v>
      </c>
      <c r="F28" s="9">
        <v>2557</v>
      </c>
      <c r="G28" s="9">
        <v>-10</v>
      </c>
      <c r="H28" s="9">
        <v>0</v>
      </c>
      <c r="I28" s="9">
        <v>-32</v>
      </c>
      <c r="J28" s="9">
        <v>-346</v>
      </c>
      <c r="K28" s="9">
        <v>791</v>
      </c>
      <c r="L28" s="9">
        <v>0</v>
      </c>
      <c r="M28" s="9">
        <v>2896</v>
      </c>
      <c r="N28" s="9">
        <v>5432</v>
      </c>
      <c r="O28" s="9">
        <v>2983</v>
      </c>
      <c r="P28" s="9">
        <v>4532</v>
      </c>
      <c r="Q28" s="9">
        <v>3226</v>
      </c>
      <c r="R28" s="9">
        <v>2651</v>
      </c>
      <c r="S28" s="9">
        <v>0</v>
      </c>
      <c r="T28" s="9">
        <v>293</v>
      </c>
      <c r="U28" s="9">
        <v>543</v>
      </c>
      <c r="V28" s="9">
        <v>185</v>
      </c>
      <c r="W28" s="9">
        <v>117</v>
      </c>
      <c r="X28" s="9">
        <v>0</v>
      </c>
    </row>
    <row r="29" spans="1:24" x14ac:dyDescent="0.2">
      <c r="A29" s="4" t="s">
        <v>253</v>
      </c>
      <c r="B29" s="9">
        <v>48616</v>
      </c>
      <c r="C29" s="9">
        <v>5043</v>
      </c>
      <c r="D29" s="9">
        <v>2599</v>
      </c>
      <c r="E29" s="9">
        <v>3610</v>
      </c>
      <c r="F29" s="9">
        <v>3551</v>
      </c>
      <c r="G29" s="9">
        <v>3573</v>
      </c>
      <c r="H29" s="9">
        <v>2807</v>
      </c>
      <c r="I29" s="9">
        <v>0</v>
      </c>
      <c r="J29" s="9">
        <v>0</v>
      </c>
      <c r="K29" s="9">
        <v>2199</v>
      </c>
      <c r="L29" s="9">
        <v>-666</v>
      </c>
      <c r="M29" s="9">
        <v>2512</v>
      </c>
      <c r="N29" s="9">
        <v>1847</v>
      </c>
      <c r="O29" s="9">
        <v>1927</v>
      </c>
      <c r="P29" s="9">
        <v>5256</v>
      </c>
      <c r="Q29" s="9">
        <v>4185</v>
      </c>
      <c r="R29" s="9">
        <v>6391</v>
      </c>
      <c r="S29" s="9">
        <v>2469</v>
      </c>
      <c r="T29" s="9">
        <v>0</v>
      </c>
      <c r="U29" s="9">
        <v>1310</v>
      </c>
      <c r="V29" s="9">
        <v>0</v>
      </c>
      <c r="W29" s="9">
        <v>0</v>
      </c>
      <c r="X29" s="9">
        <v>0</v>
      </c>
    </row>
    <row r="30" spans="1:24" x14ac:dyDescent="0.2">
      <c r="A30" s="4" t="s">
        <v>254</v>
      </c>
      <c r="B30" s="9">
        <v>174101</v>
      </c>
      <c r="C30" s="9">
        <v>8851</v>
      </c>
      <c r="D30" s="9">
        <v>10556</v>
      </c>
      <c r="E30" s="9">
        <v>8619</v>
      </c>
      <c r="F30" s="9">
        <v>11131</v>
      </c>
      <c r="G30" s="9">
        <v>6401</v>
      </c>
      <c r="H30" s="9">
        <v>13096</v>
      </c>
      <c r="I30" s="9">
        <v>4991</v>
      </c>
      <c r="J30" s="9">
        <v>6825</v>
      </c>
      <c r="K30" s="9">
        <v>6331</v>
      </c>
      <c r="L30" s="9">
        <v>11011</v>
      </c>
      <c r="M30" s="9">
        <v>8106</v>
      </c>
      <c r="N30" s="9">
        <v>30261</v>
      </c>
      <c r="O30" s="9">
        <v>6700</v>
      </c>
      <c r="P30" s="9">
        <v>12736</v>
      </c>
      <c r="Q30" s="9">
        <v>8748</v>
      </c>
      <c r="R30" s="9">
        <v>12839</v>
      </c>
      <c r="S30" s="9">
        <v>-177</v>
      </c>
      <c r="T30" s="9">
        <v>3005</v>
      </c>
      <c r="U30" s="9">
        <v>93</v>
      </c>
      <c r="V30" s="9">
        <v>3068</v>
      </c>
      <c r="W30" s="9">
        <v>908</v>
      </c>
      <c r="X30" s="9">
        <v>0</v>
      </c>
    </row>
    <row r="31" spans="1:24" x14ac:dyDescent="0.2">
      <c r="A31" s="4" t="s">
        <v>255</v>
      </c>
      <c r="B31" s="9">
        <v>69422</v>
      </c>
      <c r="C31" s="9">
        <v>4164</v>
      </c>
      <c r="D31" s="9">
        <v>4552</v>
      </c>
      <c r="E31" s="9">
        <v>3889</v>
      </c>
      <c r="F31" s="9">
        <v>3342</v>
      </c>
      <c r="G31" s="9">
        <v>2584</v>
      </c>
      <c r="H31" s="9">
        <v>3325</v>
      </c>
      <c r="I31" s="9">
        <v>2622</v>
      </c>
      <c r="J31" s="9">
        <v>3985</v>
      </c>
      <c r="K31" s="9">
        <v>3960</v>
      </c>
      <c r="L31" s="9">
        <v>3338</v>
      </c>
      <c r="M31" s="9">
        <v>3427</v>
      </c>
      <c r="N31" s="9">
        <v>4426</v>
      </c>
      <c r="O31" s="9">
        <v>4792</v>
      </c>
      <c r="P31" s="9">
        <v>5060</v>
      </c>
      <c r="Q31" s="9">
        <v>1204</v>
      </c>
      <c r="R31" s="9">
        <v>3679</v>
      </c>
      <c r="S31" s="9">
        <v>3085</v>
      </c>
      <c r="T31" s="9">
        <v>3366</v>
      </c>
      <c r="U31" s="9">
        <v>844</v>
      </c>
      <c r="V31" s="9">
        <v>3781</v>
      </c>
      <c r="W31" s="9">
        <v>0</v>
      </c>
      <c r="X31" s="9">
        <v>0</v>
      </c>
    </row>
    <row r="32" spans="1:24" x14ac:dyDescent="0.2">
      <c r="A32" s="4" t="s">
        <v>256</v>
      </c>
      <c r="B32" s="9">
        <v>5219</v>
      </c>
      <c r="C32" s="9">
        <v>-860</v>
      </c>
      <c r="D32" s="9">
        <v>-1318</v>
      </c>
      <c r="E32" s="9">
        <v>-97</v>
      </c>
      <c r="F32" s="9">
        <v>0</v>
      </c>
      <c r="G32" s="9">
        <v>0</v>
      </c>
      <c r="H32" s="9">
        <v>-104</v>
      </c>
      <c r="I32" s="9">
        <v>-84</v>
      </c>
      <c r="J32" s="9">
        <v>-397</v>
      </c>
      <c r="K32" s="9">
        <v>0</v>
      </c>
      <c r="L32" s="9">
        <v>-745</v>
      </c>
      <c r="M32" s="9">
        <v>-66</v>
      </c>
      <c r="N32" s="9">
        <v>3876</v>
      </c>
      <c r="O32" s="9">
        <v>3209</v>
      </c>
      <c r="P32" s="9">
        <v>3329</v>
      </c>
      <c r="Q32" s="9">
        <v>47</v>
      </c>
      <c r="R32" s="9">
        <v>0</v>
      </c>
      <c r="S32" s="9">
        <v>-248</v>
      </c>
      <c r="T32" s="9">
        <v>-622</v>
      </c>
      <c r="U32" s="9">
        <v>88</v>
      </c>
      <c r="V32" s="9">
        <v>5</v>
      </c>
      <c r="W32" s="9">
        <v>-246</v>
      </c>
      <c r="X32" s="9">
        <v>-548</v>
      </c>
    </row>
    <row r="33" spans="1:24" x14ac:dyDescent="0.2">
      <c r="A33" s="4" t="s">
        <v>257</v>
      </c>
      <c r="B33" s="9">
        <v>66429</v>
      </c>
      <c r="C33" s="9">
        <v>3930</v>
      </c>
      <c r="D33" s="9">
        <v>4016</v>
      </c>
      <c r="E33" s="9">
        <v>3409</v>
      </c>
      <c r="F33" s="9">
        <v>2581</v>
      </c>
      <c r="G33" s="9">
        <v>2289</v>
      </c>
      <c r="H33" s="9">
        <v>3308</v>
      </c>
      <c r="I33" s="9">
        <v>3679</v>
      </c>
      <c r="J33" s="9">
        <v>2637</v>
      </c>
      <c r="K33" s="9">
        <v>4339</v>
      </c>
      <c r="L33" s="9">
        <v>3663</v>
      </c>
      <c r="M33" s="9">
        <v>2467</v>
      </c>
      <c r="N33" s="9">
        <v>2703</v>
      </c>
      <c r="O33" s="9">
        <v>4732</v>
      </c>
      <c r="P33" s="9">
        <v>3334</v>
      </c>
      <c r="Q33" s="9">
        <v>4502</v>
      </c>
      <c r="R33" s="9">
        <v>3633</v>
      </c>
      <c r="S33" s="9">
        <v>-528</v>
      </c>
      <c r="T33" s="9">
        <v>3956</v>
      </c>
      <c r="U33" s="9">
        <v>2355</v>
      </c>
      <c r="V33" s="9">
        <v>3242</v>
      </c>
      <c r="W33" s="9">
        <v>2180</v>
      </c>
      <c r="X33" s="9">
        <v>0</v>
      </c>
    </row>
    <row r="34" spans="1:24" x14ac:dyDescent="0.2">
      <c r="A34" s="4" t="s">
        <v>258</v>
      </c>
      <c r="B34" s="9">
        <v>4548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3397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1151</v>
      </c>
      <c r="V34" s="9">
        <v>0</v>
      </c>
      <c r="W34" s="9">
        <v>0</v>
      </c>
      <c r="X34" s="9">
        <v>0</v>
      </c>
    </row>
    <row r="35" spans="1:24" x14ac:dyDescent="0.2">
      <c r="A35" s="4" t="s">
        <v>259</v>
      </c>
      <c r="B35" s="9">
        <v>142524</v>
      </c>
      <c r="C35" s="9">
        <v>4835</v>
      </c>
      <c r="D35" s="9">
        <v>12746</v>
      </c>
      <c r="E35" s="9">
        <v>7866</v>
      </c>
      <c r="F35" s="9">
        <v>10088</v>
      </c>
      <c r="G35" s="9">
        <v>5351</v>
      </c>
      <c r="H35" s="9">
        <v>7402</v>
      </c>
      <c r="I35" s="9">
        <v>5022</v>
      </c>
      <c r="J35" s="9">
        <v>4340</v>
      </c>
      <c r="K35" s="9">
        <v>2492</v>
      </c>
      <c r="L35" s="9">
        <v>13937</v>
      </c>
      <c r="M35" s="9">
        <v>9943</v>
      </c>
      <c r="N35" s="9">
        <v>24480</v>
      </c>
      <c r="O35" s="9">
        <v>9960</v>
      </c>
      <c r="P35" s="9">
        <v>7225</v>
      </c>
      <c r="Q35" s="9">
        <v>3330</v>
      </c>
      <c r="R35" s="9">
        <v>5758</v>
      </c>
      <c r="S35" s="9">
        <v>2695</v>
      </c>
      <c r="T35" s="9">
        <v>1493</v>
      </c>
      <c r="U35" s="9">
        <v>53</v>
      </c>
      <c r="V35" s="9">
        <v>3526</v>
      </c>
      <c r="W35" s="9">
        <v>-18</v>
      </c>
      <c r="X35" s="9">
        <v>0</v>
      </c>
    </row>
    <row r="36" spans="1:24" x14ac:dyDescent="0.2">
      <c r="A36" s="4" t="s">
        <v>260</v>
      </c>
      <c r="B36" s="9">
        <v>119541</v>
      </c>
      <c r="C36" s="9">
        <v>6278</v>
      </c>
      <c r="D36" s="9">
        <v>1938</v>
      </c>
      <c r="E36" s="9">
        <v>5114</v>
      </c>
      <c r="F36" s="9">
        <v>1923</v>
      </c>
      <c r="G36" s="9">
        <v>8603</v>
      </c>
      <c r="H36" s="9">
        <v>2902</v>
      </c>
      <c r="I36" s="9">
        <v>3933</v>
      </c>
      <c r="J36" s="9">
        <v>10659</v>
      </c>
      <c r="K36" s="9">
        <v>8398</v>
      </c>
      <c r="L36" s="9">
        <v>4228</v>
      </c>
      <c r="M36" s="9">
        <v>4531</v>
      </c>
      <c r="N36" s="9">
        <v>3882</v>
      </c>
      <c r="O36" s="9">
        <v>6628</v>
      </c>
      <c r="P36" s="9">
        <v>9152</v>
      </c>
      <c r="Q36" s="9">
        <v>11484</v>
      </c>
      <c r="R36" s="9">
        <v>11118</v>
      </c>
      <c r="S36" s="9">
        <v>-169</v>
      </c>
      <c r="T36" s="9">
        <v>5622</v>
      </c>
      <c r="U36" s="9">
        <v>3041</v>
      </c>
      <c r="V36" s="9">
        <v>5859</v>
      </c>
      <c r="W36" s="9">
        <v>4418</v>
      </c>
      <c r="X36" s="9">
        <v>0</v>
      </c>
    </row>
    <row r="37" spans="1:24" x14ac:dyDescent="0.2">
      <c r="A37" s="4" t="s">
        <v>261</v>
      </c>
      <c r="B37" s="9">
        <v>52340</v>
      </c>
      <c r="C37" s="9">
        <v>0</v>
      </c>
      <c r="D37" s="9">
        <v>-842</v>
      </c>
      <c r="E37" s="9">
        <v>2966</v>
      </c>
      <c r="F37" s="9">
        <v>0</v>
      </c>
      <c r="G37" s="9">
        <v>4485</v>
      </c>
      <c r="H37" s="9">
        <v>1355</v>
      </c>
      <c r="I37" s="9">
        <v>0</v>
      </c>
      <c r="J37" s="9">
        <v>7807</v>
      </c>
      <c r="K37" s="9">
        <v>1809</v>
      </c>
      <c r="L37" s="9">
        <v>4854</v>
      </c>
      <c r="M37" s="9">
        <v>4574</v>
      </c>
      <c r="N37" s="9">
        <v>6061</v>
      </c>
      <c r="O37" s="9">
        <v>11613</v>
      </c>
      <c r="P37" s="9">
        <v>1643</v>
      </c>
      <c r="Q37" s="9">
        <v>6015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</row>
    <row r="38" spans="1:24" x14ac:dyDescent="0.2">
      <c r="A38" s="4" t="s">
        <v>262</v>
      </c>
      <c r="B38" s="9">
        <v>-1447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-1447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</row>
    <row r="39" spans="1:24" x14ac:dyDescent="0.2">
      <c r="A39" s="4" t="s">
        <v>263</v>
      </c>
      <c r="B39" s="9">
        <v>12910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4231</v>
      </c>
      <c r="M39" s="9">
        <v>0</v>
      </c>
      <c r="N39" s="9">
        <v>0</v>
      </c>
      <c r="O39" s="9">
        <v>0</v>
      </c>
      <c r="P39" s="9">
        <v>4475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4205</v>
      </c>
      <c r="W39" s="9">
        <v>0</v>
      </c>
      <c r="X39" s="9">
        <v>0</v>
      </c>
    </row>
    <row r="40" spans="1:24" x14ac:dyDescent="0.2">
      <c r="A40" s="4" t="s">
        <v>264</v>
      </c>
      <c r="B40" s="9">
        <v>15527</v>
      </c>
      <c r="C40" s="9">
        <v>4573</v>
      </c>
      <c r="D40" s="9">
        <v>0</v>
      </c>
      <c r="E40" s="9">
        <v>699</v>
      </c>
      <c r="F40" s="9">
        <v>0</v>
      </c>
      <c r="G40" s="9">
        <v>3393</v>
      </c>
      <c r="H40" s="9">
        <v>2212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853</v>
      </c>
      <c r="Q40" s="9">
        <v>2789</v>
      </c>
      <c r="R40" s="9">
        <v>1008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</row>
    <row r="41" spans="1:24" x14ac:dyDescent="0.2">
      <c r="A41" s="4" t="s">
        <v>265</v>
      </c>
      <c r="B41" s="9">
        <v>104307</v>
      </c>
      <c r="C41" s="9">
        <v>7427</v>
      </c>
      <c r="D41" s="9">
        <v>4935</v>
      </c>
      <c r="E41" s="9">
        <v>5572</v>
      </c>
      <c r="F41" s="9">
        <v>4605</v>
      </c>
      <c r="G41" s="9">
        <v>10308</v>
      </c>
      <c r="H41" s="9">
        <v>5710</v>
      </c>
      <c r="I41" s="9">
        <v>8390</v>
      </c>
      <c r="J41" s="9">
        <v>-810</v>
      </c>
      <c r="K41" s="9">
        <v>-229</v>
      </c>
      <c r="L41" s="9">
        <v>0</v>
      </c>
      <c r="M41" s="9">
        <v>6637</v>
      </c>
      <c r="N41" s="9">
        <v>8667</v>
      </c>
      <c r="O41" s="9">
        <v>-813</v>
      </c>
      <c r="P41" s="9">
        <v>8023</v>
      </c>
      <c r="Q41" s="9">
        <v>5215</v>
      </c>
      <c r="R41" s="9">
        <v>9602</v>
      </c>
      <c r="S41" s="9">
        <v>7203</v>
      </c>
      <c r="T41" s="9">
        <v>4703</v>
      </c>
      <c r="U41" s="9">
        <v>3864</v>
      </c>
      <c r="V41" s="9">
        <v>6606</v>
      </c>
      <c r="W41" s="9">
        <v>-271</v>
      </c>
      <c r="X41" s="9">
        <v>-1040</v>
      </c>
    </row>
    <row r="42" spans="1:24" x14ac:dyDescent="0.2">
      <c r="A42" s="4" t="s">
        <v>266</v>
      </c>
      <c r="B42" s="9">
        <v>-6218</v>
      </c>
      <c r="C42" s="9">
        <v>0</v>
      </c>
      <c r="D42" s="9">
        <v>0</v>
      </c>
      <c r="E42" s="9">
        <v>-87</v>
      </c>
      <c r="F42" s="9">
        <v>-997</v>
      </c>
      <c r="G42" s="9">
        <v>-2028</v>
      </c>
      <c r="H42" s="9">
        <v>0</v>
      </c>
      <c r="I42" s="9">
        <v>-44</v>
      </c>
      <c r="J42" s="9">
        <v>0</v>
      </c>
      <c r="K42" s="9">
        <v>0</v>
      </c>
      <c r="L42" s="9">
        <v>2292</v>
      </c>
      <c r="M42" s="9">
        <v>0</v>
      </c>
      <c r="N42" s="9">
        <v>0</v>
      </c>
      <c r="O42" s="9">
        <v>0</v>
      </c>
      <c r="P42" s="9">
        <v>-3408</v>
      </c>
      <c r="Q42" s="9">
        <v>0</v>
      </c>
      <c r="R42" s="9">
        <v>-1947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</row>
    <row r="43" spans="1:24" x14ac:dyDescent="0.2">
      <c r="A43" s="4" t="s">
        <v>267</v>
      </c>
      <c r="B43" s="9">
        <v>37192</v>
      </c>
      <c r="C43" s="9">
        <v>-338</v>
      </c>
      <c r="D43" s="9">
        <v>-130</v>
      </c>
      <c r="E43" s="9">
        <v>-82</v>
      </c>
      <c r="F43" s="9">
        <v>-70</v>
      </c>
      <c r="G43" s="9">
        <v>-106</v>
      </c>
      <c r="H43" s="9">
        <v>-54</v>
      </c>
      <c r="I43" s="9">
        <v>-621</v>
      </c>
      <c r="J43" s="9">
        <v>2397</v>
      </c>
      <c r="K43" s="9">
        <v>3528</v>
      </c>
      <c r="L43" s="9">
        <v>4473</v>
      </c>
      <c r="M43" s="9">
        <v>3254</v>
      </c>
      <c r="N43" s="9">
        <v>5583</v>
      </c>
      <c r="O43" s="9">
        <v>3455</v>
      </c>
      <c r="P43" s="9">
        <v>6316</v>
      </c>
      <c r="Q43" s="9">
        <v>-1414</v>
      </c>
      <c r="R43" s="9">
        <v>-1065</v>
      </c>
      <c r="S43" s="9">
        <v>4302</v>
      </c>
      <c r="T43" s="9">
        <v>1065</v>
      </c>
      <c r="U43" s="9">
        <v>2223</v>
      </c>
      <c r="V43" s="9">
        <v>4478</v>
      </c>
      <c r="W43" s="9">
        <v>0</v>
      </c>
      <c r="X43" s="9">
        <v>0</v>
      </c>
    </row>
    <row r="44" spans="1:24" x14ac:dyDescent="0.2">
      <c r="A44" s="4" t="s">
        <v>268</v>
      </c>
      <c r="B44" s="9">
        <v>2822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2822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</row>
    <row r="45" spans="1:24" x14ac:dyDescent="0.2">
      <c r="A45" s="4" t="s">
        <v>269</v>
      </c>
      <c r="B45" s="9">
        <v>-2542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-363</v>
      </c>
      <c r="N45" s="9">
        <v>0</v>
      </c>
      <c r="O45" s="9">
        <v>0</v>
      </c>
      <c r="P45" s="9">
        <v>0</v>
      </c>
      <c r="Q45" s="9">
        <v>0</v>
      </c>
      <c r="R45" s="9">
        <v>-1947</v>
      </c>
      <c r="S45" s="9">
        <v>0</v>
      </c>
      <c r="T45" s="9">
        <v>0</v>
      </c>
      <c r="U45" s="9">
        <v>0</v>
      </c>
      <c r="V45" s="9">
        <v>-232</v>
      </c>
      <c r="W45" s="9">
        <v>0</v>
      </c>
      <c r="X45" s="9">
        <v>0</v>
      </c>
    </row>
    <row r="46" spans="1:24" x14ac:dyDescent="0.2">
      <c r="A46" s="4" t="s">
        <v>270</v>
      </c>
      <c r="B46" s="9">
        <v>26580</v>
      </c>
      <c r="C46" s="9">
        <v>2756</v>
      </c>
      <c r="D46" s="9">
        <v>2773</v>
      </c>
      <c r="E46" s="9">
        <v>2901</v>
      </c>
      <c r="F46" s="9">
        <v>3658</v>
      </c>
      <c r="G46" s="9">
        <v>2369</v>
      </c>
      <c r="H46" s="9">
        <v>2818</v>
      </c>
      <c r="I46" s="9">
        <v>3310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5993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</row>
    <row r="47" spans="1:24" x14ac:dyDescent="0.2">
      <c r="A47" s="4" t="s">
        <v>271</v>
      </c>
      <c r="B47" s="9">
        <v>12074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2702</v>
      </c>
      <c r="O47" s="9">
        <v>0</v>
      </c>
      <c r="P47" s="9">
        <v>0</v>
      </c>
      <c r="Q47" s="9">
        <v>3949</v>
      </c>
      <c r="R47" s="9">
        <v>5423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</row>
    <row r="48" spans="1:24" x14ac:dyDescent="0.2">
      <c r="A48" s="4" t="s">
        <v>272</v>
      </c>
      <c r="B48" s="11">
        <v>3191234</v>
      </c>
      <c r="C48" s="11">
        <v>190742</v>
      </c>
      <c r="D48" s="11">
        <v>157187</v>
      </c>
      <c r="E48" s="11">
        <v>161830</v>
      </c>
      <c r="F48" s="11">
        <v>135882</v>
      </c>
      <c r="G48" s="11">
        <v>149025</v>
      </c>
      <c r="H48" s="11">
        <v>149952</v>
      </c>
      <c r="I48" s="11">
        <v>112347</v>
      </c>
      <c r="J48" s="11">
        <v>145724</v>
      </c>
      <c r="K48" s="11">
        <v>104202</v>
      </c>
      <c r="L48" s="11">
        <v>184555</v>
      </c>
      <c r="M48" s="11">
        <v>181617</v>
      </c>
      <c r="N48" s="11">
        <v>392923</v>
      </c>
      <c r="O48" s="11">
        <v>206931</v>
      </c>
      <c r="P48" s="11">
        <v>225006</v>
      </c>
      <c r="Q48" s="11">
        <v>193141</v>
      </c>
      <c r="R48" s="11">
        <v>217843</v>
      </c>
      <c r="S48" s="11">
        <v>80143</v>
      </c>
      <c r="T48" s="11">
        <v>61409</v>
      </c>
      <c r="U48" s="11">
        <v>43663</v>
      </c>
      <c r="V48" s="11">
        <v>82360</v>
      </c>
      <c r="W48" s="11">
        <v>17094</v>
      </c>
      <c r="X48" s="11">
        <v>-2344</v>
      </c>
    </row>
    <row r="49" spans="1:24" x14ac:dyDescent="0.2">
      <c r="A49" s="4" t="s">
        <v>273</v>
      </c>
      <c r="B49" s="13" t="s">
        <v>73</v>
      </c>
      <c r="C49" s="13" t="s">
        <v>73</v>
      </c>
      <c r="D49" s="13" t="s">
        <v>73</v>
      </c>
      <c r="E49" s="13" t="s">
        <v>73</v>
      </c>
      <c r="F49" s="13" t="s">
        <v>73</v>
      </c>
      <c r="G49" s="13" t="s">
        <v>73</v>
      </c>
      <c r="H49" s="13" t="s">
        <v>73</v>
      </c>
      <c r="I49" s="13" t="s">
        <v>73</v>
      </c>
      <c r="J49" s="13" t="s">
        <v>73</v>
      </c>
      <c r="K49" s="13" t="s">
        <v>73</v>
      </c>
      <c r="L49" s="13" t="s">
        <v>73</v>
      </c>
      <c r="M49" s="13" t="s">
        <v>73</v>
      </c>
      <c r="N49" s="13" t="s">
        <v>73</v>
      </c>
      <c r="O49" s="13" t="s">
        <v>73</v>
      </c>
      <c r="P49" s="13" t="s">
        <v>73</v>
      </c>
      <c r="Q49" s="13" t="s">
        <v>73</v>
      </c>
      <c r="R49" s="13" t="s">
        <v>73</v>
      </c>
      <c r="S49" s="13" t="s">
        <v>73</v>
      </c>
      <c r="T49" s="13" t="s">
        <v>73</v>
      </c>
      <c r="U49" s="13" t="s">
        <v>73</v>
      </c>
      <c r="V49" s="13" t="s">
        <v>73</v>
      </c>
      <c r="W49" s="13" t="s">
        <v>73</v>
      </c>
      <c r="X49" s="13" t="s">
        <v>73</v>
      </c>
    </row>
    <row r="50" spans="1:24" x14ac:dyDescent="0.2">
      <c r="A50" s="4" t="s">
        <v>274</v>
      </c>
      <c r="B50" s="9">
        <v>328923</v>
      </c>
      <c r="C50" s="9">
        <v>19645</v>
      </c>
      <c r="D50" s="9">
        <v>16621</v>
      </c>
      <c r="E50" s="9">
        <v>17817</v>
      </c>
      <c r="F50" s="9">
        <v>13499</v>
      </c>
      <c r="G50" s="9">
        <v>16035</v>
      </c>
      <c r="H50" s="9">
        <v>16191</v>
      </c>
      <c r="I50" s="9">
        <v>11431</v>
      </c>
      <c r="J50" s="9">
        <v>15621</v>
      </c>
      <c r="K50" s="9">
        <v>11692</v>
      </c>
      <c r="L50" s="9">
        <v>18828</v>
      </c>
      <c r="M50" s="9">
        <v>20330</v>
      </c>
      <c r="N50" s="9">
        <v>40498</v>
      </c>
      <c r="O50" s="9">
        <v>22219</v>
      </c>
      <c r="P50" s="9">
        <v>24576</v>
      </c>
      <c r="Q50" s="9">
        <v>21807</v>
      </c>
      <c r="R50" s="9">
        <v>21713</v>
      </c>
      <c r="S50" s="9">
        <v>3059</v>
      </c>
      <c r="T50" s="9">
        <v>2150</v>
      </c>
      <c r="U50" s="9">
        <v>4777</v>
      </c>
      <c r="V50" s="9">
        <v>8289</v>
      </c>
      <c r="W50" s="9">
        <v>2127</v>
      </c>
      <c r="X50" s="9">
        <v>0</v>
      </c>
    </row>
    <row r="51" spans="1:24" x14ac:dyDescent="0.2">
      <c r="A51" s="4" t="s">
        <v>275</v>
      </c>
      <c r="B51" s="9">
        <v>77498</v>
      </c>
      <c r="C51" s="9">
        <v>11455</v>
      </c>
      <c r="D51" s="9">
        <v>5319</v>
      </c>
      <c r="E51" s="9">
        <v>4081</v>
      </c>
      <c r="F51" s="9">
        <v>3621</v>
      </c>
      <c r="G51" s="9">
        <v>4641</v>
      </c>
      <c r="H51" s="9">
        <v>3308</v>
      </c>
      <c r="I51" s="9">
        <v>5431</v>
      </c>
      <c r="J51" s="9">
        <v>808</v>
      </c>
      <c r="K51" s="9">
        <v>592</v>
      </c>
      <c r="L51" s="9">
        <v>512</v>
      </c>
      <c r="M51" s="9">
        <v>3610</v>
      </c>
      <c r="N51" s="9">
        <v>-964</v>
      </c>
      <c r="O51" s="9">
        <v>5787</v>
      </c>
      <c r="P51" s="9">
        <v>5099</v>
      </c>
      <c r="Q51" s="9">
        <v>2519</v>
      </c>
      <c r="R51" s="9">
        <v>2097</v>
      </c>
      <c r="S51" s="9">
        <v>15391</v>
      </c>
      <c r="T51" s="9">
        <v>2103</v>
      </c>
      <c r="U51" s="9">
        <v>808</v>
      </c>
      <c r="V51" s="9">
        <v>1184</v>
      </c>
      <c r="W51" s="9">
        <v>97</v>
      </c>
      <c r="X51" s="9">
        <v>0</v>
      </c>
    </row>
    <row r="52" spans="1:24" x14ac:dyDescent="0.2">
      <c r="A52" s="4" t="s">
        <v>276</v>
      </c>
      <c r="B52" s="11">
        <v>406421</v>
      </c>
      <c r="C52" s="11">
        <v>31100</v>
      </c>
      <c r="D52" s="11">
        <v>21940</v>
      </c>
      <c r="E52" s="11">
        <v>21898</v>
      </c>
      <c r="F52" s="11">
        <v>17120</v>
      </c>
      <c r="G52" s="11">
        <v>20676</v>
      </c>
      <c r="H52" s="11">
        <v>19499</v>
      </c>
      <c r="I52" s="11">
        <v>16862</v>
      </c>
      <c r="J52" s="11">
        <v>16429</v>
      </c>
      <c r="K52" s="11">
        <v>12284</v>
      </c>
      <c r="L52" s="11">
        <v>19340</v>
      </c>
      <c r="M52" s="11">
        <v>23940</v>
      </c>
      <c r="N52" s="11">
        <v>39534</v>
      </c>
      <c r="O52" s="11">
        <v>28006</v>
      </c>
      <c r="P52" s="11">
        <v>29675</v>
      </c>
      <c r="Q52" s="11">
        <v>24326</v>
      </c>
      <c r="R52" s="11">
        <v>23810</v>
      </c>
      <c r="S52" s="11">
        <v>18450</v>
      </c>
      <c r="T52" s="11">
        <v>4253</v>
      </c>
      <c r="U52" s="11">
        <v>5585</v>
      </c>
      <c r="V52" s="11">
        <v>9473</v>
      </c>
      <c r="W52" s="11">
        <v>2224</v>
      </c>
      <c r="X52" s="11">
        <v>0</v>
      </c>
    </row>
    <row r="53" spans="1:24" x14ac:dyDescent="0.2">
      <c r="A53" s="4" t="s">
        <v>277</v>
      </c>
      <c r="B53" s="12">
        <v>3597655</v>
      </c>
      <c r="C53" s="12">
        <v>221842</v>
      </c>
      <c r="D53" s="12">
        <v>179127</v>
      </c>
      <c r="E53" s="12">
        <v>183728</v>
      </c>
      <c r="F53" s="12">
        <v>153002</v>
      </c>
      <c r="G53" s="12">
        <v>169701</v>
      </c>
      <c r="H53" s="12">
        <v>169451</v>
      </c>
      <c r="I53" s="12">
        <v>129209</v>
      </c>
      <c r="J53" s="12">
        <v>162153</v>
      </c>
      <c r="K53" s="12">
        <v>116486</v>
      </c>
      <c r="L53" s="12">
        <v>203895</v>
      </c>
      <c r="M53" s="12">
        <v>205557</v>
      </c>
      <c r="N53" s="12">
        <v>432457</v>
      </c>
      <c r="O53" s="12">
        <v>234937</v>
      </c>
      <c r="P53" s="12">
        <v>254681</v>
      </c>
      <c r="Q53" s="12">
        <v>217467</v>
      </c>
      <c r="R53" s="12">
        <v>241653</v>
      </c>
      <c r="S53" s="12">
        <v>98593</v>
      </c>
      <c r="T53" s="12">
        <v>65662</v>
      </c>
      <c r="U53" s="12">
        <v>49248</v>
      </c>
      <c r="V53" s="12">
        <v>91833</v>
      </c>
      <c r="W53" s="12">
        <v>19318</v>
      </c>
      <c r="X53" s="12">
        <v>-2344</v>
      </c>
    </row>
    <row r="54" spans="1:24" x14ac:dyDescent="0.2">
      <c r="A54" s="2" t="s">
        <v>6</v>
      </c>
    </row>
    <row r="55" spans="1:24" x14ac:dyDescent="0.2">
      <c r="A55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02"/>
  <sheetViews>
    <sheetView workbookViewId="0"/>
  </sheetViews>
  <sheetFormatPr defaultColWidth="9.140625" defaultRowHeight="12.75" x14ac:dyDescent="0.2"/>
  <cols>
    <col min="1" max="1" width="37.14062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6.42578125" style="1" customWidth="1"/>
    <col min="20" max="20" width="13.5703125" style="1" customWidth="1"/>
    <col min="21" max="21" width="13.140625" style="1" customWidth="1"/>
    <col min="22" max="22" width="13.85546875" style="1" customWidth="1"/>
    <col min="23" max="23" width="14" style="1" customWidth="1"/>
    <col min="24" max="24" width="14.5703125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0</v>
      </c>
    </row>
    <row r="2" spans="1:24" ht="18" x14ac:dyDescent="0.25">
      <c r="A2" s="3" t="s">
        <v>278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</row>
    <row r="8" spans="1:24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279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280</v>
      </c>
      <c r="B12" s="4" t="s">
        <v>73</v>
      </c>
      <c r="C12" s="4" t="s">
        <v>73</v>
      </c>
      <c r="D12" s="4" t="s">
        <v>73</v>
      </c>
      <c r="E12" s="4" t="s">
        <v>73</v>
      </c>
      <c r="F12" s="4" t="s">
        <v>73</v>
      </c>
      <c r="G12" s="4" t="s">
        <v>73</v>
      </c>
      <c r="H12" s="4" t="s">
        <v>73</v>
      </c>
      <c r="I12" s="4" t="s">
        <v>73</v>
      </c>
      <c r="J12" s="4" t="s">
        <v>73</v>
      </c>
      <c r="K12" s="4" t="s">
        <v>73</v>
      </c>
      <c r="L12" s="4" t="s">
        <v>73</v>
      </c>
      <c r="M12" s="4" t="s">
        <v>73</v>
      </c>
      <c r="N12" s="4" t="s">
        <v>73</v>
      </c>
      <c r="O12" s="4" t="s">
        <v>73</v>
      </c>
      <c r="P12" s="4" t="s">
        <v>73</v>
      </c>
      <c r="Q12" s="4" t="s">
        <v>73</v>
      </c>
      <c r="R12" s="4" t="s">
        <v>73</v>
      </c>
      <c r="S12" s="4" t="s">
        <v>73</v>
      </c>
      <c r="T12" s="4" t="s">
        <v>73</v>
      </c>
      <c r="U12" s="4" t="s">
        <v>73</v>
      </c>
      <c r="V12" s="4" t="s">
        <v>73</v>
      </c>
      <c r="W12" s="4" t="s">
        <v>73</v>
      </c>
      <c r="X12" s="4" t="s">
        <v>73</v>
      </c>
    </row>
    <row r="13" spans="1:24" x14ac:dyDescent="0.2">
      <c r="A13" s="4" t="s">
        <v>74</v>
      </c>
      <c r="B13" s="14">
        <v>120155.41</v>
      </c>
      <c r="C13" s="14">
        <v>6153.6</v>
      </c>
      <c r="D13" s="14">
        <v>2838.47</v>
      </c>
      <c r="E13" s="14">
        <v>6692.8</v>
      </c>
      <c r="F13" s="14">
        <v>1483.51</v>
      </c>
      <c r="G13" s="14">
        <v>6504.34</v>
      </c>
      <c r="H13" s="14">
        <v>6211.54</v>
      </c>
      <c r="I13" s="14">
        <v>6671.15</v>
      </c>
      <c r="J13" s="14">
        <v>7269.24</v>
      </c>
      <c r="K13" s="14">
        <v>6921.6</v>
      </c>
      <c r="L13" s="14">
        <v>8990.67</v>
      </c>
      <c r="M13" s="14">
        <v>7884.61</v>
      </c>
      <c r="N13" s="14">
        <v>8748.6299999999992</v>
      </c>
      <c r="O13" s="14">
        <v>6923.08</v>
      </c>
      <c r="P13" s="14">
        <v>410.99</v>
      </c>
      <c r="Q13" s="14">
        <v>7701.95</v>
      </c>
      <c r="R13" s="14">
        <v>7411.33</v>
      </c>
      <c r="S13" s="14">
        <v>9107.14</v>
      </c>
      <c r="T13" s="14">
        <v>4153.84</v>
      </c>
      <c r="U13" s="14">
        <v>0</v>
      </c>
      <c r="V13" s="14">
        <v>8076.92</v>
      </c>
      <c r="W13" s="14">
        <v>0</v>
      </c>
      <c r="X13" s="14">
        <v>0</v>
      </c>
    </row>
    <row r="14" spans="1:24" x14ac:dyDescent="0.2">
      <c r="A14" s="4" t="s">
        <v>75</v>
      </c>
      <c r="B14" s="14">
        <v>571.29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571.29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</row>
    <row r="15" spans="1:24" x14ac:dyDescent="0.2">
      <c r="A15" s="4" t="s">
        <v>77</v>
      </c>
      <c r="B15" s="14">
        <v>289.29000000000002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189.29</v>
      </c>
      <c r="O15" s="14">
        <v>0</v>
      </c>
      <c r="P15" s="14">
        <v>100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</row>
    <row r="16" spans="1:24" x14ac:dyDescent="0.2">
      <c r="A16" s="4" t="s">
        <v>78</v>
      </c>
      <c r="B16" s="14">
        <v>16092.59</v>
      </c>
      <c r="C16" s="14">
        <v>-170.88</v>
      </c>
      <c r="D16" s="14">
        <v>-49.97</v>
      </c>
      <c r="E16" s="14">
        <v>462.94</v>
      </c>
      <c r="F16" s="14">
        <v>-7.02</v>
      </c>
      <c r="G16" s="14">
        <v>589.36</v>
      </c>
      <c r="H16" s="14">
        <v>366.22</v>
      </c>
      <c r="I16" s="14">
        <v>1225.77</v>
      </c>
      <c r="J16" s="14">
        <v>478.79</v>
      </c>
      <c r="K16" s="14">
        <v>-800.33</v>
      </c>
      <c r="L16" s="14">
        <v>690.18</v>
      </c>
      <c r="M16" s="14">
        <v>-411.15</v>
      </c>
      <c r="N16" s="14">
        <v>5885.05</v>
      </c>
      <c r="O16" s="14">
        <v>-347.32</v>
      </c>
      <c r="P16" s="14">
        <v>-433.57</v>
      </c>
      <c r="Q16" s="14">
        <v>2960.88</v>
      </c>
      <c r="R16" s="14">
        <v>1247.68</v>
      </c>
      <c r="S16" s="14">
        <v>1036.82</v>
      </c>
      <c r="T16" s="14">
        <v>2680.04</v>
      </c>
      <c r="U16" s="14">
        <v>0</v>
      </c>
      <c r="V16" s="14">
        <v>689.1</v>
      </c>
      <c r="W16" s="14">
        <v>0</v>
      </c>
      <c r="X16" s="14">
        <v>0</v>
      </c>
    </row>
    <row r="17" spans="1:24" x14ac:dyDescent="0.2">
      <c r="A17" s="4" t="s">
        <v>281</v>
      </c>
      <c r="B17" s="19">
        <v>137108.57999999999</v>
      </c>
      <c r="C17" s="19">
        <v>5982.72</v>
      </c>
      <c r="D17" s="19">
        <v>2788.5</v>
      </c>
      <c r="E17" s="19">
        <v>7155.74</v>
      </c>
      <c r="F17" s="19">
        <v>1476.49</v>
      </c>
      <c r="G17" s="19">
        <v>7093.7</v>
      </c>
      <c r="H17" s="19">
        <v>6577.76</v>
      </c>
      <c r="I17" s="19">
        <v>8468.2099999999991</v>
      </c>
      <c r="J17" s="19">
        <v>7748.03</v>
      </c>
      <c r="K17" s="19">
        <v>6121.27</v>
      </c>
      <c r="L17" s="19">
        <v>9680.85</v>
      </c>
      <c r="M17" s="19">
        <v>7473.46</v>
      </c>
      <c r="N17" s="19">
        <v>14822.97</v>
      </c>
      <c r="O17" s="19">
        <v>6575.76</v>
      </c>
      <c r="P17" s="19">
        <v>77.42</v>
      </c>
      <c r="Q17" s="19">
        <v>10662.83</v>
      </c>
      <c r="R17" s="19">
        <v>8659.01</v>
      </c>
      <c r="S17" s="19">
        <v>10143.959999999999</v>
      </c>
      <c r="T17" s="19">
        <v>6833.88</v>
      </c>
      <c r="U17" s="19">
        <v>0</v>
      </c>
      <c r="V17" s="19">
        <v>8766.02</v>
      </c>
      <c r="W17" s="19">
        <v>0</v>
      </c>
      <c r="X17" s="19">
        <v>0</v>
      </c>
    </row>
    <row r="18" spans="1:24" x14ac:dyDescent="0.2">
      <c r="A18" s="4" t="s">
        <v>282</v>
      </c>
      <c r="B18" s="13" t="s">
        <v>73</v>
      </c>
      <c r="C18" s="13" t="s">
        <v>73</v>
      </c>
      <c r="D18" s="13" t="s">
        <v>73</v>
      </c>
      <c r="E18" s="13" t="s">
        <v>73</v>
      </c>
      <c r="F18" s="13" t="s">
        <v>73</v>
      </c>
      <c r="G18" s="13" t="s">
        <v>73</v>
      </c>
      <c r="H18" s="13" t="s">
        <v>73</v>
      </c>
      <c r="I18" s="13" t="s">
        <v>73</v>
      </c>
      <c r="J18" s="13" t="s">
        <v>73</v>
      </c>
      <c r="K18" s="13" t="s">
        <v>73</v>
      </c>
      <c r="L18" s="13" t="s">
        <v>73</v>
      </c>
      <c r="M18" s="13" t="s">
        <v>73</v>
      </c>
      <c r="N18" s="13" t="s">
        <v>73</v>
      </c>
      <c r="O18" s="13" t="s">
        <v>73</v>
      </c>
      <c r="P18" s="13" t="s">
        <v>73</v>
      </c>
      <c r="Q18" s="13" t="s">
        <v>73</v>
      </c>
      <c r="R18" s="13" t="s">
        <v>73</v>
      </c>
      <c r="S18" s="13" t="s">
        <v>73</v>
      </c>
      <c r="T18" s="13" t="s">
        <v>73</v>
      </c>
      <c r="U18" s="13" t="s">
        <v>73</v>
      </c>
      <c r="V18" s="13" t="s">
        <v>73</v>
      </c>
      <c r="W18" s="13" t="s">
        <v>73</v>
      </c>
      <c r="X18" s="13" t="s">
        <v>73</v>
      </c>
    </row>
    <row r="19" spans="1:24" x14ac:dyDescent="0.2">
      <c r="A19" s="4" t="s">
        <v>74</v>
      </c>
      <c r="B19" s="14">
        <v>54708.14</v>
      </c>
      <c r="C19" s="14">
        <v>5836.09</v>
      </c>
      <c r="D19" s="14">
        <v>0</v>
      </c>
      <c r="E19" s="14">
        <v>673.71</v>
      </c>
      <c r="F19" s="14">
        <v>3449.57</v>
      </c>
      <c r="G19" s="14">
        <v>4918.6000000000004</v>
      </c>
      <c r="H19" s="14">
        <v>3691.21</v>
      </c>
      <c r="I19" s="14">
        <v>2595.86</v>
      </c>
      <c r="J19" s="14">
        <v>0</v>
      </c>
      <c r="K19" s="14">
        <v>0</v>
      </c>
      <c r="L19" s="14">
        <v>6602.86</v>
      </c>
      <c r="M19" s="14">
        <v>5440</v>
      </c>
      <c r="N19" s="14">
        <v>6896.03</v>
      </c>
      <c r="O19" s="14">
        <v>6153.84</v>
      </c>
      <c r="P19" s="14">
        <v>0</v>
      </c>
      <c r="Q19" s="14">
        <v>0</v>
      </c>
      <c r="R19" s="14">
        <v>8450.3700000000008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</row>
    <row r="20" spans="1:24" x14ac:dyDescent="0.2">
      <c r="A20" s="4" t="s">
        <v>75</v>
      </c>
      <c r="B20" s="14">
        <v>7196.44</v>
      </c>
      <c r="C20" s="14">
        <v>1924.08</v>
      </c>
      <c r="D20" s="14">
        <v>0</v>
      </c>
      <c r="E20" s="14">
        <v>0</v>
      </c>
      <c r="F20" s="14">
        <v>61.71</v>
      </c>
      <c r="G20" s="14">
        <v>3265.38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1276.82</v>
      </c>
      <c r="N20" s="14">
        <v>668.45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</row>
    <row r="21" spans="1:24" x14ac:dyDescent="0.2">
      <c r="A21" s="4" t="s">
        <v>76</v>
      </c>
      <c r="B21" s="14">
        <v>571.42999999999995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571.42999999999995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</row>
    <row r="22" spans="1:24" x14ac:dyDescent="0.2">
      <c r="A22" s="4" t="s">
        <v>77</v>
      </c>
      <c r="B22" s="14">
        <v>175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175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</row>
    <row r="23" spans="1:24" x14ac:dyDescent="0.2">
      <c r="A23" s="4" t="s">
        <v>78</v>
      </c>
      <c r="B23" s="14">
        <v>10044.93</v>
      </c>
      <c r="C23" s="14">
        <v>2652.46</v>
      </c>
      <c r="D23" s="14">
        <v>0</v>
      </c>
      <c r="E23" s="14">
        <v>39.03</v>
      </c>
      <c r="F23" s="14">
        <v>677.18</v>
      </c>
      <c r="G23" s="14">
        <v>6707.88</v>
      </c>
      <c r="H23" s="14">
        <v>233.47</v>
      </c>
      <c r="I23" s="14">
        <v>0</v>
      </c>
      <c r="J23" s="14">
        <v>0</v>
      </c>
      <c r="K23" s="14">
        <v>0</v>
      </c>
      <c r="L23" s="14">
        <v>1068.51</v>
      </c>
      <c r="M23" s="14">
        <v>792.78</v>
      </c>
      <c r="N23" s="14">
        <v>-2256.31</v>
      </c>
      <c r="O23" s="14">
        <v>59.08</v>
      </c>
      <c r="P23" s="14">
        <v>0</v>
      </c>
      <c r="Q23" s="14">
        <v>0</v>
      </c>
      <c r="R23" s="14">
        <v>70.849999999999994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</row>
    <row r="24" spans="1:24" x14ac:dyDescent="0.2">
      <c r="A24" s="4" t="s">
        <v>283</v>
      </c>
      <c r="B24" s="19">
        <v>72695.94</v>
      </c>
      <c r="C24" s="19">
        <v>10412.629999999999</v>
      </c>
      <c r="D24" s="19">
        <v>0</v>
      </c>
      <c r="E24" s="19">
        <v>712.74</v>
      </c>
      <c r="F24" s="19">
        <v>4188.46</v>
      </c>
      <c r="G24" s="19">
        <v>14891.86</v>
      </c>
      <c r="H24" s="19">
        <v>3924.68</v>
      </c>
      <c r="I24" s="19">
        <v>2595.86</v>
      </c>
      <c r="J24" s="19">
        <v>0</v>
      </c>
      <c r="K24" s="19">
        <v>0</v>
      </c>
      <c r="L24" s="19">
        <v>7671.37</v>
      </c>
      <c r="M24" s="19">
        <v>7509.6</v>
      </c>
      <c r="N24" s="19">
        <v>6054.6</v>
      </c>
      <c r="O24" s="19">
        <v>6212.92</v>
      </c>
      <c r="P24" s="19">
        <v>0</v>
      </c>
      <c r="Q24" s="19">
        <v>0</v>
      </c>
      <c r="R24" s="19">
        <v>8521.2199999999993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</row>
    <row r="25" spans="1:24" x14ac:dyDescent="0.2">
      <c r="A25" s="4" t="s">
        <v>284</v>
      </c>
      <c r="B25" s="13" t="s">
        <v>73</v>
      </c>
      <c r="C25" s="13" t="s">
        <v>73</v>
      </c>
      <c r="D25" s="13" t="s">
        <v>73</v>
      </c>
      <c r="E25" s="13" t="s">
        <v>73</v>
      </c>
      <c r="F25" s="13" t="s">
        <v>73</v>
      </c>
      <c r="G25" s="13" t="s">
        <v>73</v>
      </c>
      <c r="H25" s="13" t="s">
        <v>73</v>
      </c>
      <c r="I25" s="13" t="s">
        <v>73</v>
      </c>
      <c r="J25" s="13" t="s">
        <v>73</v>
      </c>
      <c r="K25" s="13" t="s">
        <v>73</v>
      </c>
      <c r="L25" s="13" t="s">
        <v>73</v>
      </c>
      <c r="M25" s="13" t="s">
        <v>73</v>
      </c>
      <c r="N25" s="13" t="s">
        <v>73</v>
      </c>
      <c r="O25" s="13" t="s">
        <v>73</v>
      </c>
      <c r="P25" s="13" t="s">
        <v>73</v>
      </c>
      <c r="Q25" s="13" t="s">
        <v>73</v>
      </c>
      <c r="R25" s="13" t="s">
        <v>73</v>
      </c>
      <c r="S25" s="13" t="s">
        <v>73</v>
      </c>
      <c r="T25" s="13" t="s">
        <v>73</v>
      </c>
      <c r="U25" s="13" t="s">
        <v>73</v>
      </c>
      <c r="V25" s="13" t="s">
        <v>73</v>
      </c>
      <c r="W25" s="13" t="s">
        <v>73</v>
      </c>
      <c r="X25" s="13" t="s">
        <v>73</v>
      </c>
    </row>
    <row r="26" spans="1:24" x14ac:dyDescent="0.2">
      <c r="A26" s="4" t="s">
        <v>74</v>
      </c>
      <c r="B26" s="14">
        <v>15015.44</v>
      </c>
      <c r="C26" s="14">
        <v>0</v>
      </c>
      <c r="D26" s="14">
        <v>3153.85</v>
      </c>
      <c r="E26" s="14">
        <v>0</v>
      </c>
      <c r="F26" s="14">
        <v>0</v>
      </c>
      <c r="G26" s="14">
        <v>3848.18</v>
      </c>
      <c r="H26" s="14">
        <v>3374.97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4638.4399999999996</v>
      </c>
      <c r="V26" s="14">
        <v>0</v>
      </c>
      <c r="W26" s="14">
        <v>0</v>
      </c>
      <c r="X26" s="14">
        <v>0</v>
      </c>
    </row>
    <row r="27" spans="1:24" x14ac:dyDescent="0.2">
      <c r="A27" s="4" t="s">
        <v>75</v>
      </c>
      <c r="B27" s="14">
        <v>99.38</v>
      </c>
      <c r="C27" s="14">
        <v>0</v>
      </c>
      <c r="D27" s="14">
        <v>0</v>
      </c>
      <c r="E27" s="14">
        <v>0</v>
      </c>
      <c r="F27" s="14">
        <v>0</v>
      </c>
      <c r="G27" s="14">
        <v>19.88</v>
      </c>
      <c r="H27" s="14">
        <v>79.5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</row>
    <row r="28" spans="1:24" x14ac:dyDescent="0.2">
      <c r="A28" s="4" t="s">
        <v>78</v>
      </c>
      <c r="B28" s="14">
        <v>-1425.97</v>
      </c>
      <c r="C28" s="14">
        <v>0</v>
      </c>
      <c r="D28" s="14">
        <v>54.5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-479.54</v>
      </c>
      <c r="T28" s="14">
        <v>-1051.3800000000001</v>
      </c>
      <c r="U28" s="14">
        <v>113.68</v>
      </c>
      <c r="V28" s="14">
        <v>-63.23</v>
      </c>
      <c r="W28" s="14">
        <v>0</v>
      </c>
      <c r="X28" s="14">
        <v>0</v>
      </c>
    </row>
    <row r="29" spans="1:24" x14ac:dyDescent="0.2">
      <c r="A29" s="4" t="s">
        <v>285</v>
      </c>
      <c r="B29" s="19">
        <v>13688.85</v>
      </c>
      <c r="C29" s="19">
        <v>0</v>
      </c>
      <c r="D29" s="19">
        <v>3208.35</v>
      </c>
      <c r="E29" s="19">
        <v>0</v>
      </c>
      <c r="F29" s="19">
        <v>0</v>
      </c>
      <c r="G29" s="19">
        <v>3868.06</v>
      </c>
      <c r="H29" s="19">
        <v>3454.47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-479.54</v>
      </c>
      <c r="T29" s="19">
        <v>-1051.3800000000001</v>
      </c>
      <c r="U29" s="19">
        <v>4752.12</v>
      </c>
      <c r="V29" s="19">
        <v>-63.23</v>
      </c>
      <c r="W29" s="19">
        <v>0</v>
      </c>
      <c r="X29" s="19">
        <v>0</v>
      </c>
    </row>
    <row r="30" spans="1:24" x14ac:dyDescent="0.2">
      <c r="A30" s="4" t="s">
        <v>286</v>
      </c>
      <c r="B30" s="13" t="s">
        <v>73</v>
      </c>
      <c r="C30" s="13" t="s">
        <v>73</v>
      </c>
      <c r="D30" s="13" t="s">
        <v>73</v>
      </c>
      <c r="E30" s="13" t="s">
        <v>73</v>
      </c>
      <c r="F30" s="13" t="s">
        <v>73</v>
      </c>
      <c r="G30" s="13" t="s">
        <v>73</v>
      </c>
      <c r="H30" s="13" t="s">
        <v>73</v>
      </c>
      <c r="I30" s="13" t="s">
        <v>73</v>
      </c>
      <c r="J30" s="13" t="s">
        <v>73</v>
      </c>
      <c r="K30" s="13" t="s">
        <v>73</v>
      </c>
      <c r="L30" s="13" t="s">
        <v>73</v>
      </c>
      <c r="M30" s="13" t="s">
        <v>73</v>
      </c>
      <c r="N30" s="13" t="s">
        <v>73</v>
      </c>
      <c r="O30" s="13" t="s">
        <v>73</v>
      </c>
      <c r="P30" s="13" t="s">
        <v>73</v>
      </c>
      <c r="Q30" s="13" t="s">
        <v>73</v>
      </c>
      <c r="R30" s="13" t="s">
        <v>73</v>
      </c>
      <c r="S30" s="13" t="s">
        <v>73</v>
      </c>
      <c r="T30" s="13" t="s">
        <v>73</v>
      </c>
      <c r="U30" s="13" t="s">
        <v>73</v>
      </c>
      <c r="V30" s="13" t="s">
        <v>73</v>
      </c>
      <c r="W30" s="13" t="s">
        <v>73</v>
      </c>
      <c r="X30" s="13" t="s">
        <v>73</v>
      </c>
    </row>
    <row r="31" spans="1:24" x14ac:dyDescent="0.2">
      <c r="A31" s="4" t="s">
        <v>74</v>
      </c>
      <c r="B31" s="14">
        <v>176026</v>
      </c>
      <c r="C31" s="14">
        <v>21067.5</v>
      </c>
      <c r="D31" s="14">
        <v>26230.1</v>
      </c>
      <c r="E31" s="14">
        <v>6829.47</v>
      </c>
      <c r="F31" s="14">
        <v>5703</v>
      </c>
      <c r="G31" s="14">
        <v>5017.07</v>
      </c>
      <c r="H31" s="14">
        <v>9767.7000000000007</v>
      </c>
      <c r="I31" s="14">
        <v>5144.93</v>
      </c>
      <c r="J31" s="14">
        <v>11704.29</v>
      </c>
      <c r="K31" s="14">
        <v>5910.22</v>
      </c>
      <c r="L31" s="14">
        <v>6408.53</v>
      </c>
      <c r="M31" s="14">
        <v>10415.06</v>
      </c>
      <c r="N31" s="14">
        <v>17453.73</v>
      </c>
      <c r="O31" s="14">
        <v>9431.08</v>
      </c>
      <c r="P31" s="14">
        <v>6569.72</v>
      </c>
      <c r="Q31" s="14">
        <v>3499.72</v>
      </c>
      <c r="R31" s="14">
        <v>15609.28</v>
      </c>
      <c r="S31" s="14">
        <v>3702.5</v>
      </c>
      <c r="T31" s="14">
        <v>2780.57</v>
      </c>
      <c r="U31" s="14">
        <v>298.57</v>
      </c>
      <c r="V31" s="14">
        <v>2482.96</v>
      </c>
      <c r="W31" s="14">
        <v>0</v>
      </c>
      <c r="X31" s="14">
        <v>0</v>
      </c>
    </row>
    <row r="32" spans="1:24" x14ac:dyDescent="0.2">
      <c r="A32" s="4" t="s">
        <v>75</v>
      </c>
      <c r="B32" s="14">
        <v>17226.71</v>
      </c>
      <c r="C32" s="14">
        <v>4171.8999999999996</v>
      </c>
      <c r="D32" s="14">
        <v>2631.42</v>
      </c>
      <c r="E32" s="14">
        <v>1028.98</v>
      </c>
      <c r="F32" s="14">
        <v>0</v>
      </c>
      <c r="G32" s="14">
        <v>-157.02000000000001</v>
      </c>
      <c r="H32" s="14">
        <v>264</v>
      </c>
      <c r="I32" s="14">
        <v>65.63</v>
      </c>
      <c r="J32" s="14">
        <v>728.57</v>
      </c>
      <c r="K32" s="14">
        <v>0</v>
      </c>
      <c r="L32" s="14">
        <v>824.68</v>
      </c>
      <c r="M32" s="14">
        <v>324</v>
      </c>
      <c r="N32" s="14">
        <v>4137.49</v>
      </c>
      <c r="O32" s="14">
        <v>740.63</v>
      </c>
      <c r="P32" s="14">
        <v>623.57000000000005</v>
      </c>
      <c r="Q32" s="14">
        <v>0</v>
      </c>
      <c r="R32" s="14">
        <v>1842.86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</row>
    <row r="33" spans="1:24" x14ac:dyDescent="0.2">
      <c r="A33" s="4" t="s">
        <v>76</v>
      </c>
      <c r="B33" s="14">
        <v>1232.1400000000001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803.57</v>
      </c>
      <c r="M33" s="14">
        <v>0</v>
      </c>
      <c r="N33" s="14">
        <v>0</v>
      </c>
      <c r="O33" s="14">
        <v>0</v>
      </c>
      <c r="P33" s="14">
        <v>428.57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</row>
    <row r="34" spans="1:24" x14ac:dyDescent="0.2">
      <c r="A34" s="4" t="s">
        <v>77</v>
      </c>
      <c r="B34" s="14">
        <v>190.72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117.86</v>
      </c>
      <c r="O34" s="14">
        <v>72.86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</row>
    <row r="35" spans="1:24" x14ac:dyDescent="0.2">
      <c r="A35" s="4" t="s">
        <v>78</v>
      </c>
      <c r="B35" s="14">
        <v>22922.04</v>
      </c>
      <c r="C35" s="14">
        <v>3579.18</v>
      </c>
      <c r="D35" s="14">
        <v>5656.47</v>
      </c>
      <c r="E35" s="14">
        <v>2073.27</v>
      </c>
      <c r="F35" s="14">
        <v>56.63</v>
      </c>
      <c r="G35" s="14">
        <v>250.61</v>
      </c>
      <c r="H35" s="14">
        <v>1295.04</v>
      </c>
      <c r="I35" s="14">
        <v>-42.32</v>
      </c>
      <c r="J35" s="14">
        <v>34.94</v>
      </c>
      <c r="K35" s="14">
        <v>1916.01</v>
      </c>
      <c r="L35" s="14">
        <v>0</v>
      </c>
      <c r="M35" s="14">
        <v>1342.74</v>
      </c>
      <c r="N35" s="14">
        <v>549.74</v>
      </c>
      <c r="O35" s="14">
        <v>2319.23</v>
      </c>
      <c r="P35" s="14">
        <v>1812.4</v>
      </c>
      <c r="Q35" s="14">
        <v>-925.44</v>
      </c>
      <c r="R35" s="14">
        <v>4283.84</v>
      </c>
      <c r="S35" s="14">
        <v>0</v>
      </c>
      <c r="T35" s="14">
        <v>210.96</v>
      </c>
      <c r="U35" s="14">
        <v>151.63</v>
      </c>
      <c r="V35" s="14">
        <v>-1642.89</v>
      </c>
      <c r="W35" s="14">
        <v>0</v>
      </c>
      <c r="X35" s="14">
        <v>0</v>
      </c>
    </row>
    <row r="36" spans="1:24" x14ac:dyDescent="0.2">
      <c r="A36" s="4" t="s">
        <v>287</v>
      </c>
      <c r="B36" s="19">
        <v>217597.61</v>
      </c>
      <c r="C36" s="19">
        <v>28818.58</v>
      </c>
      <c r="D36" s="19">
        <v>34517.99</v>
      </c>
      <c r="E36" s="19">
        <v>9931.7199999999993</v>
      </c>
      <c r="F36" s="19">
        <v>5759.63</v>
      </c>
      <c r="G36" s="19">
        <v>5110.66</v>
      </c>
      <c r="H36" s="19">
        <v>11326.74</v>
      </c>
      <c r="I36" s="19">
        <v>5168.24</v>
      </c>
      <c r="J36" s="19">
        <v>12467.8</v>
      </c>
      <c r="K36" s="19">
        <v>7826.23</v>
      </c>
      <c r="L36" s="19">
        <v>8036.78</v>
      </c>
      <c r="M36" s="19">
        <v>12081.8</v>
      </c>
      <c r="N36" s="19">
        <v>22258.82</v>
      </c>
      <c r="O36" s="19">
        <v>12563.8</v>
      </c>
      <c r="P36" s="19">
        <v>9434.26</v>
      </c>
      <c r="Q36" s="19">
        <v>2574.2800000000002</v>
      </c>
      <c r="R36" s="19">
        <v>21735.98</v>
      </c>
      <c r="S36" s="19">
        <v>3702.5</v>
      </c>
      <c r="T36" s="19">
        <v>2991.53</v>
      </c>
      <c r="U36" s="19">
        <v>450.2</v>
      </c>
      <c r="V36" s="19">
        <v>840.07</v>
      </c>
      <c r="W36" s="19">
        <v>0</v>
      </c>
      <c r="X36" s="19">
        <v>0</v>
      </c>
    </row>
    <row r="37" spans="1:24" x14ac:dyDescent="0.2">
      <c r="A37" s="4" t="s">
        <v>288</v>
      </c>
      <c r="B37" s="13" t="s">
        <v>73</v>
      </c>
      <c r="C37" s="13" t="s">
        <v>73</v>
      </c>
      <c r="D37" s="13" t="s">
        <v>73</v>
      </c>
      <c r="E37" s="13" t="s">
        <v>73</v>
      </c>
      <c r="F37" s="13" t="s">
        <v>73</v>
      </c>
      <c r="G37" s="13" t="s">
        <v>73</v>
      </c>
      <c r="H37" s="13" t="s">
        <v>73</v>
      </c>
      <c r="I37" s="13" t="s">
        <v>73</v>
      </c>
      <c r="J37" s="13" t="s">
        <v>73</v>
      </c>
      <c r="K37" s="13" t="s">
        <v>73</v>
      </c>
      <c r="L37" s="13" t="s">
        <v>73</v>
      </c>
      <c r="M37" s="13" t="s">
        <v>73</v>
      </c>
      <c r="N37" s="13" t="s">
        <v>73</v>
      </c>
      <c r="O37" s="13" t="s">
        <v>73</v>
      </c>
      <c r="P37" s="13" t="s">
        <v>73</v>
      </c>
      <c r="Q37" s="13" t="s">
        <v>73</v>
      </c>
      <c r="R37" s="13" t="s">
        <v>73</v>
      </c>
      <c r="S37" s="13" t="s">
        <v>73</v>
      </c>
      <c r="T37" s="13" t="s">
        <v>73</v>
      </c>
      <c r="U37" s="13" t="s">
        <v>73</v>
      </c>
      <c r="V37" s="13" t="s">
        <v>73</v>
      </c>
      <c r="W37" s="13" t="s">
        <v>73</v>
      </c>
      <c r="X37" s="13" t="s">
        <v>73</v>
      </c>
    </row>
    <row r="38" spans="1:24" x14ac:dyDescent="0.2">
      <c r="A38" s="4" t="s">
        <v>74</v>
      </c>
      <c r="B38" s="14">
        <v>9890.4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3358.75</v>
      </c>
      <c r="K38" s="14">
        <v>0</v>
      </c>
      <c r="L38" s="14">
        <v>0</v>
      </c>
      <c r="M38" s="14">
        <v>0</v>
      </c>
      <c r="N38" s="14">
        <v>5560.22</v>
      </c>
      <c r="O38" s="14">
        <v>0</v>
      </c>
      <c r="P38" s="14">
        <v>971.43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2">
      <c r="A39" s="4" t="s">
        <v>75</v>
      </c>
      <c r="B39" s="14">
        <v>94.76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94.76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</row>
    <row r="40" spans="1:24" x14ac:dyDescent="0.2">
      <c r="A40" s="4" t="s">
        <v>77</v>
      </c>
      <c r="B40" s="14">
        <v>189.28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189.28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</row>
    <row r="41" spans="1:24" x14ac:dyDescent="0.2">
      <c r="A41" s="4" t="s">
        <v>78</v>
      </c>
      <c r="B41" s="14">
        <v>4414.58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1482.91</v>
      </c>
      <c r="K41" s="14">
        <v>0</v>
      </c>
      <c r="L41" s="14">
        <v>0</v>
      </c>
      <c r="M41" s="14">
        <v>0</v>
      </c>
      <c r="N41" s="14">
        <v>2931.67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</row>
    <row r="42" spans="1:24" x14ac:dyDescent="0.2">
      <c r="A42" s="4" t="s">
        <v>289</v>
      </c>
      <c r="B42" s="19">
        <v>14589.02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4841.66</v>
      </c>
      <c r="K42" s="19">
        <v>0</v>
      </c>
      <c r="L42" s="19">
        <v>0</v>
      </c>
      <c r="M42" s="19">
        <v>0</v>
      </c>
      <c r="N42" s="19">
        <v>8775.93</v>
      </c>
      <c r="O42" s="19">
        <v>0</v>
      </c>
      <c r="P42" s="19">
        <v>971.43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</row>
    <row r="43" spans="1:24" x14ac:dyDescent="0.2">
      <c r="A43" s="4" t="s">
        <v>290</v>
      </c>
      <c r="B43" s="13" t="s">
        <v>73</v>
      </c>
      <c r="C43" s="13" t="s">
        <v>73</v>
      </c>
      <c r="D43" s="13" t="s">
        <v>73</v>
      </c>
      <c r="E43" s="13" t="s">
        <v>73</v>
      </c>
      <c r="F43" s="13" t="s">
        <v>73</v>
      </c>
      <c r="G43" s="13" t="s">
        <v>73</v>
      </c>
      <c r="H43" s="13" t="s">
        <v>73</v>
      </c>
      <c r="I43" s="13" t="s">
        <v>73</v>
      </c>
      <c r="J43" s="13" t="s">
        <v>73</v>
      </c>
      <c r="K43" s="13" t="s">
        <v>73</v>
      </c>
      <c r="L43" s="13" t="s">
        <v>73</v>
      </c>
      <c r="M43" s="13" t="s">
        <v>73</v>
      </c>
      <c r="N43" s="13" t="s">
        <v>73</v>
      </c>
      <c r="O43" s="13" t="s">
        <v>73</v>
      </c>
      <c r="P43" s="13" t="s">
        <v>73</v>
      </c>
      <c r="Q43" s="13" t="s">
        <v>73</v>
      </c>
      <c r="R43" s="13" t="s">
        <v>73</v>
      </c>
      <c r="S43" s="13" t="s">
        <v>73</v>
      </c>
      <c r="T43" s="13" t="s">
        <v>73</v>
      </c>
      <c r="U43" s="13" t="s">
        <v>73</v>
      </c>
      <c r="V43" s="13" t="s">
        <v>73</v>
      </c>
      <c r="W43" s="13" t="s">
        <v>73</v>
      </c>
      <c r="X43" s="13" t="s">
        <v>73</v>
      </c>
    </row>
    <row r="44" spans="1:24" x14ac:dyDescent="0.2">
      <c r="A44" s="4" t="s">
        <v>74</v>
      </c>
      <c r="B44" s="14">
        <v>6352.5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6352.5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</row>
    <row r="45" spans="1:24" x14ac:dyDescent="0.2">
      <c r="A45" s="4" t="s">
        <v>75</v>
      </c>
      <c r="B45" s="14">
        <v>325.13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325.13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</row>
    <row r="46" spans="1:24" x14ac:dyDescent="0.2">
      <c r="A46" s="4" t="s">
        <v>78</v>
      </c>
      <c r="B46" s="14">
        <v>392.19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392.19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</row>
    <row r="47" spans="1:24" x14ac:dyDescent="0.2">
      <c r="A47" s="4" t="s">
        <v>291</v>
      </c>
      <c r="B47" s="19">
        <v>7069.82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7069.82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</row>
    <row r="48" spans="1:24" x14ac:dyDescent="0.2">
      <c r="A48" s="4" t="s">
        <v>292</v>
      </c>
      <c r="B48" s="13" t="s">
        <v>73</v>
      </c>
      <c r="C48" s="13" t="s">
        <v>73</v>
      </c>
      <c r="D48" s="13" t="s">
        <v>73</v>
      </c>
      <c r="E48" s="13" t="s">
        <v>73</v>
      </c>
      <c r="F48" s="13" t="s">
        <v>73</v>
      </c>
      <c r="G48" s="13" t="s">
        <v>73</v>
      </c>
      <c r="H48" s="13" t="s">
        <v>73</v>
      </c>
      <c r="I48" s="13" t="s">
        <v>73</v>
      </c>
      <c r="J48" s="13" t="s">
        <v>73</v>
      </c>
      <c r="K48" s="13" t="s">
        <v>73</v>
      </c>
      <c r="L48" s="13" t="s">
        <v>73</v>
      </c>
      <c r="M48" s="13" t="s">
        <v>73</v>
      </c>
      <c r="N48" s="13" t="s">
        <v>73</v>
      </c>
      <c r="O48" s="13" t="s">
        <v>73</v>
      </c>
      <c r="P48" s="13" t="s">
        <v>73</v>
      </c>
      <c r="Q48" s="13" t="s">
        <v>73</v>
      </c>
      <c r="R48" s="13" t="s">
        <v>73</v>
      </c>
      <c r="S48" s="13" t="s">
        <v>73</v>
      </c>
      <c r="T48" s="13" t="s">
        <v>73</v>
      </c>
      <c r="U48" s="13" t="s">
        <v>73</v>
      </c>
      <c r="V48" s="13" t="s">
        <v>73</v>
      </c>
      <c r="W48" s="13" t="s">
        <v>73</v>
      </c>
      <c r="X48" s="13" t="s">
        <v>73</v>
      </c>
    </row>
    <row r="49" spans="1:24" x14ac:dyDescent="0.2">
      <c r="A49" s="4" t="s">
        <v>74</v>
      </c>
      <c r="B49" s="14">
        <v>77856.479999999996</v>
      </c>
      <c r="C49" s="14">
        <v>6240</v>
      </c>
      <c r="D49" s="14">
        <v>5032.1400000000003</v>
      </c>
      <c r="E49" s="14">
        <v>6006.14</v>
      </c>
      <c r="F49" s="14">
        <v>5116.18</v>
      </c>
      <c r="G49" s="14">
        <v>6799.18</v>
      </c>
      <c r="H49" s="14">
        <v>2436.96</v>
      </c>
      <c r="I49" s="14">
        <v>6034.18</v>
      </c>
      <c r="J49" s="14">
        <v>0</v>
      </c>
      <c r="K49" s="14">
        <v>930.29</v>
      </c>
      <c r="L49" s="14">
        <v>7482.5</v>
      </c>
      <c r="M49" s="14">
        <v>5014.8500000000004</v>
      </c>
      <c r="N49" s="14">
        <v>6961.74</v>
      </c>
      <c r="O49" s="14">
        <v>0</v>
      </c>
      <c r="P49" s="14">
        <v>6538.46</v>
      </c>
      <c r="Q49" s="14">
        <v>6102.86</v>
      </c>
      <c r="R49" s="14">
        <v>7161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</row>
    <row r="50" spans="1:24" x14ac:dyDescent="0.2">
      <c r="A50" s="4" t="s">
        <v>75</v>
      </c>
      <c r="B50" s="14">
        <v>4395.42</v>
      </c>
      <c r="C50" s="14">
        <v>1067.6300000000001</v>
      </c>
      <c r="D50" s="14">
        <v>279.43</v>
      </c>
      <c r="E50" s="14">
        <v>0</v>
      </c>
      <c r="F50" s="14">
        <v>116.68</v>
      </c>
      <c r="G50" s="14">
        <v>12.75</v>
      </c>
      <c r="H50" s="14">
        <v>0</v>
      </c>
      <c r="I50" s="14">
        <v>630.25</v>
      </c>
      <c r="J50" s="14">
        <v>0</v>
      </c>
      <c r="K50" s="14">
        <v>0</v>
      </c>
      <c r="L50" s="14">
        <v>0</v>
      </c>
      <c r="M50" s="14">
        <v>781.71</v>
      </c>
      <c r="N50" s="14">
        <v>1506.97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</row>
    <row r="51" spans="1:24" x14ac:dyDescent="0.2">
      <c r="A51" s="4" t="s">
        <v>76</v>
      </c>
      <c r="B51" s="14">
        <v>428.57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428.57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</row>
    <row r="52" spans="1:24" x14ac:dyDescent="0.2">
      <c r="A52" s="4" t="s">
        <v>77</v>
      </c>
      <c r="B52" s="14">
        <v>575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575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</row>
    <row r="53" spans="1:24" x14ac:dyDescent="0.2">
      <c r="A53" s="4" t="s">
        <v>78</v>
      </c>
      <c r="B53" s="14">
        <v>-534.04</v>
      </c>
      <c r="C53" s="14">
        <v>1045.8599999999999</v>
      </c>
      <c r="D53" s="14">
        <v>2127.63</v>
      </c>
      <c r="E53" s="14">
        <v>926.98</v>
      </c>
      <c r="F53" s="14">
        <v>265.2</v>
      </c>
      <c r="G53" s="14">
        <v>-3399.31</v>
      </c>
      <c r="H53" s="14">
        <v>-1259.51</v>
      </c>
      <c r="I53" s="14">
        <v>1555.85</v>
      </c>
      <c r="J53" s="14">
        <v>-162.59</v>
      </c>
      <c r="K53" s="14">
        <v>-39.049999999999997</v>
      </c>
      <c r="L53" s="14">
        <v>375.2</v>
      </c>
      <c r="M53" s="14">
        <v>-519.41999999999996</v>
      </c>
      <c r="N53" s="14">
        <v>440.77</v>
      </c>
      <c r="O53" s="14">
        <v>-3578.9</v>
      </c>
      <c r="P53" s="14">
        <v>150.65</v>
      </c>
      <c r="Q53" s="14">
        <v>1016.72</v>
      </c>
      <c r="R53" s="14">
        <v>519.88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</row>
    <row r="54" spans="1:24" x14ac:dyDescent="0.2">
      <c r="A54" s="4" t="s">
        <v>293</v>
      </c>
      <c r="B54" s="19">
        <v>82721.429999999993</v>
      </c>
      <c r="C54" s="19">
        <v>8353.49</v>
      </c>
      <c r="D54" s="19">
        <v>7439.2</v>
      </c>
      <c r="E54" s="19">
        <v>6933.12</v>
      </c>
      <c r="F54" s="19">
        <v>5498.06</v>
      </c>
      <c r="G54" s="19">
        <v>3412.62</v>
      </c>
      <c r="H54" s="19">
        <v>1177.45</v>
      </c>
      <c r="I54" s="19">
        <v>8220.2800000000007</v>
      </c>
      <c r="J54" s="19">
        <v>-162.59</v>
      </c>
      <c r="K54" s="19">
        <v>891.24</v>
      </c>
      <c r="L54" s="19">
        <v>7857.7</v>
      </c>
      <c r="M54" s="19">
        <v>5277.14</v>
      </c>
      <c r="N54" s="19">
        <v>9484.48</v>
      </c>
      <c r="O54" s="19">
        <v>-3578.9</v>
      </c>
      <c r="P54" s="19">
        <v>7117.68</v>
      </c>
      <c r="Q54" s="19">
        <v>7119.58</v>
      </c>
      <c r="R54" s="19">
        <v>7680.88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</row>
    <row r="55" spans="1:24" x14ac:dyDescent="0.2">
      <c r="A55" s="4" t="s">
        <v>294</v>
      </c>
      <c r="B55" s="13" t="s">
        <v>73</v>
      </c>
      <c r="C55" s="13" t="s">
        <v>73</v>
      </c>
      <c r="D55" s="13" t="s">
        <v>73</v>
      </c>
      <c r="E55" s="13" t="s">
        <v>73</v>
      </c>
      <c r="F55" s="13" t="s">
        <v>73</v>
      </c>
      <c r="G55" s="13" t="s">
        <v>73</v>
      </c>
      <c r="H55" s="13" t="s">
        <v>73</v>
      </c>
      <c r="I55" s="13" t="s">
        <v>73</v>
      </c>
      <c r="J55" s="13" t="s">
        <v>73</v>
      </c>
      <c r="K55" s="13" t="s">
        <v>73</v>
      </c>
      <c r="L55" s="13" t="s">
        <v>73</v>
      </c>
      <c r="M55" s="13" t="s">
        <v>73</v>
      </c>
      <c r="N55" s="13" t="s">
        <v>73</v>
      </c>
      <c r="O55" s="13" t="s">
        <v>73</v>
      </c>
      <c r="P55" s="13" t="s">
        <v>73</v>
      </c>
      <c r="Q55" s="13" t="s">
        <v>73</v>
      </c>
      <c r="R55" s="13" t="s">
        <v>73</v>
      </c>
      <c r="S55" s="13" t="s">
        <v>73</v>
      </c>
      <c r="T55" s="13" t="s">
        <v>73</v>
      </c>
      <c r="U55" s="13" t="s">
        <v>73</v>
      </c>
      <c r="V55" s="13" t="s">
        <v>73</v>
      </c>
      <c r="W55" s="13" t="s">
        <v>73</v>
      </c>
      <c r="X55" s="13" t="s">
        <v>73</v>
      </c>
    </row>
    <row r="56" spans="1:24" x14ac:dyDescent="0.2">
      <c r="A56" s="4" t="s">
        <v>74</v>
      </c>
      <c r="B56" s="14">
        <v>348467.36</v>
      </c>
      <c r="C56" s="14">
        <v>14515.43</v>
      </c>
      <c r="D56" s="14">
        <v>5149.57</v>
      </c>
      <c r="E56" s="14">
        <v>16668.07</v>
      </c>
      <c r="F56" s="14">
        <v>20143.04</v>
      </c>
      <c r="G56" s="14">
        <v>13456.92</v>
      </c>
      <c r="H56" s="14">
        <v>19018.830000000002</v>
      </c>
      <c r="I56" s="14">
        <v>8962.9699999999993</v>
      </c>
      <c r="J56" s="14">
        <v>13670.31</v>
      </c>
      <c r="K56" s="14">
        <v>1713.75</v>
      </c>
      <c r="L56" s="14">
        <v>29108.04</v>
      </c>
      <c r="M56" s="14">
        <v>28523.66</v>
      </c>
      <c r="N56" s="14">
        <v>38381.78</v>
      </c>
      <c r="O56" s="14">
        <v>25848.639999999999</v>
      </c>
      <c r="P56" s="14">
        <v>25637.34</v>
      </c>
      <c r="Q56" s="14">
        <v>28495.14</v>
      </c>
      <c r="R56" s="14">
        <v>27415</v>
      </c>
      <c r="S56" s="14">
        <v>7556.18</v>
      </c>
      <c r="T56" s="14">
        <v>4585.6400000000003</v>
      </c>
      <c r="U56" s="14">
        <v>5153.32</v>
      </c>
      <c r="V56" s="14">
        <v>14463.73</v>
      </c>
      <c r="W56" s="14">
        <v>0</v>
      </c>
      <c r="X56" s="14">
        <v>0</v>
      </c>
    </row>
    <row r="57" spans="1:24" x14ac:dyDescent="0.2">
      <c r="A57" s="4" t="s">
        <v>75</v>
      </c>
      <c r="B57" s="14">
        <v>34955.96</v>
      </c>
      <c r="C57" s="14">
        <v>2033.14</v>
      </c>
      <c r="D57" s="14">
        <v>750.38</v>
      </c>
      <c r="E57" s="14">
        <v>3022.93</v>
      </c>
      <c r="F57" s="14">
        <v>330.01</v>
      </c>
      <c r="G57" s="14">
        <v>1643.63</v>
      </c>
      <c r="H57" s="14">
        <v>1081.3</v>
      </c>
      <c r="I57" s="14">
        <v>0</v>
      </c>
      <c r="J57" s="14">
        <v>511.83</v>
      </c>
      <c r="K57" s="14">
        <v>0</v>
      </c>
      <c r="L57" s="14">
        <v>2780.31</v>
      </c>
      <c r="M57" s="14">
        <v>420.47</v>
      </c>
      <c r="N57" s="14">
        <v>8173.13</v>
      </c>
      <c r="O57" s="14">
        <v>1997.2</v>
      </c>
      <c r="P57" s="14">
        <v>1333.79</v>
      </c>
      <c r="Q57" s="14">
        <v>3074.67</v>
      </c>
      <c r="R57" s="14">
        <v>6802.4</v>
      </c>
      <c r="S57" s="14">
        <v>0</v>
      </c>
      <c r="T57" s="14">
        <v>0</v>
      </c>
      <c r="U57" s="14">
        <v>0</v>
      </c>
      <c r="V57" s="14">
        <v>1000.77</v>
      </c>
      <c r="W57" s="14">
        <v>0</v>
      </c>
      <c r="X57" s="14">
        <v>0</v>
      </c>
    </row>
    <row r="58" spans="1:24" x14ac:dyDescent="0.2">
      <c r="A58" s="4" t="s">
        <v>76</v>
      </c>
      <c r="B58" s="14">
        <v>3567.86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803.57</v>
      </c>
      <c r="M58" s="14">
        <v>0</v>
      </c>
      <c r="N58" s="14">
        <v>550</v>
      </c>
      <c r="O58" s="14">
        <v>0</v>
      </c>
      <c r="P58" s="14">
        <v>2214.29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</row>
    <row r="59" spans="1:24" x14ac:dyDescent="0.2">
      <c r="A59" s="4" t="s">
        <v>77</v>
      </c>
      <c r="B59" s="14">
        <v>1428.57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14.29</v>
      </c>
      <c r="K59" s="14">
        <v>0</v>
      </c>
      <c r="L59" s="14">
        <v>0</v>
      </c>
      <c r="M59" s="14">
        <v>0</v>
      </c>
      <c r="N59" s="14">
        <v>107.14</v>
      </c>
      <c r="O59" s="14">
        <v>17.14</v>
      </c>
      <c r="P59" s="14">
        <v>1290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</row>
    <row r="60" spans="1:24" x14ac:dyDescent="0.2">
      <c r="A60" s="4" t="s">
        <v>78</v>
      </c>
      <c r="B60" s="14">
        <v>30003.51</v>
      </c>
      <c r="C60" s="14">
        <v>1976.65</v>
      </c>
      <c r="D60" s="14">
        <v>-1868.32</v>
      </c>
      <c r="E60" s="14">
        <v>-130.82</v>
      </c>
      <c r="F60" s="14">
        <v>208.91</v>
      </c>
      <c r="G60" s="14">
        <v>-743.79</v>
      </c>
      <c r="H60" s="14">
        <v>2307.3000000000002</v>
      </c>
      <c r="I60" s="14">
        <v>1452.38</v>
      </c>
      <c r="J60" s="14">
        <v>-677</v>
      </c>
      <c r="K60" s="14">
        <v>217.22</v>
      </c>
      <c r="L60" s="14">
        <v>-567.19000000000005</v>
      </c>
      <c r="M60" s="14">
        <v>2293.61</v>
      </c>
      <c r="N60" s="14">
        <v>7236.38</v>
      </c>
      <c r="O60" s="14">
        <v>6948.35</v>
      </c>
      <c r="P60" s="14">
        <v>1096.3699999999999</v>
      </c>
      <c r="Q60" s="14">
        <v>253.49</v>
      </c>
      <c r="R60" s="14">
        <v>3278.4</v>
      </c>
      <c r="S60" s="14">
        <v>1248.54</v>
      </c>
      <c r="T60" s="14">
        <v>570.98</v>
      </c>
      <c r="U60" s="14">
        <v>1016.34</v>
      </c>
      <c r="V60" s="14">
        <v>3885.71</v>
      </c>
      <c r="W60" s="14">
        <v>0</v>
      </c>
      <c r="X60" s="14">
        <v>0</v>
      </c>
    </row>
    <row r="61" spans="1:24" x14ac:dyDescent="0.2">
      <c r="A61" s="4" t="s">
        <v>295</v>
      </c>
      <c r="B61" s="19">
        <v>418423.26</v>
      </c>
      <c r="C61" s="19">
        <v>18525.22</v>
      </c>
      <c r="D61" s="19">
        <v>4031.63</v>
      </c>
      <c r="E61" s="19">
        <v>19560.18</v>
      </c>
      <c r="F61" s="19">
        <v>20681.96</v>
      </c>
      <c r="G61" s="19">
        <v>14356.76</v>
      </c>
      <c r="H61" s="19">
        <v>22407.43</v>
      </c>
      <c r="I61" s="19">
        <v>10415.35</v>
      </c>
      <c r="J61" s="19">
        <v>13519.43</v>
      </c>
      <c r="K61" s="19">
        <v>1930.97</v>
      </c>
      <c r="L61" s="19">
        <v>32124.73</v>
      </c>
      <c r="M61" s="19">
        <v>31237.74</v>
      </c>
      <c r="N61" s="19">
        <v>54448.43</v>
      </c>
      <c r="O61" s="19">
        <v>34811.33</v>
      </c>
      <c r="P61" s="19">
        <v>31571.79</v>
      </c>
      <c r="Q61" s="19">
        <v>31823.3</v>
      </c>
      <c r="R61" s="19">
        <v>37495.800000000003</v>
      </c>
      <c r="S61" s="19">
        <v>8804.7199999999993</v>
      </c>
      <c r="T61" s="19">
        <v>5156.62</v>
      </c>
      <c r="U61" s="19">
        <v>6169.66</v>
      </c>
      <c r="V61" s="19">
        <v>19350.21</v>
      </c>
      <c r="W61" s="19">
        <v>0</v>
      </c>
      <c r="X61" s="19">
        <v>0</v>
      </c>
    </row>
    <row r="62" spans="1:24" x14ac:dyDescent="0.2">
      <c r="A62" s="4" t="s">
        <v>296</v>
      </c>
      <c r="B62" s="13" t="s">
        <v>73</v>
      </c>
      <c r="C62" s="13" t="s">
        <v>73</v>
      </c>
      <c r="D62" s="13" t="s">
        <v>73</v>
      </c>
      <c r="E62" s="13" t="s">
        <v>73</v>
      </c>
      <c r="F62" s="13" t="s">
        <v>73</v>
      </c>
      <c r="G62" s="13" t="s">
        <v>73</v>
      </c>
      <c r="H62" s="13" t="s">
        <v>73</v>
      </c>
      <c r="I62" s="13" t="s">
        <v>73</v>
      </c>
      <c r="J62" s="13" t="s">
        <v>73</v>
      </c>
      <c r="K62" s="13" t="s">
        <v>73</v>
      </c>
      <c r="L62" s="13" t="s">
        <v>73</v>
      </c>
      <c r="M62" s="13" t="s">
        <v>73</v>
      </c>
      <c r="N62" s="13" t="s">
        <v>73</v>
      </c>
      <c r="O62" s="13" t="s">
        <v>73</v>
      </c>
      <c r="P62" s="13" t="s">
        <v>73</v>
      </c>
      <c r="Q62" s="13" t="s">
        <v>73</v>
      </c>
      <c r="R62" s="13" t="s">
        <v>73</v>
      </c>
      <c r="S62" s="13" t="s">
        <v>73</v>
      </c>
      <c r="T62" s="13" t="s">
        <v>73</v>
      </c>
      <c r="U62" s="13" t="s">
        <v>73</v>
      </c>
      <c r="V62" s="13" t="s">
        <v>73</v>
      </c>
      <c r="W62" s="13" t="s">
        <v>73</v>
      </c>
      <c r="X62" s="13" t="s">
        <v>73</v>
      </c>
    </row>
    <row r="63" spans="1:24" x14ac:dyDescent="0.2">
      <c r="A63" s="4" t="s">
        <v>74</v>
      </c>
      <c r="B63" s="14">
        <v>892914.62</v>
      </c>
      <c r="C63" s="14">
        <v>43400.94</v>
      </c>
      <c r="D63" s="14">
        <v>45260.47</v>
      </c>
      <c r="E63" s="14">
        <v>53129.77</v>
      </c>
      <c r="F63" s="14">
        <v>42490.17</v>
      </c>
      <c r="G63" s="14">
        <v>41150.97</v>
      </c>
      <c r="H63" s="14">
        <v>43945.22</v>
      </c>
      <c r="I63" s="14">
        <v>32764.35</v>
      </c>
      <c r="J63" s="14">
        <v>49012.17</v>
      </c>
      <c r="K63" s="14">
        <v>42245.64</v>
      </c>
      <c r="L63" s="14">
        <v>52821.22</v>
      </c>
      <c r="M63" s="14">
        <v>55830.84</v>
      </c>
      <c r="N63" s="14">
        <v>111379.6</v>
      </c>
      <c r="O63" s="14">
        <v>72016.100000000006</v>
      </c>
      <c r="P63" s="14">
        <v>79001.990000000005</v>
      </c>
      <c r="Q63" s="14">
        <v>58988.04</v>
      </c>
      <c r="R63" s="14">
        <v>47507.3</v>
      </c>
      <c r="S63" s="14">
        <v>4586.88</v>
      </c>
      <c r="T63" s="14">
        <v>6436.88</v>
      </c>
      <c r="U63" s="14">
        <v>4155.3599999999997</v>
      </c>
      <c r="V63" s="14">
        <v>6256.78</v>
      </c>
      <c r="W63" s="14">
        <v>533.92999999999995</v>
      </c>
      <c r="X63" s="14">
        <v>0</v>
      </c>
    </row>
    <row r="64" spans="1:24" x14ac:dyDescent="0.2">
      <c r="A64" s="4" t="s">
        <v>75</v>
      </c>
      <c r="B64" s="14">
        <v>68513.06</v>
      </c>
      <c r="C64" s="14">
        <v>4913.01</v>
      </c>
      <c r="D64" s="14">
        <v>4779.08</v>
      </c>
      <c r="E64" s="14">
        <v>2966.55</v>
      </c>
      <c r="F64" s="14">
        <v>1593.59</v>
      </c>
      <c r="G64" s="14">
        <v>2995.57</v>
      </c>
      <c r="H64" s="14">
        <v>209.85</v>
      </c>
      <c r="I64" s="14">
        <v>848.4</v>
      </c>
      <c r="J64" s="14">
        <v>2544.09</v>
      </c>
      <c r="K64" s="14">
        <v>5105.49</v>
      </c>
      <c r="L64" s="14">
        <v>754.5</v>
      </c>
      <c r="M64" s="14">
        <v>292.7</v>
      </c>
      <c r="N64" s="14">
        <v>9778.33</v>
      </c>
      <c r="O64" s="14">
        <v>5121.6099999999997</v>
      </c>
      <c r="P64" s="14">
        <v>7616.7</v>
      </c>
      <c r="Q64" s="14">
        <v>6355.24</v>
      </c>
      <c r="R64" s="14">
        <v>11756.09</v>
      </c>
      <c r="S64" s="14">
        <v>0</v>
      </c>
      <c r="T64" s="14">
        <v>185.62</v>
      </c>
      <c r="U64" s="14">
        <v>0</v>
      </c>
      <c r="V64" s="14">
        <v>696.64</v>
      </c>
      <c r="W64" s="14">
        <v>0</v>
      </c>
      <c r="X64" s="14">
        <v>0</v>
      </c>
    </row>
    <row r="65" spans="1:24" x14ac:dyDescent="0.2">
      <c r="A65" s="4" t="s">
        <v>76</v>
      </c>
      <c r="B65" s="14">
        <v>857.14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857.14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</row>
    <row r="66" spans="1:24" x14ac:dyDescent="0.2">
      <c r="A66" s="4" t="s">
        <v>77</v>
      </c>
      <c r="B66" s="14">
        <v>3918.67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669.29</v>
      </c>
      <c r="L66" s="14">
        <v>0</v>
      </c>
      <c r="M66" s="14">
        <v>0</v>
      </c>
      <c r="N66" s="14">
        <v>678.57</v>
      </c>
      <c r="O66" s="14">
        <v>274.29000000000002</v>
      </c>
      <c r="P66" s="14">
        <v>1910.72</v>
      </c>
      <c r="Q66" s="14">
        <v>0</v>
      </c>
      <c r="R66" s="14">
        <v>385.8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</row>
    <row r="67" spans="1:24" x14ac:dyDescent="0.2">
      <c r="A67" s="4" t="s">
        <v>78</v>
      </c>
      <c r="B67" s="14">
        <v>111979.67</v>
      </c>
      <c r="C67" s="14">
        <v>4899.6099999999997</v>
      </c>
      <c r="D67" s="14">
        <v>5002.22</v>
      </c>
      <c r="E67" s="14">
        <v>9121.18</v>
      </c>
      <c r="F67" s="14">
        <v>3756.27</v>
      </c>
      <c r="G67" s="14">
        <v>4647.92</v>
      </c>
      <c r="H67" s="14">
        <v>7154.27</v>
      </c>
      <c r="I67" s="14">
        <v>5779.14</v>
      </c>
      <c r="J67" s="14">
        <v>5784.07</v>
      </c>
      <c r="K67" s="14">
        <v>2349.4499999999998</v>
      </c>
      <c r="L67" s="14">
        <v>10163.41</v>
      </c>
      <c r="M67" s="14">
        <v>4225.7</v>
      </c>
      <c r="N67" s="14">
        <v>16004.77</v>
      </c>
      <c r="O67" s="14">
        <v>9349.85</v>
      </c>
      <c r="P67" s="14">
        <v>10697.34</v>
      </c>
      <c r="Q67" s="14">
        <v>1525.84</v>
      </c>
      <c r="R67" s="14">
        <v>8188.43</v>
      </c>
      <c r="S67" s="14">
        <v>1082.05</v>
      </c>
      <c r="T67" s="14">
        <v>846.93</v>
      </c>
      <c r="U67" s="14">
        <v>509.01</v>
      </c>
      <c r="V67" s="14">
        <v>825.32</v>
      </c>
      <c r="W67" s="14">
        <v>344.12</v>
      </c>
      <c r="X67" s="14">
        <v>-277.23</v>
      </c>
    </row>
    <row r="68" spans="1:24" x14ac:dyDescent="0.2">
      <c r="A68" s="4" t="s">
        <v>297</v>
      </c>
      <c r="B68" s="19">
        <v>1078183.1599999999</v>
      </c>
      <c r="C68" s="19">
        <v>53213.56</v>
      </c>
      <c r="D68" s="19">
        <v>55041.77</v>
      </c>
      <c r="E68" s="19">
        <v>65217.5</v>
      </c>
      <c r="F68" s="19">
        <v>47840.03</v>
      </c>
      <c r="G68" s="19">
        <v>48794.46</v>
      </c>
      <c r="H68" s="19">
        <v>51309.34</v>
      </c>
      <c r="I68" s="19">
        <v>39391.89</v>
      </c>
      <c r="J68" s="19">
        <v>57340.33</v>
      </c>
      <c r="K68" s="19">
        <v>50369.87</v>
      </c>
      <c r="L68" s="19">
        <v>63739.13</v>
      </c>
      <c r="M68" s="19">
        <v>60349.24</v>
      </c>
      <c r="N68" s="19">
        <v>137841.26999999999</v>
      </c>
      <c r="O68" s="19">
        <v>86761.85</v>
      </c>
      <c r="P68" s="19">
        <v>100083.89</v>
      </c>
      <c r="Q68" s="19">
        <v>66869.119999999995</v>
      </c>
      <c r="R68" s="19">
        <v>67837.62</v>
      </c>
      <c r="S68" s="19">
        <v>5668.93</v>
      </c>
      <c r="T68" s="19">
        <v>7469.43</v>
      </c>
      <c r="U68" s="19">
        <v>4664.37</v>
      </c>
      <c r="V68" s="19">
        <v>7778.74</v>
      </c>
      <c r="W68" s="19">
        <v>878.05</v>
      </c>
      <c r="X68" s="19">
        <v>-277.23</v>
      </c>
    </row>
    <row r="69" spans="1:24" x14ac:dyDescent="0.2">
      <c r="A69" s="4" t="s">
        <v>298</v>
      </c>
      <c r="B69" s="13" t="s">
        <v>73</v>
      </c>
      <c r="C69" s="13" t="s">
        <v>73</v>
      </c>
      <c r="D69" s="13" t="s">
        <v>73</v>
      </c>
      <c r="E69" s="13" t="s">
        <v>73</v>
      </c>
      <c r="F69" s="13" t="s">
        <v>73</v>
      </c>
      <c r="G69" s="13" t="s">
        <v>73</v>
      </c>
      <c r="H69" s="13" t="s">
        <v>73</v>
      </c>
      <c r="I69" s="13" t="s">
        <v>73</v>
      </c>
      <c r="J69" s="13" t="s">
        <v>73</v>
      </c>
      <c r="K69" s="13" t="s">
        <v>73</v>
      </c>
      <c r="L69" s="13" t="s">
        <v>73</v>
      </c>
      <c r="M69" s="13" t="s">
        <v>73</v>
      </c>
      <c r="N69" s="13" t="s">
        <v>73</v>
      </c>
      <c r="O69" s="13" t="s">
        <v>73</v>
      </c>
      <c r="P69" s="13" t="s">
        <v>73</v>
      </c>
      <c r="Q69" s="13" t="s">
        <v>73</v>
      </c>
      <c r="R69" s="13" t="s">
        <v>73</v>
      </c>
      <c r="S69" s="13" t="s">
        <v>73</v>
      </c>
      <c r="T69" s="13" t="s">
        <v>73</v>
      </c>
      <c r="U69" s="13" t="s">
        <v>73</v>
      </c>
      <c r="V69" s="13" t="s">
        <v>73</v>
      </c>
      <c r="W69" s="13" t="s">
        <v>73</v>
      </c>
      <c r="X69" s="13" t="s">
        <v>73</v>
      </c>
    </row>
    <row r="70" spans="1:24" x14ac:dyDescent="0.2">
      <c r="A70" s="4" t="s">
        <v>74</v>
      </c>
      <c r="B70" s="14">
        <v>619.29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619.29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</row>
    <row r="71" spans="1:24" x14ac:dyDescent="0.2">
      <c r="A71" s="4" t="s">
        <v>75</v>
      </c>
      <c r="B71" s="14">
        <v>3.65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3.65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</row>
    <row r="72" spans="1:24" x14ac:dyDescent="0.2">
      <c r="A72" s="4" t="s">
        <v>299</v>
      </c>
      <c r="B72" s="19">
        <v>622.94000000000005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622.94000000000005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</row>
    <row r="73" spans="1:24" x14ac:dyDescent="0.2">
      <c r="A73" s="4" t="s">
        <v>300</v>
      </c>
      <c r="B73" s="13" t="s">
        <v>73</v>
      </c>
      <c r="C73" s="13" t="s">
        <v>73</v>
      </c>
      <c r="D73" s="13" t="s">
        <v>73</v>
      </c>
      <c r="E73" s="13" t="s">
        <v>73</v>
      </c>
      <c r="F73" s="13" t="s">
        <v>73</v>
      </c>
      <c r="G73" s="13" t="s">
        <v>73</v>
      </c>
      <c r="H73" s="13" t="s">
        <v>73</v>
      </c>
      <c r="I73" s="13" t="s">
        <v>73</v>
      </c>
      <c r="J73" s="13" t="s">
        <v>73</v>
      </c>
      <c r="K73" s="13" t="s">
        <v>73</v>
      </c>
      <c r="L73" s="13" t="s">
        <v>73</v>
      </c>
      <c r="M73" s="13" t="s">
        <v>73</v>
      </c>
      <c r="N73" s="13" t="s">
        <v>73</v>
      </c>
      <c r="O73" s="13" t="s">
        <v>73</v>
      </c>
      <c r="P73" s="13" t="s">
        <v>73</v>
      </c>
      <c r="Q73" s="13" t="s">
        <v>73</v>
      </c>
      <c r="R73" s="13" t="s">
        <v>73</v>
      </c>
      <c r="S73" s="13" t="s">
        <v>73</v>
      </c>
      <c r="T73" s="13" t="s">
        <v>73</v>
      </c>
      <c r="U73" s="13" t="s">
        <v>73</v>
      </c>
      <c r="V73" s="13" t="s">
        <v>73</v>
      </c>
      <c r="W73" s="13" t="s">
        <v>73</v>
      </c>
      <c r="X73" s="13" t="s">
        <v>73</v>
      </c>
    </row>
    <row r="74" spans="1:24" x14ac:dyDescent="0.2">
      <c r="A74" s="4" t="s">
        <v>74</v>
      </c>
      <c r="B74" s="14">
        <v>36694.199999999997</v>
      </c>
      <c r="C74" s="14">
        <v>2826</v>
      </c>
      <c r="D74" s="14">
        <v>2467.2199999999998</v>
      </c>
      <c r="E74" s="14">
        <v>2698.13</v>
      </c>
      <c r="F74" s="14">
        <v>2591.25</v>
      </c>
      <c r="G74" s="14">
        <v>1773</v>
      </c>
      <c r="H74" s="14">
        <v>1880.93</v>
      </c>
      <c r="I74" s="14">
        <v>2686.5</v>
      </c>
      <c r="J74" s="14">
        <v>0</v>
      </c>
      <c r="K74" s="14">
        <v>0</v>
      </c>
      <c r="L74" s="14">
        <v>3897.15</v>
      </c>
      <c r="M74" s="14">
        <v>1059.29</v>
      </c>
      <c r="N74" s="14">
        <v>3680</v>
      </c>
      <c r="O74" s="14">
        <v>3846.16</v>
      </c>
      <c r="P74" s="14">
        <v>0</v>
      </c>
      <c r="Q74" s="14">
        <v>3928.57</v>
      </c>
      <c r="R74" s="14">
        <v>3360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</row>
    <row r="75" spans="1:24" x14ac:dyDescent="0.2">
      <c r="A75" s="4" t="s">
        <v>75</v>
      </c>
      <c r="B75" s="14">
        <v>1199.6600000000001</v>
      </c>
      <c r="C75" s="14">
        <v>207.33</v>
      </c>
      <c r="D75" s="14">
        <v>134.19999999999999</v>
      </c>
      <c r="E75" s="14">
        <v>6.57</v>
      </c>
      <c r="F75" s="14">
        <v>31.5</v>
      </c>
      <c r="G75" s="14">
        <v>192.63</v>
      </c>
      <c r="H75" s="14">
        <v>24.59</v>
      </c>
      <c r="I75" s="14">
        <v>118.6</v>
      </c>
      <c r="J75" s="14">
        <v>0</v>
      </c>
      <c r="K75" s="14">
        <v>0</v>
      </c>
      <c r="L75" s="14">
        <v>0</v>
      </c>
      <c r="M75" s="14">
        <v>0</v>
      </c>
      <c r="N75" s="14">
        <v>484.24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</row>
    <row r="76" spans="1:24" x14ac:dyDescent="0.2">
      <c r="A76" s="4" t="s">
        <v>78</v>
      </c>
      <c r="B76" s="14">
        <v>887.07</v>
      </c>
      <c r="C76" s="14">
        <v>13.42</v>
      </c>
      <c r="D76" s="14">
        <v>244.14</v>
      </c>
      <c r="E76" s="14">
        <v>477.64</v>
      </c>
      <c r="F76" s="14">
        <v>-421.98</v>
      </c>
      <c r="G76" s="14">
        <v>3.14</v>
      </c>
      <c r="H76" s="14">
        <v>330.74</v>
      </c>
      <c r="I76" s="14">
        <v>1202.06</v>
      </c>
      <c r="J76" s="14">
        <v>-805.2</v>
      </c>
      <c r="K76" s="14">
        <v>-250.18</v>
      </c>
      <c r="L76" s="14">
        <v>183.22</v>
      </c>
      <c r="M76" s="14">
        <v>182.5</v>
      </c>
      <c r="N76" s="14">
        <v>-129.43</v>
      </c>
      <c r="O76" s="14">
        <v>-21.82</v>
      </c>
      <c r="P76" s="14">
        <v>-590.75</v>
      </c>
      <c r="Q76" s="14">
        <v>-14.33</v>
      </c>
      <c r="R76" s="14">
        <v>483.9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</row>
    <row r="77" spans="1:24" x14ac:dyDescent="0.2">
      <c r="A77" s="4" t="s">
        <v>301</v>
      </c>
      <c r="B77" s="19">
        <v>38780.93</v>
      </c>
      <c r="C77" s="19">
        <v>3046.75</v>
      </c>
      <c r="D77" s="19">
        <v>2845.56</v>
      </c>
      <c r="E77" s="19">
        <v>3182.34</v>
      </c>
      <c r="F77" s="19">
        <v>2200.77</v>
      </c>
      <c r="G77" s="19">
        <v>1968.77</v>
      </c>
      <c r="H77" s="19">
        <v>2236.2600000000002</v>
      </c>
      <c r="I77" s="19">
        <v>4007.16</v>
      </c>
      <c r="J77" s="19">
        <v>-805.2</v>
      </c>
      <c r="K77" s="19">
        <v>-250.18</v>
      </c>
      <c r="L77" s="19">
        <v>4080.37</v>
      </c>
      <c r="M77" s="19">
        <v>1241.79</v>
      </c>
      <c r="N77" s="19">
        <v>4034.81</v>
      </c>
      <c r="O77" s="19">
        <v>3824.34</v>
      </c>
      <c r="P77" s="19">
        <v>-590.75</v>
      </c>
      <c r="Q77" s="19">
        <v>3914.24</v>
      </c>
      <c r="R77" s="19">
        <v>3843.9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</row>
    <row r="78" spans="1:24" x14ac:dyDescent="0.2">
      <c r="A78" s="4" t="s">
        <v>302</v>
      </c>
      <c r="B78" s="13" t="s">
        <v>73</v>
      </c>
      <c r="C78" s="13" t="s">
        <v>73</v>
      </c>
      <c r="D78" s="13" t="s">
        <v>73</v>
      </c>
      <c r="E78" s="13" t="s">
        <v>73</v>
      </c>
      <c r="F78" s="13" t="s">
        <v>73</v>
      </c>
      <c r="G78" s="13" t="s">
        <v>73</v>
      </c>
      <c r="H78" s="13" t="s">
        <v>73</v>
      </c>
      <c r="I78" s="13" t="s">
        <v>73</v>
      </c>
      <c r="J78" s="13" t="s">
        <v>73</v>
      </c>
      <c r="K78" s="13" t="s">
        <v>73</v>
      </c>
      <c r="L78" s="13" t="s">
        <v>73</v>
      </c>
      <c r="M78" s="13" t="s">
        <v>73</v>
      </c>
      <c r="N78" s="13" t="s">
        <v>73</v>
      </c>
      <c r="O78" s="13" t="s">
        <v>73</v>
      </c>
      <c r="P78" s="13" t="s">
        <v>73</v>
      </c>
      <c r="Q78" s="13" t="s">
        <v>73</v>
      </c>
      <c r="R78" s="13" t="s">
        <v>73</v>
      </c>
      <c r="S78" s="13" t="s">
        <v>73</v>
      </c>
      <c r="T78" s="13" t="s">
        <v>73</v>
      </c>
      <c r="U78" s="13" t="s">
        <v>73</v>
      </c>
      <c r="V78" s="13" t="s">
        <v>73</v>
      </c>
      <c r="W78" s="13" t="s">
        <v>73</v>
      </c>
      <c r="X78" s="13" t="s">
        <v>73</v>
      </c>
    </row>
    <row r="79" spans="1:24" x14ac:dyDescent="0.2">
      <c r="A79" s="4" t="s">
        <v>74</v>
      </c>
      <c r="B79" s="14">
        <v>14655.86</v>
      </c>
      <c r="C79" s="14">
        <v>0</v>
      </c>
      <c r="D79" s="14">
        <v>0</v>
      </c>
      <c r="E79" s="14">
        <v>0</v>
      </c>
      <c r="F79" s="14">
        <v>2318.79</v>
      </c>
      <c r="G79" s="14">
        <v>0</v>
      </c>
      <c r="H79" s="14">
        <v>0</v>
      </c>
      <c r="I79" s="14">
        <v>0</v>
      </c>
      <c r="J79" s="14">
        <v>2839.75</v>
      </c>
      <c r="K79" s="14">
        <v>0</v>
      </c>
      <c r="L79" s="14">
        <v>0</v>
      </c>
      <c r="M79" s="14">
        <v>1617.86</v>
      </c>
      <c r="N79" s="14">
        <v>6230</v>
      </c>
      <c r="O79" s="14">
        <v>0</v>
      </c>
      <c r="P79" s="14">
        <v>1649.46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</row>
    <row r="80" spans="1:24" x14ac:dyDescent="0.2">
      <c r="A80" s="4" t="s">
        <v>75</v>
      </c>
      <c r="B80" s="14">
        <v>542.5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127.86</v>
      </c>
      <c r="K80" s="14">
        <v>0</v>
      </c>
      <c r="L80" s="14">
        <v>0</v>
      </c>
      <c r="M80" s="14">
        <v>70.709999999999994</v>
      </c>
      <c r="N80" s="14">
        <v>343.93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</row>
    <row r="81" spans="1:24" x14ac:dyDescent="0.2">
      <c r="A81" s="4" t="s">
        <v>77</v>
      </c>
      <c r="B81" s="14">
        <v>607.14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607.14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</row>
    <row r="82" spans="1:24" x14ac:dyDescent="0.2">
      <c r="A82" s="4" t="s">
        <v>78</v>
      </c>
      <c r="B82" s="14">
        <v>2981.66</v>
      </c>
      <c r="C82" s="14">
        <v>0</v>
      </c>
      <c r="D82" s="14">
        <v>0</v>
      </c>
      <c r="E82" s="14">
        <v>0</v>
      </c>
      <c r="F82" s="14">
        <v>557.52</v>
      </c>
      <c r="G82" s="14">
        <v>0</v>
      </c>
      <c r="H82" s="14">
        <v>0</v>
      </c>
      <c r="I82" s="14">
        <v>0</v>
      </c>
      <c r="J82" s="14">
        <v>1722.49</v>
      </c>
      <c r="K82" s="14">
        <v>0</v>
      </c>
      <c r="L82" s="14">
        <v>0</v>
      </c>
      <c r="M82" s="14">
        <v>0</v>
      </c>
      <c r="N82" s="14">
        <v>558.41999999999996</v>
      </c>
      <c r="O82" s="14">
        <v>0</v>
      </c>
      <c r="P82" s="14">
        <v>143.22999999999999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</row>
    <row r="83" spans="1:24" x14ac:dyDescent="0.2">
      <c r="A83" s="4" t="s">
        <v>303</v>
      </c>
      <c r="B83" s="19">
        <v>18787.16</v>
      </c>
      <c r="C83" s="19">
        <v>0</v>
      </c>
      <c r="D83" s="19">
        <v>0</v>
      </c>
      <c r="E83" s="19">
        <v>0</v>
      </c>
      <c r="F83" s="19">
        <v>2876.31</v>
      </c>
      <c r="G83" s="19">
        <v>0</v>
      </c>
      <c r="H83" s="19">
        <v>0</v>
      </c>
      <c r="I83" s="19">
        <v>0</v>
      </c>
      <c r="J83" s="19">
        <v>4690.1000000000004</v>
      </c>
      <c r="K83" s="19">
        <v>0</v>
      </c>
      <c r="L83" s="19">
        <v>0</v>
      </c>
      <c r="M83" s="19">
        <v>1688.57</v>
      </c>
      <c r="N83" s="19">
        <v>7132.35</v>
      </c>
      <c r="O83" s="19">
        <v>0</v>
      </c>
      <c r="P83" s="19">
        <v>2399.83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</row>
    <row r="84" spans="1:24" x14ac:dyDescent="0.2">
      <c r="A84" s="4" t="s">
        <v>304</v>
      </c>
      <c r="B84" s="13" t="s">
        <v>73</v>
      </c>
      <c r="C84" s="13" t="s">
        <v>73</v>
      </c>
      <c r="D84" s="13" t="s">
        <v>73</v>
      </c>
      <c r="E84" s="13" t="s">
        <v>73</v>
      </c>
      <c r="F84" s="13" t="s">
        <v>73</v>
      </c>
      <c r="G84" s="13" t="s">
        <v>73</v>
      </c>
      <c r="H84" s="13" t="s">
        <v>73</v>
      </c>
      <c r="I84" s="13" t="s">
        <v>73</v>
      </c>
      <c r="J84" s="13" t="s">
        <v>73</v>
      </c>
      <c r="K84" s="13" t="s">
        <v>73</v>
      </c>
      <c r="L84" s="13" t="s">
        <v>73</v>
      </c>
      <c r="M84" s="13" t="s">
        <v>73</v>
      </c>
      <c r="N84" s="13" t="s">
        <v>73</v>
      </c>
      <c r="O84" s="13" t="s">
        <v>73</v>
      </c>
      <c r="P84" s="13" t="s">
        <v>73</v>
      </c>
      <c r="Q84" s="13" t="s">
        <v>73</v>
      </c>
      <c r="R84" s="13" t="s">
        <v>73</v>
      </c>
      <c r="S84" s="13" t="s">
        <v>73</v>
      </c>
      <c r="T84" s="13" t="s">
        <v>73</v>
      </c>
      <c r="U84" s="13" t="s">
        <v>73</v>
      </c>
      <c r="V84" s="13" t="s">
        <v>73</v>
      </c>
      <c r="W84" s="13" t="s">
        <v>73</v>
      </c>
      <c r="X84" s="13" t="s">
        <v>73</v>
      </c>
    </row>
    <row r="85" spans="1:24" x14ac:dyDescent="0.2">
      <c r="A85" s="4" t="s">
        <v>74</v>
      </c>
      <c r="B85" s="14">
        <v>39862.6</v>
      </c>
      <c r="C85" s="14">
        <v>2729.6</v>
      </c>
      <c r="D85" s="14">
        <v>2365.14</v>
      </c>
      <c r="E85" s="14">
        <v>1774.29</v>
      </c>
      <c r="F85" s="14">
        <v>2814.43</v>
      </c>
      <c r="G85" s="14">
        <v>2890.13</v>
      </c>
      <c r="H85" s="14">
        <v>1929.14</v>
      </c>
      <c r="I85" s="14">
        <v>2436.5700000000002</v>
      </c>
      <c r="J85" s="14">
        <v>3327.5</v>
      </c>
      <c r="K85" s="14">
        <v>2754</v>
      </c>
      <c r="L85" s="14">
        <v>840</v>
      </c>
      <c r="M85" s="14">
        <v>2601.42</v>
      </c>
      <c r="N85" s="14">
        <v>658.93</v>
      </c>
      <c r="O85" s="14">
        <v>2880</v>
      </c>
      <c r="P85" s="14">
        <v>2599.7199999999998</v>
      </c>
      <c r="Q85" s="14">
        <v>1805.72</v>
      </c>
      <c r="R85" s="14">
        <v>1024.29</v>
      </c>
      <c r="S85" s="14">
        <v>0</v>
      </c>
      <c r="T85" s="14">
        <v>3560.11</v>
      </c>
      <c r="U85" s="14">
        <v>871.61</v>
      </c>
      <c r="V85" s="14">
        <v>0</v>
      </c>
      <c r="W85" s="14">
        <v>0</v>
      </c>
      <c r="X85" s="14">
        <v>0</v>
      </c>
    </row>
    <row r="86" spans="1:24" x14ac:dyDescent="0.2">
      <c r="A86" s="4" t="s">
        <v>75</v>
      </c>
      <c r="B86" s="14">
        <v>1601.35</v>
      </c>
      <c r="C86" s="14">
        <v>352.77</v>
      </c>
      <c r="D86" s="14">
        <v>0</v>
      </c>
      <c r="E86" s="14">
        <v>0</v>
      </c>
      <c r="F86" s="14">
        <v>81.96</v>
      </c>
      <c r="G86" s="14">
        <v>54.51</v>
      </c>
      <c r="H86" s="14">
        <v>0</v>
      </c>
      <c r="I86" s="14">
        <v>95.14</v>
      </c>
      <c r="J86" s="14">
        <v>247.48</v>
      </c>
      <c r="K86" s="14">
        <v>295.07</v>
      </c>
      <c r="L86" s="14">
        <v>0</v>
      </c>
      <c r="M86" s="14">
        <v>0</v>
      </c>
      <c r="N86" s="14">
        <v>7.71</v>
      </c>
      <c r="O86" s="14">
        <v>0</v>
      </c>
      <c r="P86" s="14">
        <v>277.70999999999998</v>
      </c>
      <c r="Q86" s="14">
        <v>0</v>
      </c>
      <c r="R86" s="14">
        <v>0</v>
      </c>
      <c r="S86" s="14">
        <v>0</v>
      </c>
      <c r="T86" s="14">
        <v>189</v>
      </c>
      <c r="U86" s="14">
        <v>0</v>
      </c>
      <c r="V86" s="14">
        <v>0</v>
      </c>
      <c r="W86" s="14">
        <v>0</v>
      </c>
      <c r="X86" s="14">
        <v>0</v>
      </c>
    </row>
    <row r="87" spans="1:24" x14ac:dyDescent="0.2">
      <c r="A87" s="4" t="s">
        <v>78</v>
      </c>
      <c r="B87" s="14">
        <v>3082.29</v>
      </c>
      <c r="C87" s="14">
        <v>769.7</v>
      </c>
      <c r="D87" s="14">
        <v>162.94999999999999</v>
      </c>
      <c r="E87" s="14">
        <v>439.82</v>
      </c>
      <c r="F87" s="14">
        <v>359.3</v>
      </c>
      <c r="G87" s="14">
        <v>-36.72</v>
      </c>
      <c r="H87" s="14">
        <v>208.46</v>
      </c>
      <c r="I87" s="14">
        <v>381.86</v>
      </c>
      <c r="J87" s="14">
        <v>420.66</v>
      </c>
      <c r="K87" s="14">
        <v>-40.35</v>
      </c>
      <c r="L87" s="14">
        <v>-92.35</v>
      </c>
      <c r="M87" s="14">
        <v>-44.95</v>
      </c>
      <c r="N87" s="14">
        <v>-50.04</v>
      </c>
      <c r="O87" s="14">
        <v>217.41</v>
      </c>
      <c r="P87" s="14">
        <v>196.86</v>
      </c>
      <c r="Q87" s="14">
        <v>654.1</v>
      </c>
      <c r="R87" s="14">
        <v>13.33</v>
      </c>
      <c r="S87" s="14">
        <v>0</v>
      </c>
      <c r="T87" s="14">
        <v>-201.43</v>
      </c>
      <c r="U87" s="14">
        <v>-194.22</v>
      </c>
      <c r="V87" s="14">
        <v>-82.1</v>
      </c>
      <c r="W87" s="14">
        <v>0</v>
      </c>
      <c r="X87" s="14">
        <v>0</v>
      </c>
    </row>
    <row r="88" spans="1:24" x14ac:dyDescent="0.2">
      <c r="A88" s="4" t="s">
        <v>305</v>
      </c>
      <c r="B88" s="19">
        <v>44546.239999999998</v>
      </c>
      <c r="C88" s="19">
        <v>3852.07</v>
      </c>
      <c r="D88" s="19">
        <v>2528.09</v>
      </c>
      <c r="E88" s="19">
        <v>2214.11</v>
      </c>
      <c r="F88" s="19">
        <v>3255.69</v>
      </c>
      <c r="G88" s="19">
        <v>2907.92</v>
      </c>
      <c r="H88" s="19">
        <v>2137.6</v>
      </c>
      <c r="I88" s="19">
        <v>2913.57</v>
      </c>
      <c r="J88" s="19">
        <v>3995.64</v>
      </c>
      <c r="K88" s="19">
        <v>3008.72</v>
      </c>
      <c r="L88" s="19">
        <v>747.65</v>
      </c>
      <c r="M88" s="19">
        <v>2556.4699999999998</v>
      </c>
      <c r="N88" s="19">
        <v>616.6</v>
      </c>
      <c r="O88" s="19">
        <v>3097.41</v>
      </c>
      <c r="P88" s="19">
        <v>3074.29</v>
      </c>
      <c r="Q88" s="19">
        <v>2459.8200000000002</v>
      </c>
      <c r="R88" s="19">
        <v>1037.6199999999999</v>
      </c>
      <c r="S88" s="19">
        <v>0</v>
      </c>
      <c r="T88" s="19">
        <v>3547.68</v>
      </c>
      <c r="U88" s="19">
        <v>677.39</v>
      </c>
      <c r="V88" s="19">
        <v>-82.1</v>
      </c>
      <c r="W88" s="19">
        <v>0</v>
      </c>
      <c r="X88" s="19">
        <v>0</v>
      </c>
    </row>
    <row r="89" spans="1:24" x14ac:dyDescent="0.2">
      <c r="A89" s="4" t="s">
        <v>306</v>
      </c>
      <c r="B89" s="13" t="s">
        <v>73</v>
      </c>
      <c r="C89" s="13" t="s">
        <v>73</v>
      </c>
      <c r="D89" s="13" t="s">
        <v>73</v>
      </c>
      <c r="E89" s="13" t="s">
        <v>73</v>
      </c>
      <c r="F89" s="13" t="s">
        <v>73</v>
      </c>
      <c r="G89" s="13" t="s">
        <v>73</v>
      </c>
      <c r="H89" s="13" t="s">
        <v>73</v>
      </c>
      <c r="I89" s="13" t="s">
        <v>73</v>
      </c>
      <c r="J89" s="13" t="s">
        <v>73</v>
      </c>
      <c r="K89" s="13" t="s">
        <v>73</v>
      </c>
      <c r="L89" s="13" t="s">
        <v>73</v>
      </c>
      <c r="M89" s="13" t="s">
        <v>73</v>
      </c>
      <c r="N89" s="13" t="s">
        <v>73</v>
      </c>
      <c r="O89" s="13" t="s">
        <v>73</v>
      </c>
      <c r="P89" s="13" t="s">
        <v>73</v>
      </c>
      <c r="Q89" s="13" t="s">
        <v>73</v>
      </c>
      <c r="R89" s="13" t="s">
        <v>73</v>
      </c>
      <c r="S89" s="13" t="s">
        <v>73</v>
      </c>
      <c r="T89" s="13" t="s">
        <v>73</v>
      </c>
      <c r="U89" s="13" t="s">
        <v>73</v>
      </c>
      <c r="V89" s="13" t="s">
        <v>73</v>
      </c>
      <c r="W89" s="13" t="s">
        <v>73</v>
      </c>
      <c r="X89" s="13" t="s">
        <v>73</v>
      </c>
    </row>
    <row r="90" spans="1:24" x14ac:dyDescent="0.2">
      <c r="A90" s="4" t="s">
        <v>74</v>
      </c>
      <c r="B90" s="14">
        <v>27420.98</v>
      </c>
      <c r="C90" s="14">
        <v>2480</v>
      </c>
      <c r="D90" s="14">
        <v>0</v>
      </c>
      <c r="E90" s="14">
        <v>2514.27</v>
      </c>
      <c r="F90" s="14">
        <v>0</v>
      </c>
      <c r="G90" s="14">
        <v>-569.57000000000005</v>
      </c>
      <c r="H90" s="14">
        <v>0</v>
      </c>
      <c r="I90" s="14">
        <v>0</v>
      </c>
      <c r="J90" s="14">
        <v>4769.28</v>
      </c>
      <c r="K90" s="14">
        <v>685.72</v>
      </c>
      <c r="L90" s="14">
        <v>0</v>
      </c>
      <c r="M90" s="14">
        <v>2683.99</v>
      </c>
      <c r="N90" s="14">
        <v>6796.39</v>
      </c>
      <c r="O90" s="14">
        <v>1783.4</v>
      </c>
      <c r="P90" s="14">
        <v>2190</v>
      </c>
      <c r="Q90" s="14">
        <v>0</v>
      </c>
      <c r="R90" s="14">
        <v>2400</v>
      </c>
      <c r="S90" s="14">
        <v>0</v>
      </c>
      <c r="T90" s="14">
        <v>0</v>
      </c>
      <c r="U90" s="14">
        <v>0</v>
      </c>
      <c r="V90" s="14">
        <v>1687.5</v>
      </c>
      <c r="W90" s="14">
        <v>0</v>
      </c>
      <c r="X90" s="14">
        <v>0</v>
      </c>
    </row>
    <row r="91" spans="1:24" x14ac:dyDescent="0.2">
      <c r="A91" s="4" t="s">
        <v>75</v>
      </c>
      <c r="B91" s="14">
        <v>2334.7399999999998</v>
      </c>
      <c r="C91" s="14">
        <v>248.57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257.18</v>
      </c>
      <c r="K91" s="14">
        <v>0</v>
      </c>
      <c r="L91" s="14">
        <v>0</v>
      </c>
      <c r="M91" s="14">
        <v>38.58</v>
      </c>
      <c r="N91" s="14">
        <v>244.32</v>
      </c>
      <c r="O91" s="14">
        <v>4.82</v>
      </c>
      <c r="P91" s="14">
        <v>374.47</v>
      </c>
      <c r="Q91" s="14">
        <v>0</v>
      </c>
      <c r="R91" s="14">
        <v>1166.8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</row>
    <row r="92" spans="1:24" x14ac:dyDescent="0.2">
      <c r="A92" s="4" t="s">
        <v>78</v>
      </c>
      <c r="B92" s="14">
        <v>2548.58</v>
      </c>
      <c r="C92" s="14">
        <v>77.34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44.64</v>
      </c>
      <c r="K92" s="14">
        <v>0</v>
      </c>
      <c r="L92" s="14">
        <v>0</v>
      </c>
      <c r="M92" s="14">
        <v>177.8</v>
      </c>
      <c r="N92" s="14">
        <v>1651.98</v>
      </c>
      <c r="O92" s="14">
        <v>-84.4</v>
      </c>
      <c r="P92" s="14">
        <v>45.99</v>
      </c>
      <c r="Q92" s="14">
        <v>0</v>
      </c>
      <c r="R92" s="14">
        <v>539.79</v>
      </c>
      <c r="S92" s="14">
        <v>-78.06</v>
      </c>
      <c r="T92" s="14">
        <v>0</v>
      </c>
      <c r="U92" s="14">
        <v>0</v>
      </c>
      <c r="V92" s="14">
        <v>173.5</v>
      </c>
      <c r="W92" s="14">
        <v>0</v>
      </c>
      <c r="X92" s="14">
        <v>0</v>
      </c>
    </row>
    <row r="93" spans="1:24" x14ac:dyDescent="0.2">
      <c r="A93" s="4" t="s">
        <v>307</v>
      </c>
      <c r="B93" s="19">
        <v>32304.3</v>
      </c>
      <c r="C93" s="19">
        <v>2805.91</v>
      </c>
      <c r="D93" s="19">
        <v>0</v>
      </c>
      <c r="E93" s="19">
        <v>2514.27</v>
      </c>
      <c r="F93" s="19">
        <v>0</v>
      </c>
      <c r="G93" s="19">
        <v>-569.57000000000005</v>
      </c>
      <c r="H93" s="19">
        <v>0</v>
      </c>
      <c r="I93" s="19">
        <v>0</v>
      </c>
      <c r="J93" s="19">
        <v>5071.1000000000004</v>
      </c>
      <c r="K93" s="19">
        <v>685.72</v>
      </c>
      <c r="L93" s="19">
        <v>0</v>
      </c>
      <c r="M93" s="19">
        <v>2900.37</v>
      </c>
      <c r="N93" s="19">
        <v>8692.69</v>
      </c>
      <c r="O93" s="19">
        <v>1703.82</v>
      </c>
      <c r="P93" s="19">
        <v>2610.46</v>
      </c>
      <c r="Q93" s="19">
        <v>0</v>
      </c>
      <c r="R93" s="19">
        <v>4106.59</v>
      </c>
      <c r="S93" s="19">
        <v>-78.06</v>
      </c>
      <c r="T93" s="19">
        <v>0</v>
      </c>
      <c r="U93" s="19">
        <v>0</v>
      </c>
      <c r="V93" s="19">
        <v>1861</v>
      </c>
      <c r="W93" s="19">
        <v>0</v>
      </c>
      <c r="X93" s="19">
        <v>0</v>
      </c>
    </row>
    <row r="94" spans="1:24" x14ac:dyDescent="0.2">
      <c r="A94" s="4" t="s">
        <v>308</v>
      </c>
      <c r="B94" s="13" t="s">
        <v>73</v>
      </c>
      <c r="C94" s="13" t="s">
        <v>73</v>
      </c>
      <c r="D94" s="13" t="s">
        <v>73</v>
      </c>
      <c r="E94" s="13" t="s">
        <v>73</v>
      </c>
      <c r="F94" s="13" t="s">
        <v>73</v>
      </c>
      <c r="G94" s="13" t="s">
        <v>73</v>
      </c>
      <c r="H94" s="13" t="s">
        <v>73</v>
      </c>
      <c r="I94" s="13" t="s">
        <v>73</v>
      </c>
      <c r="J94" s="13" t="s">
        <v>73</v>
      </c>
      <c r="K94" s="13" t="s">
        <v>73</v>
      </c>
      <c r="L94" s="13" t="s">
        <v>73</v>
      </c>
      <c r="M94" s="13" t="s">
        <v>73</v>
      </c>
      <c r="N94" s="13" t="s">
        <v>73</v>
      </c>
      <c r="O94" s="13" t="s">
        <v>73</v>
      </c>
      <c r="P94" s="13" t="s">
        <v>73</v>
      </c>
      <c r="Q94" s="13" t="s">
        <v>73</v>
      </c>
      <c r="R94" s="13" t="s">
        <v>73</v>
      </c>
      <c r="S94" s="13" t="s">
        <v>73</v>
      </c>
      <c r="T94" s="13" t="s">
        <v>73</v>
      </c>
      <c r="U94" s="13" t="s">
        <v>73</v>
      </c>
      <c r="V94" s="13" t="s">
        <v>73</v>
      </c>
      <c r="W94" s="13" t="s">
        <v>73</v>
      </c>
      <c r="X94" s="13" t="s">
        <v>73</v>
      </c>
    </row>
    <row r="95" spans="1:24" x14ac:dyDescent="0.2">
      <c r="A95" s="4" t="s">
        <v>74</v>
      </c>
      <c r="B95" s="14">
        <v>93396.74</v>
      </c>
      <c r="C95" s="14">
        <v>7409.71</v>
      </c>
      <c r="D95" s="14">
        <v>0</v>
      </c>
      <c r="E95" s="14">
        <v>29.71</v>
      </c>
      <c r="F95" s="14">
        <v>0</v>
      </c>
      <c r="G95" s="14">
        <v>-22.29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1150.18</v>
      </c>
      <c r="N95" s="14">
        <v>13908.96</v>
      </c>
      <c r="O95" s="14">
        <v>0</v>
      </c>
      <c r="P95" s="14">
        <v>56.25</v>
      </c>
      <c r="Q95" s="14">
        <v>0</v>
      </c>
      <c r="R95" s="14">
        <v>0</v>
      </c>
      <c r="S95" s="14">
        <v>29235.55</v>
      </c>
      <c r="T95" s="14">
        <v>12725.25</v>
      </c>
      <c r="U95" s="14">
        <v>10288.92</v>
      </c>
      <c r="V95" s="14">
        <v>8793.06</v>
      </c>
      <c r="W95" s="14">
        <v>9821.44</v>
      </c>
      <c r="X95" s="14">
        <v>0</v>
      </c>
    </row>
    <row r="96" spans="1:24" x14ac:dyDescent="0.2">
      <c r="A96" s="4" t="s">
        <v>75</v>
      </c>
      <c r="B96" s="14">
        <v>1628.05</v>
      </c>
      <c r="C96" s="14">
        <v>576.85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334.46</v>
      </c>
      <c r="O96" s="14">
        <v>0</v>
      </c>
      <c r="P96" s="14">
        <v>0</v>
      </c>
      <c r="Q96" s="14">
        <v>0</v>
      </c>
      <c r="R96" s="14">
        <v>0</v>
      </c>
      <c r="S96" s="14">
        <v>85.82</v>
      </c>
      <c r="T96" s="14">
        <v>602.79</v>
      </c>
      <c r="U96" s="14">
        <v>0</v>
      </c>
      <c r="V96" s="14">
        <v>0</v>
      </c>
      <c r="W96" s="14">
        <v>28.13</v>
      </c>
      <c r="X96" s="14">
        <v>0</v>
      </c>
    </row>
    <row r="97" spans="1:24" x14ac:dyDescent="0.2">
      <c r="A97" s="4" t="s">
        <v>77</v>
      </c>
      <c r="B97" s="14">
        <v>196.43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196.43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</row>
    <row r="98" spans="1:24" x14ac:dyDescent="0.2">
      <c r="A98" s="4" t="s">
        <v>78</v>
      </c>
      <c r="B98" s="14">
        <v>6172.49</v>
      </c>
      <c r="C98" s="14">
        <v>1085.9000000000001</v>
      </c>
      <c r="D98" s="14">
        <v>0</v>
      </c>
      <c r="E98" s="14">
        <v>0</v>
      </c>
      <c r="F98" s="14">
        <v>-264.57</v>
      </c>
      <c r="G98" s="14">
        <v>0</v>
      </c>
      <c r="H98" s="14">
        <v>0</v>
      </c>
      <c r="I98" s="14">
        <v>0</v>
      </c>
      <c r="J98" s="14">
        <v>-79.52</v>
      </c>
      <c r="K98" s="14">
        <v>0</v>
      </c>
      <c r="L98" s="14">
        <v>0</v>
      </c>
      <c r="M98" s="14">
        <v>232.72</v>
      </c>
      <c r="N98" s="14">
        <v>1003.09</v>
      </c>
      <c r="O98" s="14">
        <v>-227.53</v>
      </c>
      <c r="P98" s="14">
        <v>-326.08</v>
      </c>
      <c r="Q98" s="14">
        <v>0</v>
      </c>
      <c r="R98" s="14">
        <v>-218.36</v>
      </c>
      <c r="S98" s="14">
        <v>4426.72</v>
      </c>
      <c r="T98" s="14">
        <v>251.97</v>
      </c>
      <c r="U98" s="14">
        <v>1095.1400000000001</v>
      </c>
      <c r="V98" s="14">
        <v>393.06</v>
      </c>
      <c r="W98" s="14">
        <v>-721.35</v>
      </c>
      <c r="X98" s="14">
        <v>-478.7</v>
      </c>
    </row>
    <row r="99" spans="1:24" x14ac:dyDescent="0.2">
      <c r="A99" s="4" t="s">
        <v>309</v>
      </c>
      <c r="B99" s="19">
        <v>101393.71</v>
      </c>
      <c r="C99" s="19">
        <v>9072.4599999999991</v>
      </c>
      <c r="D99" s="19">
        <v>0</v>
      </c>
      <c r="E99" s="19">
        <v>29.71</v>
      </c>
      <c r="F99" s="19">
        <v>-264.57</v>
      </c>
      <c r="G99" s="19">
        <v>-22.29</v>
      </c>
      <c r="H99" s="19">
        <v>0</v>
      </c>
      <c r="I99" s="19">
        <v>0</v>
      </c>
      <c r="J99" s="19">
        <v>-79.52</v>
      </c>
      <c r="K99" s="19">
        <v>0</v>
      </c>
      <c r="L99" s="19">
        <v>0</v>
      </c>
      <c r="M99" s="19">
        <v>1382.9</v>
      </c>
      <c r="N99" s="19">
        <v>15442.94</v>
      </c>
      <c r="O99" s="19">
        <v>-227.53</v>
      </c>
      <c r="P99" s="19">
        <v>-269.83</v>
      </c>
      <c r="Q99" s="19">
        <v>0</v>
      </c>
      <c r="R99" s="19">
        <v>-218.36</v>
      </c>
      <c r="S99" s="19">
        <v>33748.089999999997</v>
      </c>
      <c r="T99" s="19">
        <v>13580.01</v>
      </c>
      <c r="U99" s="19">
        <v>11384.06</v>
      </c>
      <c r="V99" s="19">
        <v>9186.1200000000008</v>
      </c>
      <c r="W99" s="19">
        <v>9128.2199999999993</v>
      </c>
      <c r="X99" s="19">
        <v>-478.7</v>
      </c>
    </row>
    <row r="100" spans="1:24" x14ac:dyDescent="0.2">
      <c r="A100" s="4" t="s">
        <v>310</v>
      </c>
      <c r="B100" s="13" t="s">
        <v>73</v>
      </c>
      <c r="C100" s="13" t="s">
        <v>73</v>
      </c>
      <c r="D100" s="13" t="s">
        <v>73</v>
      </c>
      <c r="E100" s="13" t="s">
        <v>73</v>
      </c>
      <c r="F100" s="13" t="s">
        <v>73</v>
      </c>
      <c r="G100" s="13" t="s">
        <v>73</v>
      </c>
      <c r="H100" s="13" t="s">
        <v>73</v>
      </c>
      <c r="I100" s="13" t="s">
        <v>73</v>
      </c>
      <c r="J100" s="13" t="s">
        <v>73</v>
      </c>
      <c r="K100" s="13" t="s">
        <v>73</v>
      </c>
      <c r="L100" s="13" t="s">
        <v>73</v>
      </c>
      <c r="M100" s="13" t="s">
        <v>73</v>
      </c>
      <c r="N100" s="13" t="s">
        <v>73</v>
      </c>
      <c r="O100" s="13" t="s">
        <v>73</v>
      </c>
      <c r="P100" s="13" t="s">
        <v>73</v>
      </c>
      <c r="Q100" s="13" t="s">
        <v>73</v>
      </c>
      <c r="R100" s="13" t="s">
        <v>73</v>
      </c>
      <c r="S100" s="13" t="s">
        <v>73</v>
      </c>
      <c r="T100" s="13" t="s">
        <v>73</v>
      </c>
      <c r="U100" s="13" t="s">
        <v>73</v>
      </c>
      <c r="V100" s="13" t="s">
        <v>73</v>
      </c>
      <c r="W100" s="13" t="s">
        <v>73</v>
      </c>
      <c r="X100" s="13" t="s">
        <v>73</v>
      </c>
    </row>
    <row r="101" spans="1:24" x14ac:dyDescent="0.2">
      <c r="A101" s="4" t="s">
        <v>74</v>
      </c>
      <c r="B101" s="14">
        <v>26000.83</v>
      </c>
      <c r="C101" s="14">
        <v>0</v>
      </c>
      <c r="D101" s="14">
        <v>2268.2199999999998</v>
      </c>
      <c r="E101" s="14">
        <v>0</v>
      </c>
      <c r="F101" s="14">
        <v>2528.15</v>
      </c>
      <c r="G101" s="14">
        <v>0</v>
      </c>
      <c r="H101" s="14">
        <v>0</v>
      </c>
      <c r="I101" s="14">
        <v>0</v>
      </c>
      <c r="J101" s="14">
        <v>0</v>
      </c>
      <c r="K101" s="14">
        <v>831.25</v>
      </c>
      <c r="L101" s="14">
        <v>0</v>
      </c>
      <c r="M101" s="14">
        <v>2495</v>
      </c>
      <c r="N101" s="14">
        <v>5175.8599999999997</v>
      </c>
      <c r="O101" s="14">
        <v>3058.58</v>
      </c>
      <c r="P101" s="14">
        <v>3310.72</v>
      </c>
      <c r="Q101" s="14">
        <v>2880</v>
      </c>
      <c r="R101" s="14">
        <v>2522.0700000000002</v>
      </c>
      <c r="S101" s="14">
        <v>0</v>
      </c>
      <c r="T101" s="14">
        <v>321.43</v>
      </c>
      <c r="U101" s="14">
        <v>543.29</v>
      </c>
      <c r="V101" s="14">
        <v>43.4</v>
      </c>
      <c r="W101" s="14">
        <v>22.86</v>
      </c>
      <c r="X101" s="14">
        <v>0</v>
      </c>
    </row>
    <row r="102" spans="1:24" x14ac:dyDescent="0.2">
      <c r="A102" s="4" t="s">
        <v>75</v>
      </c>
      <c r="B102" s="14">
        <v>938.57</v>
      </c>
      <c r="C102" s="14">
        <v>0</v>
      </c>
      <c r="D102" s="14">
        <v>258.64</v>
      </c>
      <c r="E102" s="14">
        <v>0</v>
      </c>
      <c r="F102" s="14">
        <v>38.25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64.290000000000006</v>
      </c>
      <c r="N102" s="14">
        <v>0</v>
      </c>
      <c r="O102" s="14">
        <v>90</v>
      </c>
      <c r="P102" s="14">
        <v>0</v>
      </c>
      <c r="Q102" s="14">
        <v>461.89</v>
      </c>
      <c r="R102" s="14">
        <v>25.5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</row>
    <row r="103" spans="1:24" x14ac:dyDescent="0.2">
      <c r="A103" s="4" t="s">
        <v>76</v>
      </c>
      <c r="B103" s="14">
        <v>631.5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24</v>
      </c>
      <c r="O103" s="14">
        <v>0</v>
      </c>
      <c r="P103" s="14">
        <v>607.5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</row>
    <row r="104" spans="1:24" x14ac:dyDescent="0.2">
      <c r="A104" s="4" t="s">
        <v>77</v>
      </c>
      <c r="B104" s="14">
        <v>150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150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</row>
    <row r="105" spans="1:24" x14ac:dyDescent="0.2">
      <c r="A105" s="4" t="s">
        <v>78</v>
      </c>
      <c r="B105" s="14">
        <v>1055.6099999999999</v>
      </c>
      <c r="C105" s="14">
        <v>0</v>
      </c>
      <c r="D105" s="14">
        <v>433.87</v>
      </c>
      <c r="E105" s="14">
        <v>0</v>
      </c>
      <c r="F105" s="14">
        <v>-9.57</v>
      </c>
      <c r="G105" s="14">
        <v>-10.43</v>
      </c>
      <c r="H105" s="14">
        <v>0</v>
      </c>
      <c r="I105" s="14">
        <v>-31.42</v>
      </c>
      <c r="J105" s="14">
        <v>-346.11</v>
      </c>
      <c r="K105" s="14">
        <v>-40.04</v>
      </c>
      <c r="L105" s="14">
        <v>0</v>
      </c>
      <c r="M105" s="14">
        <v>336.34</v>
      </c>
      <c r="N105" s="14">
        <v>232.2</v>
      </c>
      <c r="O105" s="14">
        <v>-165.75</v>
      </c>
      <c r="P105" s="14">
        <v>463.35</v>
      </c>
      <c r="Q105" s="14">
        <v>-116.34</v>
      </c>
      <c r="R105" s="14">
        <v>102.69</v>
      </c>
      <c r="S105" s="14">
        <v>0</v>
      </c>
      <c r="T105" s="14">
        <v>-28.05</v>
      </c>
      <c r="U105" s="14">
        <v>0</v>
      </c>
      <c r="V105" s="14">
        <v>141.4</v>
      </c>
      <c r="W105" s="14">
        <v>93.47</v>
      </c>
      <c r="X105" s="14">
        <v>0</v>
      </c>
    </row>
    <row r="106" spans="1:24" x14ac:dyDescent="0.2">
      <c r="A106" s="4" t="s">
        <v>311</v>
      </c>
      <c r="B106" s="19">
        <v>28776.51</v>
      </c>
      <c r="C106" s="19">
        <v>0</v>
      </c>
      <c r="D106" s="19">
        <v>2960.73</v>
      </c>
      <c r="E106" s="19">
        <v>0</v>
      </c>
      <c r="F106" s="19">
        <v>2556.83</v>
      </c>
      <c r="G106" s="19">
        <v>-10.43</v>
      </c>
      <c r="H106" s="19">
        <v>0</v>
      </c>
      <c r="I106" s="19">
        <v>-31.42</v>
      </c>
      <c r="J106" s="19">
        <v>-346.11</v>
      </c>
      <c r="K106" s="19">
        <v>791.21</v>
      </c>
      <c r="L106" s="19">
        <v>0</v>
      </c>
      <c r="M106" s="19">
        <v>2895.63</v>
      </c>
      <c r="N106" s="19">
        <v>5432.06</v>
      </c>
      <c r="O106" s="19">
        <v>2982.83</v>
      </c>
      <c r="P106" s="19">
        <v>4531.57</v>
      </c>
      <c r="Q106" s="19">
        <v>3225.55</v>
      </c>
      <c r="R106" s="19">
        <v>2650.26</v>
      </c>
      <c r="S106" s="19">
        <v>0</v>
      </c>
      <c r="T106" s="19">
        <v>293.38</v>
      </c>
      <c r="U106" s="19">
        <v>543.29</v>
      </c>
      <c r="V106" s="19">
        <v>184.8</v>
      </c>
      <c r="W106" s="19">
        <v>116.33</v>
      </c>
      <c r="X106" s="19">
        <v>0</v>
      </c>
    </row>
    <row r="107" spans="1:24" x14ac:dyDescent="0.2">
      <c r="A107" s="4" t="s">
        <v>312</v>
      </c>
      <c r="B107" s="13" t="s">
        <v>73</v>
      </c>
      <c r="C107" s="13" t="s">
        <v>73</v>
      </c>
      <c r="D107" s="13" t="s">
        <v>73</v>
      </c>
      <c r="E107" s="13" t="s">
        <v>73</v>
      </c>
      <c r="F107" s="13" t="s">
        <v>73</v>
      </c>
      <c r="G107" s="13" t="s">
        <v>73</v>
      </c>
      <c r="H107" s="13" t="s">
        <v>73</v>
      </c>
      <c r="I107" s="13" t="s">
        <v>73</v>
      </c>
      <c r="J107" s="13" t="s">
        <v>73</v>
      </c>
      <c r="K107" s="13" t="s">
        <v>73</v>
      </c>
      <c r="L107" s="13" t="s">
        <v>73</v>
      </c>
      <c r="M107" s="13" t="s">
        <v>73</v>
      </c>
      <c r="N107" s="13" t="s">
        <v>73</v>
      </c>
      <c r="O107" s="13" t="s">
        <v>73</v>
      </c>
      <c r="P107" s="13" t="s">
        <v>73</v>
      </c>
      <c r="Q107" s="13" t="s">
        <v>73</v>
      </c>
      <c r="R107" s="13" t="s">
        <v>73</v>
      </c>
      <c r="S107" s="13" t="s">
        <v>73</v>
      </c>
      <c r="T107" s="13" t="s">
        <v>73</v>
      </c>
      <c r="U107" s="13" t="s">
        <v>73</v>
      </c>
      <c r="V107" s="13" t="s">
        <v>73</v>
      </c>
      <c r="W107" s="13" t="s">
        <v>73</v>
      </c>
      <c r="X107" s="13" t="s">
        <v>73</v>
      </c>
    </row>
    <row r="108" spans="1:24" x14ac:dyDescent="0.2">
      <c r="A108" s="4" t="s">
        <v>74</v>
      </c>
      <c r="B108" s="14">
        <v>37090.35</v>
      </c>
      <c r="C108" s="14">
        <v>2395.4299999999998</v>
      </c>
      <c r="D108" s="14">
        <v>2245.77</v>
      </c>
      <c r="E108" s="14">
        <v>2294.86</v>
      </c>
      <c r="F108" s="14">
        <v>2558.0700000000002</v>
      </c>
      <c r="G108" s="14">
        <v>2398.7199999999998</v>
      </c>
      <c r="H108" s="14">
        <v>2413.39</v>
      </c>
      <c r="I108" s="14">
        <v>0</v>
      </c>
      <c r="J108" s="14">
        <v>0</v>
      </c>
      <c r="K108" s="14">
        <v>2199.5100000000002</v>
      </c>
      <c r="L108" s="14">
        <v>0</v>
      </c>
      <c r="M108" s="14">
        <v>2438.35</v>
      </c>
      <c r="N108" s="14">
        <v>1833.36</v>
      </c>
      <c r="O108" s="14">
        <v>1825.61</v>
      </c>
      <c r="P108" s="14">
        <v>3659.77</v>
      </c>
      <c r="Q108" s="14">
        <v>3214.4</v>
      </c>
      <c r="R108" s="14">
        <v>4320</v>
      </c>
      <c r="S108" s="14">
        <v>2178.29</v>
      </c>
      <c r="T108" s="14">
        <v>0</v>
      </c>
      <c r="U108" s="14">
        <v>1114.82</v>
      </c>
      <c r="V108" s="14">
        <v>0</v>
      </c>
      <c r="W108" s="14">
        <v>0</v>
      </c>
      <c r="X108" s="14">
        <v>0</v>
      </c>
    </row>
    <row r="109" spans="1:24" x14ac:dyDescent="0.2">
      <c r="A109" s="4" t="s">
        <v>75</v>
      </c>
      <c r="B109" s="14">
        <v>1839.73</v>
      </c>
      <c r="C109" s="14">
        <v>984</v>
      </c>
      <c r="D109" s="14">
        <v>10.61</v>
      </c>
      <c r="E109" s="14">
        <v>5.14</v>
      </c>
      <c r="F109" s="14">
        <v>6.09</v>
      </c>
      <c r="G109" s="14">
        <v>214.02</v>
      </c>
      <c r="H109" s="14">
        <v>0</v>
      </c>
      <c r="I109" s="14">
        <v>0</v>
      </c>
      <c r="J109" s="14">
        <v>0</v>
      </c>
      <c r="K109" s="14">
        <v>403.34</v>
      </c>
      <c r="L109" s="14">
        <v>0</v>
      </c>
      <c r="M109" s="14">
        <v>74.25</v>
      </c>
      <c r="N109" s="14">
        <v>74.569999999999993</v>
      </c>
      <c r="O109" s="14">
        <v>0</v>
      </c>
      <c r="P109" s="14">
        <v>0</v>
      </c>
      <c r="Q109" s="14">
        <v>0</v>
      </c>
      <c r="R109" s="14">
        <v>0</v>
      </c>
      <c r="S109" s="14">
        <v>67.709999999999994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</row>
    <row r="110" spans="1:24" x14ac:dyDescent="0.2">
      <c r="A110" s="4" t="s">
        <v>78</v>
      </c>
      <c r="B110" s="14">
        <v>9685.76</v>
      </c>
      <c r="C110" s="14">
        <v>1663.64</v>
      </c>
      <c r="D110" s="14">
        <v>342.51</v>
      </c>
      <c r="E110" s="14">
        <v>1309.56</v>
      </c>
      <c r="F110" s="14">
        <v>987.4</v>
      </c>
      <c r="G110" s="14">
        <v>960.3</v>
      </c>
      <c r="H110" s="14">
        <v>393.99</v>
      </c>
      <c r="I110" s="14">
        <v>0</v>
      </c>
      <c r="J110" s="14">
        <v>0</v>
      </c>
      <c r="K110" s="14">
        <v>-404.24</v>
      </c>
      <c r="L110" s="14">
        <v>-665.15</v>
      </c>
      <c r="M110" s="14">
        <v>0</v>
      </c>
      <c r="N110" s="14">
        <v>-60.9</v>
      </c>
      <c r="O110" s="14">
        <v>101.48</v>
      </c>
      <c r="P110" s="14">
        <v>1596.48</v>
      </c>
      <c r="Q110" s="14">
        <v>970.58</v>
      </c>
      <c r="R110" s="14">
        <v>2071.7199999999998</v>
      </c>
      <c r="S110" s="14">
        <v>223.13</v>
      </c>
      <c r="T110" s="14">
        <v>0</v>
      </c>
      <c r="U110" s="14">
        <v>195.26</v>
      </c>
      <c r="V110" s="14">
        <v>0</v>
      </c>
      <c r="W110" s="14">
        <v>0</v>
      </c>
      <c r="X110" s="14">
        <v>0</v>
      </c>
    </row>
    <row r="111" spans="1:24" x14ac:dyDescent="0.2">
      <c r="A111" s="4" t="s">
        <v>313</v>
      </c>
      <c r="B111" s="19">
        <v>48615.839999999997</v>
      </c>
      <c r="C111" s="19">
        <v>5043.07</v>
      </c>
      <c r="D111" s="19">
        <v>2598.89</v>
      </c>
      <c r="E111" s="19">
        <v>3609.56</v>
      </c>
      <c r="F111" s="19">
        <v>3551.56</v>
      </c>
      <c r="G111" s="19">
        <v>3573.04</v>
      </c>
      <c r="H111" s="19">
        <v>2807.38</v>
      </c>
      <c r="I111" s="19">
        <v>0</v>
      </c>
      <c r="J111" s="19">
        <v>0</v>
      </c>
      <c r="K111" s="19">
        <v>2198.61</v>
      </c>
      <c r="L111" s="19">
        <v>-665.15</v>
      </c>
      <c r="M111" s="19">
        <v>2512.6</v>
      </c>
      <c r="N111" s="19">
        <v>1847.03</v>
      </c>
      <c r="O111" s="19">
        <v>1927.09</v>
      </c>
      <c r="P111" s="19">
        <v>5256.25</v>
      </c>
      <c r="Q111" s="19">
        <v>4184.9799999999996</v>
      </c>
      <c r="R111" s="19">
        <v>6391.72</v>
      </c>
      <c r="S111" s="19">
        <v>2469.13</v>
      </c>
      <c r="T111" s="19">
        <v>0</v>
      </c>
      <c r="U111" s="19">
        <v>1310.08</v>
      </c>
      <c r="V111" s="19">
        <v>0</v>
      </c>
      <c r="W111" s="19">
        <v>0</v>
      </c>
      <c r="X111" s="19">
        <v>0</v>
      </c>
    </row>
    <row r="112" spans="1:24" x14ac:dyDescent="0.2">
      <c r="A112" s="4" t="s">
        <v>314</v>
      </c>
      <c r="B112" s="13" t="s">
        <v>73</v>
      </c>
      <c r="C112" s="13" t="s">
        <v>73</v>
      </c>
      <c r="D112" s="13" t="s">
        <v>73</v>
      </c>
      <c r="E112" s="13" t="s">
        <v>73</v>
      </c>
      <c r="F112" s="13" t="s">
        <v>73</v>
      </c>
      <c r="G112" s="13" t="s">
        <v>73</v>
      </c>
      <c r="H112" s="13" t="s">
        <v>73</v>
      </c>
      <c r="I112" s="13" t="s">
        <v>73</v>
      </c>
      <c r="J112" s="13" t="s">
        <v>73</v>
      </c>
      <c r="K112" s="13" t="s">
        <v>73</v>
      </c>
      <c r="L112" s="13" t="s">
        <v>73</v>
      </c>
      <c r="M112" s="13" t="s">
        <v>73</v>
      </c>
      <c r="N112" s="13" t="s">
        <v>73</v>
      </c>
      <c r="O112" s="13" t="s">
        <v>73</v>
      </c>
      <c r="P112" s="13" t="s">
        <v>73</v>
      </c>
      <c r="Q112" s="13" t="s">
        <v>73</v>
      </c>
      <c r="R112" s="13" t="s">
        <v>73</v>
      </c>
      <c r="S112" s="13" t="s">
        <v>73</v>
      </c>
      <c r="T112" s="13" t="s">
        <v>73</v>
      </c>
      <c r="U112" s="13" t="s">
        <v>73</v>
      </c>
      <c r="V112" s="13" t="s">
        <v>73</v>
      </c>
      <c r="W112" s="13" t="s">
        <v>73</v>
      </c>
      <c r="X112" s="13" t="s">
        <v>73</v>
      </c>
    </row>
    <row r="113" spans="1:24" x14ac:dyDescent="0.2">
      <c r="A113" s="4" t="s">
        <v>74</v>
      </c>
      <c r="B113" s="14">
        <v>143880.34</v>
      </c>
      <c r="C113" s="14">
        <v>8542.91</v>
      </c>
      <c r="D113" s="14">
        <v>7410.86</v>
      </c>
      <c r="E113" s="14">
        <v>7656.8</v>
      </c>
      <c r="F113" s="14">
        <v>9404.4699999999993</v>
      </c>
      <c r="G113" s="14">
        <v>5486.26</v>
      </c>
      <c r="H113" s="14">
        <v>11144.68</v>
      </c>
      <c r="I113" s="14">
        <v>4736.55</v>
      </c>
      <c r="J113" s="14">
        <v>6664.07</v>
      </c>
      <c r="K113" s="14">
        <v>4213.55</v>
      </c>
      <c r="L113" s="14">
        <v>8135.32</v>
      </c>
      <c r="M113" s="14">
        <v>7449</v>
      </c>
      <c r="N113" s="14">
        <v>23159.47</v>
      </c>
      <c r="O113" s="14">
        <v>5405.57</v>
      </c>
      <c r="P113" s="14">
        <v>9102.5400000000009</v>
      </c>
      <c r="Q113" s="14">
        <v>8365.6</v>
      </c>
      <c r="R113" s="14">
        <v>10429.1</v>
      </c>
      <c r="S113" s="14">
        <v>0</v>
      </c>
      <c r="T113" s="14">
        <v>2531.25</v>
      </c>
      <c r="U113" s="14">
        <v>104.83</v>
      </c>
      <c r="V113" s="14">
        <v>2536.61</v>
      </c>
      <c r="W113" s="14">
        <v>1400.9</v>
      </c>
      <c r="X113" s="14">
        <v>0</v>
      </c>
    </row>
    <row r="114" spans="1:24" x14ac:dyDescent="0.2">
      <c r="A114" s="4" t="s">
        <v>75</v>
      </c>
      <c r="B114" s="14">
        <v>2647.8</v>
      </c>
      <c r="C114" s="14">
        <v>0</v>
      </c>
      <c r="D114" s="14">
        <v>0</v>
      </c>
      <c r="E114" s="14">
        <v>99.33</v>
      </c>
      <c r="F114" s="14">
        <v>2.41</v>
      </c>
      <c r="G114" s="14">
        <v>-42.46</v>
      </c>
      <c r="H114" s="14">
        <v>0</v>
      </c>
      <c r="I114" s="14">
        <v>0</v>
      </c>
      <c r="J114" s="14">
        <v>176.57</v>
      </c>
      <c r="K114" s="14">
        <v>438.93</v>
      </c>
      <c r="L114" s="14">
        <v>713.31</v>
      </c>
      <c r="M114" s="14">
        <v>161.19999999999999</v>
      </c>
      <c r="N114" s="14">
        <v>356.8</v>
      </c>
      <c r="O114" s="14">
        <v>5.63</v>
      </c>
      <c r="P114" s="14">
        <v>703.93</v>
      </c>
      <c r="Q114" s="14">
        <v>5.63</v>
      </c>
      <c r="R114" s="14">
        <v>26.52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</row>
    <row r="115" spans="1:24" x14ac:dyDescent="0.2">
      <c r="A115" s="4" t="s">
        <v>78</v>
      </c>
      <c r="B115" s="14">
        <v>27572.26</v>
      </c>
      <c r="C115" s="14">
        <v>307.41000000000003</v>
      </c>
      <c r="D115" s="14">
        <v>3145.64</v>
      </c>
      <c r="E115" s="14">
        <v>863.34</v>
      </c>
      <c r="F115" s="14">
        <v>1724.35</v>
      </c>
      <c r="G115" s="14">
        <v>957.78</v>
      </c>
      <c r="H115" s="14">
        <v>1951.56</v>
      </c>
      <c r="I115" s="14">
        <v>254.73</v>
      </c>
      <c r="J115" s="14">
        <v>-15.22</v>
      </c>
      <c r="K115" s="14">
        <v>1679.16</v>
      </c>
      <c r="L115" s="14">
        <v>2161.84</v>
      </c>
      <c r="M115" s="14">
        <v>495.81</v>
      </c>
      <c r="N115" s="14">
        <v>6744.65</v>
      </c>
      <c r="O115" s="14">
        <v>1288.94</v>
      </c>
      <c r="P115" s="14">
        <v>2928.77</v>
      </c>
      <c r="Q115" s="14">
        <v>377.25</v>
      </c>
      <c r="R115" s="14">
        <v>2382.9699999999998</v>
      </c>
      <c r="S115" s="14">
        <v>-176.32</v>
      </c>
      <c r="T115" s="14">
        <v>473.21</v>
      </c>
      <c r="U115" s="14">
        <v>-11.96</v>
      </c>
      <c r="V115" s="14">
        <v>531.35</v>
      </c>
      <c r="W115" s="14">
        <v>-493</v>
      </c>
      <c r="X115" s="14">
        <v>0</v>
      </c>
    </row>
    <row r="116" spans="1:24" x14ac:dyDescent="0.2">
      <c r="A116" s="4" t="s">
        <v>315</v>
      </c>
      <c r="B116" s="19">
        <v>174100.4</v>
      </c>
      <c r="C116" s="19">
        <v>8850.32</v>
      </c>
      <c r="D116" s="19">
        <v>10556.5</v>
      </c>
      <c r="E116" s="19">
        <v>8619.4699999999993</v>
      </c>
      <c r="F116" s="19">
        <v>11131.23</v>
      </c>
      <c r="G116" s="19">
        <v>6401.58</v>
      </c>
      <c r="H116" s="19">
        <v>13096.24</v>
      </c>
      <c r="I116" s="19">
        <v>4991.28</v>
      </c>
      <c r="J116" s="19">
        <v>6825.42</v>
      </c>
      <c r="K116" s="19">
        <v>6331.64</v>
      </c>
      <c r="L116" s="19">
        <v>11010.47</v>
      </c>
      <c r="M116" s="19">
        <v>8106.01</v>
      </c>
      <c r="N116" s="19">
        <v>30260.92</v>
      </c>
      <c r="O116" s="19">
        <v>6700.14</v>
      </c>
      <c r="P116" s="19">
        <v>12735.24</v>
      </c>
      <c r="Q116" s="19">
        <v>8748.48</v>
      </c>
      <c r="R116" s="19">
        <v>12838.59</v>
      </c>
      <c r="S116" s="19">
        <v>-176.32</v>
      </c>
      <c r="T116" s="19">
        <v>3004.46</v>
      </c>
      <c r="U116" s="19">
        <v>92.87</v>
      </c>
      <c r="V116" s="19">
        <v>3067.96</v>
      </c>
      <c r="W116" s="19">
        <v>907.9</v>
      </c>
      <c r="X116" s="19">
        <v>0</v>
      </c>
    </row>
    <row r="117" spans="1:24" x14ac:dyDescent="0.2">
      <c r="A117" s="4" t="s">
        <v>316</v>
      </c>
      <c r="B117" s="13" t="s">
        <v>73</v>
      </c>
      <c r="C117" s="13" t="s">
        <v>73</v>
      </c>
      <c r="D117" s="13" t="s">
        <v>73</v>
      </c>
      <c r="E117" s="13" t="s">
        <v>73</v>
      </c>
      <c r="F117" s="13" t="s">
        <v>73</v>
      </c>
      <c r="G117" s="13" t="s">
        <v>73</v>
      </c>
      <c r="H117" s="13" t="s">
        <v>73</v>
      </c>
      <c r="I117" s="13" t="s">
        <v>73</v>
      </c>
      <c r="J117" s="13" t="s">
        <v>73</v>
      </c>
      <c r="K117" s="13" t="s">
        <v>73</v>
      </c>
      <c r="L117" s="13" t="s">
        <v>73</v>
      </c>
      <c r="M117" s="13" t="s">
        <v>73</v>
      </c>
      <c r="N117" s="13" t="s">
        <v>73</v>
      </c>
      <c r="O117" s="13" t="s">
        <v>73</v>
      </c>
      <c r="P117" s="13" t="s">
        <v>73</v>
      </c>
      <c r="Q117" s="13" t="s">
        <v>73</v>
      </c>
      <c r="R117" s="13" t="s">
        <v>73</v>
      </c>
      <c r="S117" s="13" t="s">
        <v>73</v>
      </c>
      <c r="T117" s="13" t="s">
        <v>73</v>
      </c>
      <c r="U117" s="13" t="s">
        <v>73</v>
      </c>
      <c r="V117" s="13" t="s">
        <v>73</v>
      </c>
      <c r="W117" s="13" t="s">
        <v>73</v>
      </c>
      <c r="X117" s="13" t="s">
        <v>73</v>
      </c>
    </row>
    <row r="118" spans="1:24" x14ac:dyDescent="0.2">
      <c r="A118" s="4" t="s">
        <v>74</v>
      </c>
      <c r="B118" s="14">
        <v>54944.03</v>
      </c>
      <c r="C118" s="14">
        <v>2880</v>
      </c>
      <c r="D118" s="14">
        <v>2059.0100000000002</v>
      </c>
      <c r="E118" s="14">
        <v>2883.57</v>
      </c>
      <c r="F118" s="14">
        <v>3286.5</v>
      </c>
      <c r="G118" s="14">
        <v>2441.85</v>
      </c>
      <c r="H118" s="14">
        <v>2855.72</v>
      </c>
      <c r="I118" s="14">
        <v>2376.96</v>
      </c>
      <c r="J118" s="14">
        <v>3349.5</v>
      </c>
      <c r="K118" s="14">
        <v>3607.71</v>
      </c>
      <c r="L118" s="14">
        <v>2284.86</v>
      </c>
      <c r="M118" s="14">
        <v>2845</v>
      </c>
      <c r="N118" s="14">
        <v>3240</v>
      </c>
      <c r="O118" s="14">
        <v>3840</v>
      </c>
      <c r="P118" s="14">
        <v>3964.25</v>
      </c>
      <c r="Q118" s="14">
        <v>1026.8900000000001</v>
      </c>
      <c r="R118" s="14">
        <v>3428.57</v>
      </c>
      <c r="S118" s="14">
        <v>2335.54</v>
      </c>
      <c r="T118" s="14">
        <v>2425.4499999999998</v>
      </c>
      <c r="U118" s="14">
        <v>372.79</v>
      </c>
      <c r="V118" s="14">
        <v>3439.86</v>
      </c>
      <c r="W118" s="14">
        <v>0</v>
      </c>
      <c r="X118" s="14">
        <v>0</v>
      </c>
    </row>
    <row r="119" spans="1:24" x14ac:dyDescent="0.2">
      <c r="A119" s="4" t="s">
        <v>75</v>
      </c>
      <c r="B119" s="14">
        <v>1429.15</v>
      </c>
      <c r="C119" s="14">
        <v>216</v>
      </c>
      <c r="D119" s="14">
        <v>81.96</v>
      </c>
      <c r="E119" s="14">
        <v>7.07</v>
      </c>
      <c r="F119" s="14">
        <v>55.13</v>
      </c>
      <c r="G119" s="14">
        <v>64.290000000000006</v>
      </c>
      <c r="H119" s="14">
        <v>0</v>
      </c>
      <c r="I119" s="14">
        <v>34.61</v>
      </c>
      <c r="J119" s="14">
        <v>33</v>
      </c>
      <c r="K119" s="14">
        <v>64.08</v>
      </c>
      <c r="L119" s="14">
        <v>0</v>
      </c>
      <c r="M119" s="14">
        <v>349.29</v>
      </c>
      <c r="N119" s="14">
        <v>0</v>
      </c>
      <c r="O119" s="14">
        <v>0</v>
      </c>
      <c r="P119" s="14">
        <v>326.79000000000002</v>
      </c>
      <c r="Q119" s="14">
        <v>0</v>
      </c>
      <c r="R119" s="14">
        <v>0</v>
      </c>
      <c r="S119" s="14">
        <v>107.64</v>
      </c>
      <c r="T119" s="14">
        <v>22.11</v>
      </c>
      <c r="U119" s="14">
        <v>0</v>
      </c>
      <c r="V119" s="14">
        <v>67.180000000000007</v>
      </c>
      <c r="W119" s="14">
        <v>0</v>
      </c>
      <c r="X119" s="14">
        <v>0</v>
      </c>
    </row>
    <row r="120" spans="1:24" x14ac:dyDescent="0.2">
      <c r="A120" s="4" t="s">
        <v>78</v>
      </c>
      <c r="B120" s="14">
        <v>13048.87</v>
      </c>
      <c r="C120" s="14">
        <v>1067.8</v>
      </c>
      <c r="D120" s="14">
        <v>2411.09</v>
      </c>
      <c r="E120" s="14">
        <v>997.42</v>
      </c>
      <c r="F120" s="14">
        <v>0</v>
      </c>
      <c r="G120" s="14">
        <v>77.319999999999993</v>
      </c>
      <c r="H120" s="14">
        <v>468.52</v>
      </c>
      <c r="I120" s="14">
        <v>210.15</v>
      </c>
      <c r="J120" s="14">
        <v>602.35</v>
      </c>
      <c r="K120" s="14">
        <v>288.16000000000003</v>
      </c>
      <c r="L120" s="14">
        <v>1053.05</v>
      </c>
      <c r="M120" s="14">
        <v>232.61</v>
      </c>
      <c r="N120" s="14">
        <v>1185.73</v>
      </c>
      <c r="O120" s="14">
        <v>951.82</v>
      </c>
      <c r="P120" s="14">
        <v>769.07</v>
      </c>
      <c r="Q120" s="14">
        <v>176.82</v>
      </c>
      <c r="R120" s="14">
        <v>250.56</v>
      </c>
      <c r="S120" s="14">
        <v>641.41999999999996</v>
      </c>
      <c r="T120" s="14">
        <v>919.21</v>
      </c>
      <c r="U120" s="14">
        <v>471.43</v>
      </c>
      <c r="V120" s="14">
        <v>274.33999999999997</v>
      </c>
      <c r="W120" s="14">
        <v>0</v>
      </c>
      <c r="X120" s="14">
        <v>0</v>
      </c>
    </row>
    <row r="121" spans="1:24" x14ac:dyDescent="0.2">
      <c r="A121" s="4" t="s">
        <v>317</v>
      </c>
      <c r="B121" s="19">
        <v>69422.05</v>
      </c>
      <c r="C121" s="19">
        <v>4163.8</v>
      </c>
      <c r="D121" s="19">
        <v>4552.0600000000004</v>
      </c>
      <c r="E121" s="19">
        <v>3888.06</v>
      </c>
      <c r="F121" s="19">
        <v>3341.63</v>
      </c>
      <c r="G121" s="19">
        <v>2583.46</v>
      </c>
      <c r="H121" s="19">
        <v>3324.24</v>
      </c>
      <c r="I121" s="19">
        <v>2621.72</v>
      </c>
      <c r="J121" s="19">
        <v>3984.85</v>
      </c>
      <c r="K121" s="19">
        <v>3959.95</v>
      </c>
      <c r="L121" s="19">
        <v>3337.91</v>
      </c>
      <c r="M121" s="19">
        <v>3426.9</v>
      </c>
      <c r="N121" s="19">
        <v>4425.7299999999996</v>
      </c>
      <c r="O121" s="19">
        <v>4791.82</v>
      </c>
      <c r="P121" s="19">
        <v>5060.1099999999997</v>
      </c>
      <c r="Q121" s="19">
        <v>1203.71</v>
      </c>
      <c r="R121" s="19">
        <v>3679.13</v>
      </c>
      <c r="S121" s="19">
        <v>3084.6</v>
      </c>
      <c r="T121" s="19">
        <v>3366.77</v>
      </c>
      <c r="U121" s="19">
        <v>844.22</v>
      </c>
      <c r="V121" s="19">
        <v>3781.38</v>
      </c>
      <c r="W121" s="19">
        <v>0</v>
      </c>
      <c r="X121" s="19">
        <v>0</v>
      </c>
    </row>
    <row r="122" spans="1:24" x14ac:dyDescent="0.2">
      <c r="A122" s="4" t="s">
        <v>318</v>
      </c>
      <c r="B122" s="13" t="s">
        <v>73</v>
      </c>
      <c r="C122" s="13" t="s">
        <v>73</v>
      </c>
      <c r="D122" s="13" t="s">
        <v>73</v>
      </c>
      <c r="E122" s="13" t="s">
        <v>73</v>
      </c>
      <c r="F122" s="13" t="s">
        <v>73</v>
      </c>
      <c r="G122" s="13" t="s">
        <v>73</v>
      </c>
      <c r="H122" s="13" t="s">
        <v>73</v>
      </c>
      <c r="I122" s="13" t="s">
        <v>73</v>
      </c>
      <c r="J122" s="13" t="s">
        <v>73</v>
      </c>
      <c r="K122" s="13" t="s">
        <v>73</v>
      </c>
      <c r="L122" s="13" t="s">
        <v>73</v>
      </c>
      <c r="M122" s="13" t="s">
        <v>73</v>
      </c>
      <c r="N122" s="13" t="s">
        <v>73</v>
      </c>
      <c r="O122" s="13" t="s">
        <v>73</v>
      </c>
      <c r="P122" s="13" t="s">
        <v>73</v>
      </c>
      <c r="Q122" s="13" t="s">
        <v>73</v>
      </c>
      <c r="R122" s="13" t="s">
        <v>73</v>
      </c>
      <c r="S122" s="13" t="s">
        <v>73</v>
      </c>
      <c r="T122" s="13" t="s">
        <v>73</v>
      </c>
      <c r="U122" s="13" t="s">
        <v>73</v>
      </c>
      <c r="V122" s="13" t="s">
        <v>73</v>
      </c>
      <c r="W122" s="13" t="s">
        <v>73</v>
      </c>
      <c r="X122" s="13" t="s">
        <v>73</v>
      </c>
    </row>
    <row r="123" spans="1:24" x14ac:dyDescent="0.2">
      <c r="A123" s="4" t="s">
        <v>74</v>
      </c>
      <c r="B123" s="14">
        <v>9135.8799999999992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17</v>
      </c>
      <c r="I123" s="14">
        <v>0</v>
      </c>
      <c r="J123" s="14">
        <v>12.86</v>
      </c>
      <c r="K123" s="14">
        <v>0</v>
      </c>
      <c r="L123" s="14">
        <v>0</v>
      </c>
      <c r="M123" s="14">
        <v>0</v>
      </c>
      <c r="N123" s="14">
        <v>2858.93</v>
      </c>
      <c r="O123" s="14">
        <v>2946.13</v>
      </c>
      <c r="P123" s="14">
        <v>2972.82</v>
      </c>
      <c r="Q123" s="14">
        <v>47.64</v>
      </c>
      <c r="R123" s="14">
        <v>0</v>
      </c>
      <c r="S123" s="14">
        <v>0</v>
      </c>
      <c r="T123" s="14">
        <v>0</v>
      </c>
      <c r="U123" s="14">
        <v>280.5</v>
      </c>
      <c r="V123" s="14">
        <v>0</v>
      </c>
      <c r="W123" s="14">
        <v>0</v>
      </c>
      <c r="X123" s="14">
        <v>0</v>
      </c>
    </row>
    <row r="124" spans="1:24" x14ac:dyDescent="0.2">
      <c r="A124" s="4" t="s">
        <v>75</v>
      </c>
      <c r="B124" s="14">
        <v>265.07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60.47</v>
      </c>
      <c r="P124" s="14">
        <v>204.6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</row>
    <row r="125" spans="1:24" x14ac:dyDescent="0.2">
      <c r="A125" s="4" t="s">
        <v>78</v>
      </c>
      <c r="B125" s="14">
        <v>-4181.25</v>
      </c>
      <c r="C125" s="14">
        <v>-859.1</v>
      </c>
      <c r="D125" s="14">
        <v>-1317.8</v>
      </c>
      <c r="E125" s="14">
        <v>-96.9</v>
      </c>
      <c r="F125" s="14">
        <v>0</v>
      </c>
      <c r="G125" s="14">
        <v>0</v>
      </c>
      <c r="H125" s="14">
        <v>-120.21</v>
      </c>
      <c r="I125" s="14">
        <v>-84.47</v>
      </c>
      <c r="J125" s="14">
        <v>-409.39</v>
      </c>
      <c r="K125" s="14">
        <v>0</v>
      </c>
      <c r="L125" s="14">
        <v>-745.26</v>
      </c>
      <c r="M125" s="14">
        <v>-65.83</v>
      </c>
      <c r="N125" s="14">
        <v>1016.94</v>
      </c>
      <c r="O125" s="14">
        <v>202.34</v>
      </c>
      <c r="P125" s="14">
        <v>151.44999999999999</v>
      </c>
      <c r="Q125" s="14">
        <v>0</v>
      </c>
      <c r="R125" s="14">
        <v>0</v>
      </c>
      <c r="S125" s="14">
        <v>-248.08</v>
      </c>
      <c r="T125" s="14">
        <v>-622.65</v>
      </c>
      <c r="U125" s="14">
        <v>-193.26</v>
      </c>
      <c r="V125" s="14">
        <v>5.08</v>
      </c>
      <c r="W125" s="14">
        <v>-245.66</v>
      </c>
      <c r="X125" s="14">
        <v>-548.45000000000005</v>
      </c>
    </row>
    <row r="126" spans="1:24" x14ac:dyDescent="0.2">
      <c r="A126" s="4" t="s">
        <v>319</v>
      </c>
      <c r="B126" s="19">
        <v>5219.7</v>
      </c>
      <c r="C126" s="19">
        <v>-859.1</v>
      </c>
      <c r="D126" s="19">
        <v>-1317.8</v>
      </c>
      <c r="E126" s="19">
        <v>-96.9</v>
      </c>
      <c r="F126" s="19">
        <v>0</v>
      </c>
      <c r="G126" s="19">
        <v>0</v>
      </c>
      <c r="H126" s="19">
        <v>-103.21</v>
      </c>
      <c r="I126" s="19">
        <v>-84.47</v>
      </c>
      <c r="J126" s="19">
        <v>-396.53</v>
      </c>
      <c r="K126" s="19">
        <v>0</v>
      </c>
      <c r="L126" s="19">
        <v>-745.26</v>
      </c>
      <c r="M126" s="19">
        <v>-65.83</v>
      </c>
      <c r="N126" s="19">
        <v>3875.87</v>
      </c>
      <c r="O126" s="19">
        <v>3208.94</v>
      </c>
      <c r="P126" s="19">
        <v>3328.87</v>
      </c>
      <c r="Q126" s="19">
        <v>47.64</v>
      </c>
      <c r="R126" s="19">
        <v>0</v>
      </c>
      <c r="S126" s="19">
        <v>-248.08</v>
      </c>
      <c r="T126" s="19">
        <v>-622.65</v>
      </c>
      <c r="U126" s="19">
        <v>87.24</v>
      </c>
      <c r="V126" s="19">
        <v>5.08</v>
      </c>
      <c r="W126" s="19">
        <v>-245.66</v>
      </c>
      <c r="X126" s="19">
        <v>-548.45000000000005</v>
      </c>
    </row>
    <row r="127" spans="1:24" x14ac:dyDescent="0.2">
      <c r="A127" s="4" t="s">
        <v>320</v>
      </c>
      <c r="B127" s="13" t="s">
        <v>73</v>
      </c>
      <c r="C127" s="13" t="s">
        <v>73</v>
      </c>
      <c r="D127" s="13" t="s">
        <v>73</v>
      </c>
      <c r="E127" s="13" t="s">
        <v>73</v>
      </c>
      <c r="F127" s="13" t="s">
        <v>73</v>
      </c>
      <c r="G127" s="13" t="s">
        <v>73</v>
      </c>
      <c r="H127" s="13" t="s">
        <v>73</v>
      </c>
      <c r="I127" s="13" t="s">
        <v>73</v>
      </c>
      <c r="J127" s="13" t="s">
        <v>73</v>
      </c>
      <c r="K127" s="13" t="s">
        <v>73</v>
      </c>
      <c r="L127" s="13" t="s">
        <v>73</v>
      </c>
      <c r="M127" s="13" t="s">
        <v>73</v>
      </c>
      <c r="N127" s="13" t="s">
        <v>73</v>
      </c>
      <c r="O127" s="13" t="s">
        <v>73</v>
      </c>
      <c r="P127" s="13" t="s">
        <v>73</v>
      </c>
      <c r="Q127" s="13" t="s">
        <v>73</v>
      </c>
      <c r="R127" s="13" t="s">
        <v>73</v>
      </c>
      <c r="S127" s="13" t="s">
        <v>73</v>
      </c>
      <c r="T127" s="13" t="s">
        <v>73</v>
      </c>
      <c r="U127" s="13" t="s">
        <v>73</v>
      </c>
      <c r="V127" s="13" t="s">
        <v>73</v>
      </c>
      <c r="W127" s="13" t="s">
        <v>73</v>
      </c>
      <c r="X127" s="13" t="s">
        <v>73</v>
      </c>
    </row>
    <row r="128" spans="1:24" x14ac:dyDescent="0.2">
      <c r="A128" s="4" t="s">
        <v>74</v>
      </c>
      <c r="B128" s="14">
        <v>53973.65</v>
      </c>
      <c r="C128" s="14">
        <v>3352.64</v>
      </c>
      <c r="D128" s="14">
        <v>2582.36</v>
      </c>
      <c r="E128" s="14">
        <v>3360</v>
      </c>
      <c r="F128" s="14">
        <v>1996.71</v>
      </c>
      <c r="G128" s="14">
        <v>1965.71</v>
      </c>
      <c r="H128" s="14">
        <v>2609.5</v>
      </c>
      <c r="I128" s="14">
        <v>2776.5</v>
      </c>
      <c r="J128" s="14">
        <v>2147.46</v>
      </c>
      <c r="K128" s="14">
        <v>3180.75</v>
      </c>
      <c r="L128" s="14">
        <v>3680</v>
      </c>
      <c r="M128" s="14">
        <v>2032.07</v>
      </c>
      <c r="N128" s="14">
        <v>2755.79</v>
      </c>
      <c r="O128" s="14">
        <v>3716.8</v>
      </c>
      <c r="P128" s="14">
        <v>3009</v>
      </c>
      <c r="Q128" s="14">
        <v>2107.7199999999998</v>
      </c>
      <c r="R128" s="14">
        <v>3186.29</v>
      </c>
      <c r="S128" s="14">
        <v>0</v>
      </c>
      <c r="T128" s="14">
        <v>2841.43</v>
      </c>
      <c r="U128" s="14">
        <v>2051.2800000000002</v>
      </c>
      <c r="V128" s="14">
        <v>2798.22</v>
      </c>
      <c r="W128" s="14">
        <v>1823.42</v>
      </c>
      <c r="X128" s="14">
        <v>0</v>
      </c>
    </row>
    <row r="129" spans="1:24" x14ac:dyDescent="0.2">
      <c r="A129" s="4" t="s">
        <v>75</v>
      </c>
      <c r="B129" s="14">
        <v>4120.67</v>
      </c>
      <c r="C129" s="14">
        <v>255.75</v>
      </c>
      <c r="D129" s="14">
        <v>271.93</v>
      </c>
      <c r="E129" s="14">
        <v>49.51</v>
      </c>
      <c r="F129" s="14">
        <v>0</v>
      </c>
      <c r="G129" s="14">
        <v>60.75</v>
      </c>
      <c r="H129" s="14">
        <v>57.38</v>
      </c>
      <c r="I129" s="14">
        <v>312.43</v>
      </c>
      <c r="J129" s="14">
        <v>204.91</v>
      </c>
      <c r="K129" s="14">
        <v>670.51</v>
      </c>
      <c r="L129" s="14">
        <v>0</v>
      </c>
      <c r="M129" s="14">
        <v>563.14</v>
      </c>
      <c r="N129" s="14">
        <v>96.65</v>
      </c>
      <c r="O129" s="14">
        <v>0</v>
      </c>
      <c r="P129" s="14">
        <v>105.1</v>
      </c>
      <c r="Q129" s="14">
        <v>0</v>
      </c>
      <c r="R129" s="14">
        <v>0</v>
      </c>
      <c r="S129" s="14">
        <v>0</v>
      </c>
      <c r="T129" s="14">
        <v>1273.82</v>
      </c>
      <c r="U129" s="14">
        <v>157.07</v>
      </c>
      <c r="V129" s="14">
        <v>41.72</v>
      </c>
      <c r="W129" s="14">
        <v>0</v>
      </c>
      <c r="X129" s="14">
        <v>0</v>
      </c>
    </row>
    <row r="130" spans="1:24" x14ac:dyDescent="0.2">
      <c r="A130" s="4" t="s">
        <v>77</v>
      </c>
      <c r="B130" s="14">
        <v>25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25</v>
      </c>
      <c r="W130" s="14">
        <v>0</v>
      </c>
      <c r="X130" s="14">
        <v>0</v>
      </c>
    </row>
    <row r="131" spans="1:24" x14ac:dyDescent="0.2">
      <c r="A131" s="4" t="s">
        <v>78</v>
      </c>
      <c r="B131" s="14">
        <v>8309.68</v>
      </c>
      <c r="C131" s="14">
        <v>321.39999999999998</v>
      </c>
      <c r="D131" s="14">
        <v>1161.42</v>
      </c>
      <c r="E131" s="14">
        <v>0</v>
      </c>
      <c r="F131" s="14">
        <v>584.62</v>
      </c>
      <c r="G131" s="14">
        <v>262.51</v>
      </c>
      <c r="H131" s="14">
        <v>640.79999999999995</v>
      </c>
      <c r="I131" s="14">
        <v>590.87</v>
      </c>
      <c r="J131" s="14">
        <v>284.33999999999997</v>
      </c>
      <c r="K131" s="14">
        <v>487.25</v>
      </c>
      <c r="L131" s="14">
        <v>-16.36</v>
      </c>
      <c r="M131" s="14">
        <v>-128.46</v>
      </c>
      <c r="N131" s="14">
        <v>-148.78</v>
      </c>
      <c r="O131" s="14">
        <v>1015.1</v>
      </c>
      <c r="P131" s="14">
        <v>220.4</v>
      </c>
      <c r="Q131" s="14">
        <v>2393.7199999999998</v>
      </c>
      <c r="R131" s="14">
        <v>446.93</v>
      </c>
      <c r="S131" s="14">
        <v>-528.27</v>
      </c>
      <c r="T131" s="14">
        <v>-158.94</v>
      </c>
      <c r="U131" s="14">
        <v>147.26</v>
      </c>
      <c r="V131" s="14">
        <v>377.13</v>
      </c>
      <c r="W131" s="14">
        <v>356.74</v>
      </c>
      <c r="X131" s="14">
        <v>0</v>
      </c>
    </row>
    <row r="132" spans="1:24" x14ac:dyDescent="0.2">
      <c r="A132" s="4" t="s">
        <v>321</v>
      </c>
      <c r="B132" s="19">
        <v>66429</v>
      </c>
      <c r="C132" s="19">
        <v>3929.79</v>
      </c>
      <c r="D132" s="19">
        <v>4015.71</v>
      </c>
      <c r="E132" s="19">
        <v>3409.51</v>
      </c>
      <c r="F132" s="19">
        <v>2581.33</v>
      </c>
      <c r="G132" s="19">
        <v>2288.9699999999998</v>
      </c>
      <c r="H132" s="19">
        <v>3307.68</v>
      </c>
      <c r="I132" s="19">
        <v>3679.8</v>
      </c>
      <c r="J132" s="19">
        <v>2636.71</v>
      </c>
      <c r="K132" s="19">
        <v>4338.51</v>
      </c>
      <c r="L132" s="19">
        <v>3663.64</v>
      </c>
      <c r="M132" s="19">
        <v>2466.75</v>
      </c>
      <c r="N132" s="19">
        <v>2703.66</v>
      </c>
      <c r="O132" s="19">
        <v>4731.8999999999996</v>
      </c>
      <c r="P132" s="19">
        <v>3334.5</v>
      </c>
      <c r="Q132" s="19">
        <v>4501.4399999999996</v>
      </c>
      <c r="R132" s="19">
        <v>3633.22</v>
      </c>
      <c r="S132" s="19">
        <v>-528.27</v>
      </c>
      <c r="T132" s="19">
        <v>3956.31</v>
      </c>
      <c r="U132" s="19">
        <v>2355.61</v>
      </c>
      <c r="V132" s="19">
        <v>3242.07</v>
      </c>
      <c r="W132" s="19">
        <v>2180.16</v>
      </c>
      <c r="X132" s="19">
        <v>0</v>
      </c>
    </row>
    <row r="133" spans="1:24" x14ac:dyDescent="0.2">
      <c r="A133" s="4" t="s">
        <v>322</v>
      </c>
      <c r="B133" s="13" t="s">
        <v>73</v>
      </c>
      <c r="C133" s="13" t="s">
        <v>73</v>
      </c>
      <c r="D133" s="13" t="s">
        <v>73</v>
      </c>
      <c r="E133" s="13" t="s">
        <v>73</v>
      </c>
      <c r="F133" s="13" t="s">
        <v>73</v>
      </c>
      <c r="G133" s="13" t="s">
        <v>73</v>
      </c>
      <c r="H133" s="13" t="s">
        <v>73</v>
      </c>
      <c r="I133" s="13" t="s">
        <v>73</v>
      </c>
      <c r="J133" s="13" t="s">
        <v>73</v>
      </c>
      <c r="K133" s="13" t="s">
        <v>73</v>
      </c>
      <c r="L133" s="13" t="s">
        <v>73</v>
      </c>
      <c r="M133" s="13" t="s">
        <v>73</v>
      </c>
      <c r="N133" s="13" t="s">
        <v>73</v>
      </c>
      <c r="O133" s="13" t="s">
        <v>73</v>
      </c>
      <c r="P133" s="13" t="s">
        <v>73</v>
      </c>
      <c r="Q133" s="13" t="s">
        <v>73</v>
      </c>
      <c r="R133" s="13" t="s">
        <v>73</v>
      </c>
      <c r="S133" s="13" t="s">
        <v>73</v>
      </c>
      <c r="T133" s="13" t="s">
        <v>73</v>
      </c>
      <c r="U133" s="13" t="s">
        <v>73</v>
      </c>
      <c r="V133" s="13" t="s">
        <v>73</v>
      </c>
      <c r="W133" s="13" t="s">
        <v>73</v>
      </c>
      <c r="X133" s="13" t="s">
        <v>73</v>
      </c>
    </row>
    <row r="134" spans="1:24" x14ac:dyDescent="0.2">
      <c r="A134" s="4" t="s">
        <v>74</v>
      </c>
      <c r="B134" s="14">
        <v>3687.93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2683.29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1004.64</v>
      </c>
      <c r="V134" s="14">
        <v>0</v>
      </c>
      <c r="W134" s="14">
        <v>0</v>
      </c>
      <c r="X134" s="14">
        <v>0</v>
      </c>
    </row>
    <row r="135" spans="1:24" x14ac:dyDescent="0.2">
      <c r="A135" s="4" t="s">
        <v>75</v>
      </c>
      <c r="B135" s="14">
        <v>65.569999999999993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65.569999999999993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</row>
    <row r="136" spans="1:24" x14ac:dyDescent="0.2">
      <c r="A136" s="4" t="s">
        <v>78</v>
      </c>
      <c r="B136" s="14">
        <v>794.24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648.07000000000005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146.16999999999999</v>
      </c>
      <c r="V136" s="14">
        <v>0</v>
      </c>
      <c r="W136" s="14">
        <v>0</v>
      </c>
      <c r="X136" s="14">
        <v>0</v>
      </c>
    </row>
    <row r="137" spans="1:24" x14ac:dyDescent="0.2">
      <c r="A137" s="4" t="s">
        <v>323</v>
      </c>
      <c r="B137" s="19">
        <v>4547.74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3396.93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1150.81</v>
      </c>
      <c r="V137" s="19">
        <v>0</v>
      </c>
      <c r="W137" s="19">
        <v>0</v>
      </c>
      <c r="X137" s="19">
        <v>0</v>
      </c>
    </row>
    <row r="138" spans="1:24" x14ac:dyDescent="0.2">
      <c r="A138" s="4" t="s">
        <v>324</v>
      </c>
      <c r="B138" s="13" t="s">
        <v>73</v>
      </c>
      <c r="C138" s="13" t="s">
        <v>73</v>
      </c>
      <c r="D138" s="13" t="s">
        <v>73</v>
      </c>
      <c r="E138" s="13" t="s">
        <v>73</v>
      </c>
      <c r="F138" s="13" t="s">
        <v>73</v>
      </c>
      <c r="G138" s="13" t="s">
        <v>73</v>
      </c>
      <c r="H138" s="13" t="s">
        <v>73</v>
      </c>
      <c r="I138" s="13" t="s">
        <v>73</v>
      </c>
      <c r="J138" s="13" t="s">
        <v>73</v>
      </c>
      <c r="K138" s="13" t="s">
        <v>73</v>
      </c>
      <c r="L138" s="13" t="s">
        <v>73</v>
      </c>
      <c r="M138" s="13" t="s">
        <v>73</v>
      </c>
      <c r="N138" s="13" t="s">
        <v>73</v>
      </c>
      <c r="O138" s="13" t="s">
        <v>73</v>
      </c>
      <c r="P138" s="13" t="s">
        <v>73</v>
      </c>
      <c r="Q138" s="13" t="s">
        <v>73</v>
      </c>
      <c r="R138" s="13" t="s">
        <v>73</v>
      </c>
      <c r="S138" s="13" t="s">
        <v>73</v>
      </c>
      <c r="T138" s="13" t="s">
        <v>73</v>
      </c>
      <c r="U138" s="13" t="s">
        <v>73</v>
      </c>
      <c r="V138" s="13" t="s">
        <v>73</v>
      </c>
      <c r="W138" s="13" t="s">
        <v>73</v>
      </c>
      <c r="X138" s="13" t="s">
        <v>73</v>
      </c>
    </row>
    <row r="139" spans="1:24" x14ac:dyDescent="0.2">
      <c r="A139" s="4" t="s">
        <v>74</v>
      </c>
      <c r="B139" s="14">
        <v>131392.93</v>
      </c>
      <c r="C139" s="14">
        <v>4914.88</v>
      </c>
      <c r="D139" s="14">
        <v>10632.83</v>
      </c>
      <c r="E139" s="14">
        <v>7532.14</v>
      </c>
      <c r="F139" s="14">
        <v>10039.51</v>
      </c>
      <c r="G139" s="14">
        <v>4944.47</v>
      </c>
      <c r="H139" s="14">
        <v>7232.77</v>
      </c>
      <c r="I139" s="14">
        <v>4386.25</v>
      </c>
      <c r="J139" s="14">
        <v>3707.68</v>
      </c>
      <c r="K139" s="14">
        <v>2173.39</v>
      </c>
      <c r="L139" s="14">
        <v>10905.14</v>
      </c>
      <c r="M139" s="14">
        <v>9747.64</v>
      </c>
      <c r="N139" s="14">
        <v>21945.5</v>
      </c>
      <c r="O139" s="14">
        <v>8673.75</v>
      </c>
      <c r="P139" s="14">
        <v>6475.85</v>
      </c>
      <c r="Q139" s="14">
        <v>2951.52</v>
      </c>
      <c r="R139" s="14">
        <v>5955.15</v>
      </c>
      <c r="S139" s="14">
        <v>3035.72</v>
      </c>
      <c r="T139" s="14">
        <v>2232.3200000000002</v>
      </c>
      <c r="U139" s="14">
        <v>388.39</v>
      </c>
      <c r="V139" s="14">
        <v>3518.03</v>
      </c>
      <c r="W139" s="14">
        <v>0</v>
      </c>
      <c r="X139" s="14">
        <v>0</v>
      </c>
    </row>
    <row r="140" spans="1:24" x14ac:dyDescent="0.2">
      <c r="A140" s="4" t="s">
        <v>75</v>
      </c>
      <c r="B140" s="14">
        <v>1644.06</v>
      </c>
      <c r="C140" s="14">
        <v>29.74</v>
      </c>
      <c r="D140" s="14">
        <v>0</v>
      </c>
      <c r="E140" s="14">
        <v>296.74</v>
      </c>
      <c r="F140" s="14">
        <v>88.25</v>
      </c>
      <c r="G140" s="14">
        <v>109.67</v>
      </c>
      <c r="H140" s="14">
        <v>0</v>
      </c>
      <c r="I140" s="14">
        <v>0</v>
      </c>
      <c r="J140" s="14">
        <v>0</v>
      </c>
      <c r="K140" s="14">
        <v>0</v>
      </c>
      <c r="L140" s="14">
        <v>122.79</v>
      </c>
      <c r="M140" s="14">
        <v>0</v>
      </c>
      <c r="N140" s="14">
        <v>275.25</v>
      </c>
      <c r="O140" s="14">
        <v>232.24</v>
      </c>
      <c r="P140" s="14">
        <v>426.7</v>
      </c>
      <c r="Q140" s="14">
        <v>62.68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</row>
    <row r="141" spans="1:24" x14ac:dyDescent="0.2">
      <c r="A141" s="4" t="s">
        <v>78</v>
      </c>
      <c r="B141" s="14">
        <v>9487.0300000000007</v>
      </c>
      <c r="C141" s="14">
        <v>-110.25</v>
      </c>
      <c r="D141" s="14">
        <v>2113.3000000000002</v>
      </c>
      <c r="E141" s="14">
        <v>36.56</v>
      </c>
      <c r="F141" s="14">
        <v>-40.51</v>
      </c>
      <c r="G141" s="14">
        <v>297.37</v>
      </c>
      <c r="H141" s="14">
        <v>168.92</v>
      </c>
      <c r="I141" s="14">
        <v>635.29999999999995</v>
      </c>
      <c r="J141" s="14">
        <v>632.59</v>
      </c>
      <c r="K141" s="14">
        <v>318.61</v>
      </c>
      <c r="L141" s="14">
        <v>2909.24</v>
      </c>
      <c r="M141" s="14">
        <v>195.32</v>
      </c>
      <c r="N141" s="14">
        <v>2258.91</v>
      </c>
      <c r="O141" s="14">
        <v>1054.77</v>
      </c>
      <c r="P141" s="14">
        <v>322.83</v>
      </c>
      <c r="Q141" s="14">
        <v>315.75</v>
      </c>
      <c r="R141" s="14">
        <v>-197.31</v>
      </c>
      <c r="S141" s="14">
        <v>-340.19</v>
      </c>
      <c r="T141" s="14">
        <v>-739.03</v>
      </c>
      <c r="U141" s="14">
        <v>-335.32</v>
      </c>
      <c r="V141" s="14">
        <v>7.75</v>
      </c>
      <c r="W141" s="14">
        <v>-17.579999999999998</v>
      </c>
      <c r="X141" s="14">
        <v>0</v>
      </c>
    </row>
    <row r="142" spans="1:24" x14ac:dyDescent="0.2">
      <c r="A142" s="4" t="s">
        <v>325</v>
      </c>
      <c r="B142" s="19">
        <v>142524.01999999999</v>
      </c>
      <c r="C142" s="19">
        <v>4834.37</v>
      </c>
      <c r="D142" s="19">
        <v>12746.13</v>
      </c>
      <c r="E142" s="19">
        <v>7865.44</v>
      </c>
      <c r="F142" s="19">
        <v>10087.25</v>
      </c>
      <c r="G142" s="19">
        <v>5351.51</v>
      </c>
      <c r="H142" s="19">
        <v>7401.69</v>
      </c>
      <c r="I142" s="19">
        <v>5021.55</v>
      </c>
      <c r="J142" s="19">
        <v>4340.2700000000004</v>
      </c>
      <c r="K142" s="19">
        <v>2492</v>
      </c>
      <c r="L142" s="19">
        <v>13937.17</v>
      </c>
      <c r="M142" s="19">
        <v>9942.9599999999991</v>
      </c>
      <c r="N142" s="19">
        <v>24479.66</v>
      </c>
      <c r="O142" s="19">
        <v>9960.76</v>
      </c>
      <c r="P142" s="19">
        <v>7225.38</v>
      </c>
      <c r="Q142" s="19">
        <v>3329.95</v>
      </c>
      <c r="R142" s="19">
        <v>5757.84</v>
      </c>
      <c r="S142" s="19">
        <v>2695.53</v>
      </c>
      <c r="T142" s="19">
        <v>1493.29</v>
      </c>
      <c r="U142" s="19">
        <v>53.07</v>
      </c>
      <c r="V142" s="19">
        <v>3525.78</v>
      </c>
      <c r="W142" s="19">
        <v>-17.579999999999998</v>
      </c>
      <c r="X142" s="19">
        <v>0</v>
      </c>
    </row>
    <row r="143" spans="1:24" x14ac:dyDescent="0.2">
      <c r="A143" s="4" t="s">
        <v>326</v>
      </c>
      <c r="B143" s="13" t="s">
        <v>73</v>
      </c>
      <c r="C143" s="13" t="s">
        <v>73</v>
      </c>
      <c r="D143" s="13" t="s">
        <v>73</v>
      </c>
      <c r="E143" s="13" t="s">
        <v>73</v>
      </c>
      <c r="F143" s="13" t="s">
        <v>73</v>
      </c>
      <c r="G143" s="13" t="s">
        <v>73</v>
      </c>
      <c r="H143" s="13" t="s">
        <v>73</v>
      </c>
      <c r="I143" s="13" t="s">
        <v>73</v>
      </c>
      <c r="J143" s="13" t="s">
        <v>73</v>
      </c>
      <c r="K143" s="13" t="s">
        <v>73</v>
      </c>
      <c r="L143" s="13" t="s">
        <v>73</v>
      </c>
      <c r="M143" s="13" t="s">
        <v>73</v>
      </c>
      <c r="N143" s="13" t="s">
        <v>73</v>
      </c>
      <c r="O143" s="13" t="s">
        <v>73</v>
      </c>
      <c r="P143" s="13" t="s">
        <v>73</v>
      </c>
      <c r="Q143" s="13" t="s">
        <v>73</v>
      </c>
      <c r="R143" s="13" t="s">
        <v>73</v>
      </c>
      <c r="S143" s="13" t="s">
        <v>73</v>
      </c>
      <c r="T143" s="13" t="s">
        <v>73</v>
      </c>
      <c r="U143" s="13" t="s">
        <v>73</v>
      </c>
      <c r="V143" s="13" t="s">
        <v>73</v>
      </c>
      <c r="W143" s="13" t="s">
        <v>73</v>
      </c>
      <c r="X143" s="13" t="s">
        <v>73</v>
      </c>
    </row>
    <row r="144" spans="1:24" x14ac:dyDescent="0.2">
      <c r="A144" s="4" t="s">
        <v>74</v>
      </c>
      <c r="B144" s="14">
        <v>105669.38</v>
      </c>
      <c r="C144" s="14">
        <v>5814.29</v>
      </c>
      <c r="D144" s="14">
        <v>2186.25</v>
      </c>
      <c r="E144" s="14">
        <v>4602.53</v>
      </c>
      <c r="F144" s="14">
        <v>1836.33</v>
      </c>
      <c r="G144" s="14">
        <v>8376.1</v>
      </c>
      <c r="H144" s="14">
        <v>2606.4499999999998</v>
      </c>
      <c r="I144" s="14">
        <v>3831.6</v>
      </c>
      <c r="J144" s="14">
        <v>8984.8799999999992</v>
      </c>
      <c r="K144" s="14">
        <v>7284.07</v>
      </c>
      <c r="L144" s="14">
        <v>3598.29</v>
      </c>
      <c r="M144" s="14">
        <v>4259.8900000000003</v>
      </c>
      <c r="N144" s="14">
        <v>4575.43</v>
      </c>
      <c r="O144" s="14">
        <v>5936.78</v>
      </c>
      <c r="P144" s="14">
        <v>7258.28</v>
      </c>
      <c r="Q144" s="14">
        <v>10254.99</v>
      </c>
      <c r="R144" s="14">
        <v>7876.37</v>
      </c>
      <c r="S144" s="14">
        <v>0</v>
      </c>
      <c r="T144" s="14">
        <v>4773.75</v>
      </c>
      <c r="U144" s="14">
        <v>2639.46</v>
      </c>
      <c r="V144" s="14">
        <v>5034</v>
      </c>
      <c r="W144" s="14">
        <v>3939.64</v>
      </c>
      <c r="X144" s="14">
        <v>0</v>
      </c>
    </row>
    <row r="145" spans="1:24" x14ac:dyDescent="0.2">
      <c r="A145" s="4" t="s">
        <v>75</v>
      </c>
      <c r="B145" s="14">
        <v>3489.25</v>
      </c>
      <c r="C145" s="14">
        <v>249.43</v>
      </c>
      <c r="D145" s="14">
        <v>0</v>
      </c>
      <c r="E145" s="14">
        <v>310.47000000000003</v>
      </c>
      <c r="F145" s="14">
        <v>87</v>
      </c>
      <c r="G145" s="14">
        <v>197.3</v>
      </c>
      <c r="H145" s="14">
        <v>0</v>
      </c>
      <c r="I145" s="14">
        <v>32.630000000000003</v>
      </c>
      <c r="J145" s="14">
        <v>152.81</v>
      </c>
      <c r="K145" s="14">
        <v>136.94</v>
      </c>
      <c r="L145" s="14">
        <v>0</v>
      </c>
      <c r="M145" s="14">
        <v>0</v>
      </c>
      <c r="N145" s="14">
        <v>78.86</v>
      </c>
      <c r="O145" s="14">
        <v>78.75</v>
      </c>
      <c r="P145" s="14">
        <v>1047.73</v>
      </c>
      <c r="Q145" s="14">
        <v>728.39</v>
      </c>
      <c r="R145" s="14">
        <v>0</v>
      </c>
      <c r="S145" s="14">
        <v>0</v>
      </c>
      <c r="T145" s="14">
        <v>388.94</v>
      </c>
      <c r="U145" s="14">
        <v>0</v>
      </c>
      <c r="V145" s="14">
        <v>0</v>
      </c>
      <c r="W145" s="14">
        <v>0</v>
      </c>
      <c r="X145" s="14">
        <v>0</v>
      </c>
    </row>
    <row r="146" spans="1:24" x14ac:dyDescent="0.2">
      <c r="A146" s="4" t="s">
        <v>77</v>
      </c>
      <c r="B146" s="14">
        <v>107.14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107.14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</row>
    <row r="147" spans="1:24" x14ac:dyDescent="0.2">
      <c r="A147" s="4" t="s">
        <v>78</v>
      </c>
      <c r="B147" s="14">
        <v>10275.19</v>
      </c>
      <c r="C147" s="14">
        <v>214.69</v>
      </c>
      <c r="D147" s="14">
        <v>-249</v>
      </c>
      <c r="E147" s="14">
        <v>200.97</v>
      </c>
      <c r="F147" s="14">
        <v>0</v>
      </c>
      <c r="G147" s="14">
        <v>29.99</v>
      </c>
      <c r="H147" s="14">
        <v>295.82</v>
      </c>
      <c r="I147" s="14">
        <v>68.709999999999994</v>
      </c>
      <c r="J147" s="14">
        <v>1520.82</v>
      </c>
      <c r="K147" s="14">
        <v>870.43</v>
      </c>
      <c r="L147" s="14">
        <v>629.29</v>
      </c>
      <c r="M147" s="14">
        <v>271.07</v>
      </c>
      <c r="N147" s="14">
        <v>-772.31</v>
      </c>
      <c r="O147" s="14">
        <v>612.01</v>
      </c>
      <c r="P147" s="14">
        <v>845.93</v>
      </c>
      <c r="Q147" s="14">
        <v>500.6</v>
      </c>
      <c r="R147" s="14">
        <v>3241.32</v>
      </c>
      <c r="S147" s="14">
        <v>-168.92</v>
      </c>
      <c r="T147" s="14">
        <v>459.22</v>
      </c>
      <c r="U147" s="14">
        <v>401.27</v>
      </c>
      <c r="V147" s="14">
        <v>825.43</v>
      </c>
      <c r="W147" s="14">
        <v>477.85</v>
      </c>
      <c r="X147" s="14">
        <v>0</v>
      </c>
    </row>
    <row r="148" spans="1:24" x14ac:dyDescent="0.2">
      <c r="A148" s="4" t="s">
        <v>327</v>
      </c>
      <c r="B148" s="19">
        <v>119540.96</v>
      </c>
      <c r="C148" s="19">
        <v>6278.41</v>
      </c>
      <c r="D148" s="19">
        <v>1937.25</v>
      </c>
      <c r="E148" s="19">
        <v>5113.97</v>
      </c>
      <c r="F148" s="19">
        <v>1923.33</v>
      </c>
      <c r="G148" s="19">
        <v>8603.39</v>
      </c>
      <c r="H148" s="19">
        <v>2902.27</v>
      </c>
      <c r="I148" s="19">
        <v>3932.94</v>
      </c>
      <c r="J148" s="19">
        <v>10658.51</v>
      </c>
      <c r="K148" s="19">
        <v>8398.58</v>
      </c>
      <c r="L148" s="19">
        <v>4227.58</v>
      </c>
      <c r="M148" s="19">
        <v>4530.96</v>
      </c>
      <c r="N148" s="19">
        <v>3881.98</v>
      </c>
      <c r="O148" s="19">
        <v>6627.54</v>
      </c>
      <c r="P148" s="19">
        <v>9151.94</v>
      </c>
      <c r="Q148" s="19">
        <v>11483.98</v>
      </c>
      <c r="R148" s="19">
        <v>11117.69</v>
      </c>
      <c r="S148" s="19">
        <v>-168.92</v>
      </c>
      <c r="T148" s="19">
        <v>5621.91</v>
      </c>
      <c r="U148" s="19">
        <v>3040.73</v>
      </c>
      <c r="V148" s="19">
        <v>5859.43</v>
      </c>
      <c r="W148" s="19">
        <v>4417.49</v>
      </c>
      <c r="X148" s="19">
        <v>0</v>
      </c>
    </row>
    <row r="149" spans="1:24" x14ac:dyDescent="0.2">
      <c r="A149" s="4" t="s">
        <v>328</v>
      </c>
      <c r="B149" s="13" t="s">
        <v>73</v>
      </c>
      <c r="C149" s="13" t="s">
        <v>73</v>
      </c>
      <c r="D149" s="13" t="s">
        <v>73</v>
      </c>
      <c r="E149" s="13" t="s">
        <v>73</v>
      </c>
      <c r="F149" s="13" t="s">
        <v>73</v>
      </c>
      <c r="G149" s="13" t="s">
        <v>73</v>
      </c>
      <c r="H149" s="13" t="s">
        <v>73</v>
      </c>
      <c r="I149" s="13" t="s">
        <v>73</v>
      </c>
      <c r="J149" s="13" t="s">
        <v>73</v>
      </c>
      <c r="K149" s="13" t="s">
        <v>73</v>
      </c>
      <c r="L149" s="13" t="s">
        <v>73</v>
      </c>
      <c r="M149" s="13" t="s">
        <v>73</v>
      </c>
      <c r="N149" s="13" t="s">
        <v>73</v>
      </c>
      <c r="O149" s="13" t="s">
        <v>73</v>
      </c>
      <c r="P149" s="13" t="s">
        <v>73</v>
      </c>
      <c r="Q149" s="13" t="s">
        <v>73</v>
      </c>
      <c r="R149" s="13" t="s">
        <v>73</v>
      </c>
      <c r="S149" s="13" t="s">
        <v>73</v>
      </c>
      <c r="T149" s="13" t="s">
        <v>73</v>
      </c>
      <c r="U149" s="13" t="s">
        <v>73</v>
      </c>
      <c r="V149" s="13" t="s">
        <v>73</v>
      </c>
      <c r="W149" s="13" t="s">
        <v>73</v>
      </c>
      <c r="X149" s="13" t="s">
        <v>73</v>
      </c>
    </row>
    <row r="150" spans="1:24" x14ac:dyDescent="0.2">
      <c r="A150" s="4" t="s">
        <v>74</v>
      </c>
      <c r="B150" s="14">
        <v>44578.52</v>
      </c>
      <c r="C150" s="14">
        <v>0</v>
      </c>
      <c r="D150" s="14">
        <v>0</v>
      </c>
      <c r="E150" s="14">
        <v>3123.07</v>
      </c>
      <c r="F150" s="14">
        <v>0</v>
      </c>
      <c r="G150" s="14">
        <v>3757.39</v>
      </c>
      <c r="H150" s="14">
        <v>1211</v>
      </c>
      <c r="I150" s="14">
        <v>0</v>
      </c>
      <c r="J150" s="14">
        <v>5620.54</v>
      </c>
      <c r="K150" s="14">
        <v>2214.65</v>
      </c>
      <c r="L150" s="14">
        <v>3659.46</v>
      </c>
      <c r="M150" s="14">
        <v>4270.72</v>
      </c>
      <c r="N150" s="14">
        <v>4888.3900000000003</v>
      </c>
      <c r="O150" s="14">
        <v>8439.64</v>
      </c>
      <c r="P150" s="14">
        <v>1609.82</v>
      </c>
      <c r="Q150" s="14">
        <v>5783.84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</row>
    <row r="151" spans="1:24" x14ac:dyDescent="0.2">
      <c r="A151" s="4" t="s">
        <v>75</v>
      </c>
      <c r="B151" s="14">
        <v>528.28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22.8</v>
      </c>
      <c r="K151" s="14">
        <v>0</v>
      </c>
      <c r="L151" s="14">
        <v>204.11</v>
      </c>
      <c r="M151" s="14">
        <v>0</v>
      </c>
      <c r="N151" s="14">
        <v>48.22</v>
      </c>
      <c r="O151" s="14">
        <v>253.15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</row>
    <row r="152" spans="1:24" x14ac:dyDescent="0.2">
      <c r="A152" s="4" t="s">
        <v>77</v>
      </c>
      <c r="B152" s="14">
        <v>14.29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14.29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</row>
    <row r="153" spans="1:24" x14ac:dyDescent="0.2">
      <c r="A153" s="4" t="s">
        <v>78</v>
      </c>
      <c r="B153" s="14">
        <v>7218.54</v>
      </c>
      <c r="C153" s="14">
        <v>0</v>
      </c>
      <c r="D153" s="14">
        <v>-842.05</v>
      </c>
      <c r="E153" s="14">
        <v>-156.47999999999999</v>
      </c>
      <c r="F153" s="14">
        <v>0</v>
      </c>
      <c r="G153" s="14">
        <v>726.87</v>
      </c>
      <c r="H153" s="14">
        <v>144.19</v>
      </c>
      <c r="I153" s="14">
        <v>0</v>
      </c>
      <c r="J153" s="14">
        <v>2149.2399999999998</v>
      </c>
      <c r="K153" s="14">
        <v>-406.11</v>
      </c>
      <c r="L153" s="14">
        <v>990.63</v>
      </c>
      <c r="M153" s="14">
        <v>303.24</v>
      </c>
      <c r="N153" s="14">
        <v>1124.28</v>
      </c>
      <c r="O153" s="14">
        <v>2920.35</v>
      </c>
      <c r="P153" s="14">
        <v>33.31</v>
      </c>
      <c r="Q153" s="14">
        <v>231.07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</row>
    <row r="154" spans="1:24" x14ac:dyDescent="0.2">
      <c r="A154" s="4" t="s">
        <v>329</v>
      </c>
      <c r="B154" s="19">
        <v>52339.63</v>
      </c>
      <c r="C154" s="19">
        <v>0</v>
      </c>
      <c r="D154" s="19">
        <v>-842.05</v>
      </c>
      <c r="E154" s="19">
        <v>2966.59</v>
      </c>
      <c r="F154" s="19">
        <v>0</v>
      </c>
      <c r="G154" s="19">
        <v>4484.26</v>
      </c>
      <c r="H154" s="19">
        <v>1355.19</v>
      </c>
      <c r="I154" s="19">
        <v>0</v>
      </c>
      <c r="J154" s="19">
        <v>7806.87</v>
      </c>
      <c r="K154" s="19">
        <v>1808.54</v>
      </c>
      <c r="L154" s="19">
        <v>4854.2</v>
      </c>
      <c r="M154" s="19">
        <v>4573.96</v>
      </c>
      <c r="N154" s="19">
        <v>6060.89</v>
      </c>
      <c r="O154" s="19">
        <v>11613.14</v>
      </c>
      <c r="P154" s="19">
        <v>1643.13</v>
      </c>
      <c r="Q154" s="19">
        <v>6014.91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</row>
    <row r="155" spans="1:24" x14ac:dyDescent="0.2">
      <c r="A155" s="4" t="s">
        <v>330</v>
      </c>
      <c r="B155" s="13" t="s">
        <v>73</v>
      </c>
      <c r="C155" s="13" t="s">
        <v>73</v>
      </c>
      <c r="D155" s="13" t="s">
        <v>73</v>
      </c>
      <c r="E155" s="13" t="s">
        <v>73</v>
      </c>
      <c r="F155" s="13" t="s">
        <v>73</v>
      </c>
      <c r="G155" s="13" t="s">
        <v>73</v>
      </c>
      <c r="H155" s="13" t="s">
        <v>73</v>
      </c>
      <c r="I155" s="13" t="s">
        <v>73</v>
      </c>
      <c r="J155" s="13" t="s">
        <v>73</v>
      </c>
      <c r="K155" s="13" t="s">
        <v>73</v>
      </c>
      <c r="L155" s="13" t="s">
        <v>73</v>
      </c>
      <c r="M155" s="13" t="s">
        <v>73</v>
      </c>
      <c r="N155" s="13" t="s">
        <v>73</v>
      </c>
      <c r="O155" s="13" t="s">
        <v>73</v>
      </c>
      <c r="P155" s="13" t="s">
        <v>73</v>
      </c>
      <c r="Q155" s="13" t="s">
        <v>73</v>
      </c>
      <c r="R155" s="13" t="s">
        <v>73</v>
      </c>
      <c r="S155" s="13" t="s">
        <v>73</v>
      </c>
      <c r="T155" s="13" t="s">
        <v>73</v>
      </c>
      <c r="U155" s="13" t="s">
        <v>73</v>
      </c>
      <c r="V155" s="13" t="s">
        <v>73</v>
      </c>
      <c r="W155" s="13" t="s">
        <v>73</v>
      </c>
      <c r="X155" s="13" t="s">
        <v>73</v>
      </c>
    </row>
    <row r="156" spans="1:24" x14ac:dyDescent="0.2">
      <c r="A156" s="4" t="s">
        <v>78</v>
      </c>
      <c r="B156" s="14">
        <v>-1447.12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-1447.12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</row>
    <row r="157" spans="1:24" x14ac:dyDescent="0.2">
      <c r="A157" s="4" t="s">
        <v>331</v>
      </c>
      <c r="B157" s="19">
        <v>-1447.12</v>
      </c>
      <c r="C157" s="19">
        <v>0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-1447.12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</row>
    <row r="158" spans="1:24" x14ac:dyDescent="0.2">
      <c r="A158" s="4" t="s">
        <v>332</v>
      </c>
      <c r="B158" s="13" t="s">
        <v>73</v>
      </c>
      <c r="C158" s="13" t="s">
        <v>73</v>
      </c>
      <c r="D158" s="13" t="s">
        <v>73</v>
      </c>
      <c r="E158" s="13" t="s">
        <v>73</v>
      </c>
      <c r="F158" s="13" t="s">
        <v>73</v>
      </c>
      <c r="G158" s="13" t="s">
        <v>73</v>
      </c>
      <c r="H158" s="13" t="s">
        <v>73</v>
      </c>
      <c r="I158" s="13" t="s">
        <v>73</v>
      </c>
      <c r="J158" s="13" t="s">
        <v>73</v>
      </c>
      <c r="K158" s="13" t="s">
        <v>73</v>
      </c>
      <c r="L158" s="13" t="s">
        <v>73</v>
      </c>
      <c r="M158" s="13" t="s">
        <v>73</v>
      </c>
      <c r="N158" s="13" t="s">
        <v>73</v>
      </c>
      <c r="O158" s="13" t="s">
        <v>73</v>
      </c>
      <c r="P158" s="13" t="s">
        <v>73</v>
      </c>
      <c r="Q158" s="13" t="s">
        <v>73</v>
      </c>
      <c r="R158" s="13" t="s">
        <v>73</v>
      </c>
      <c r="S158" s="13" t="s">
        <v>73</v>
      </c>
      <c r="T158" s="13" t="s">
        <v>73</v>
      </c>
      <c r="U158" s="13" t="s">
        <v>73</v>
      </c>
      <c r="V158" s="13" t="s">
        <v>73</v>
      </c>
      <c r="W158" s="13" t="s">
        <v>73</v>
      </c>
      <c r="X158" s="13" t="s">
        <v>73</v>
      </c>
    </row>
    <row r="159" spans="1:24" x14ac:dyDescent="0.2">
      <c r="A159" s="4" t="s">
        <v>74</v>
      </c>
      <c r="B159" s="14">
        <v>12080.69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4230.76</v>
      </c>
      <c r="M159" s="14">
        <v>0</v>
      </c>
      <c r="N159" s="14">
        <v>0</v>
      </c>
      <c r="O159" s="14">
        <v>0</v>
      </c>
      <c r="P159" s="14">
        <v>4230.76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3619.17</v>
      </c>
      <c r="W159" s="14">
        <v>0</v>
      </c>
      <c r="X159" s="14">
        <v>0</v>
      </c>
    </row>
    <row r="160" spans="1:24" x14ac:dyDescent="0.2">
      <c r="A160" s="4" t="s">
        <v>78</v>
      </c>
      <c r="B160" s="14">
        <v>829.17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243.69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585.48</v>
      </c>
      <c r="W160" s="14">
        <v>0</v>
      </c>
      <c r="X160" s="14">
        <v>0</v>
      </c>
    </row>
    <row r="161" spans="1:24" x14ac:dyDescent="0.2">
      <c r="A161" s="4" t="s">
        <v>333</v>
      </c>
      <c r="B161" s="19">
        <v>12909.86</v>
      </c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4230.76</v>
      </c>
      <c r="M161" s="19">
        <v>0</v>
      </c>
      <c r="N161" s="19">
        <v>0</v>
      </c>
      <c r="O161" s="19">
        <v>0</v>
      </c>
      <c r="P161" s="19">
        <v>4474.45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4204.6499999999996</v>
      </c>
      <c r="W161" s="19">
        <v>0</v>
      </c>
      <c r="X161" s="19">
        <v>0</v>
      </c>
    </row>
    <row r="162" spans="1:24" x14ac:dyDescent="0.2">
      <c r="A162" s="4" t="s">
        <v>334</v>
      </c>
      <c r="B162" s="13" t="s">
        <v>73</v>
      </c>
      <c r="C162" s="13" t="s">
        <v>73</v>
      </c>
      <c r="D162" s="13" t="s">
        <v>73</v>
      </c>
      <c r="E162" s="13" t="s">
        <v>73</v>
      </c>
      <c r="F162" s="13" t="s">
        <v>73</v>
      </c>
      <c r="G162" s="13" t="s">
        <v>73</v>
      </c>
      <c r="H162" s="13" t="s">
        <v>73</v>
      </c>
      <c r="I162" s="13" t="s">
        <v>73</v>
      </c>
      <c r="J162" s="13" t="s">
        <v>73</v>
      </c>
      <c r="K162" s="13" t="s">
        <v>73</v>
      </c>
      <c r="L162" s="13" t="s">
        <v>73</v>
      </c>
      <c r="M162" s="13" t="s">
        <v>73</v>
      </c>
      <c r="N162" s="13" t="s">
        <v>73</v>
      </c>
      <c r="O162" s="13" t="s">
        <v>73</v>
      </c>
      <c r="P162" s="13" t="s">
        <v>73</v>
      </c>
      <c r="Q162" s="13" t="s">
        <v>73</v>
      </c>
      <c r="R162" s="13" t="s">
        <v>73</v>
      </c>
      <c r="S162" s="13" t="s">
        <v>73</v>
      </c>
      <c r="T162" s="13" t="s">
        <v>73</v>
      </c>
      <c r="U162" s="13" t="s">
        <v>73</v>
      </c>
      <c r="V162" s="13" t="s">
        <v>73</v>
      </c>
      <c r="W162" s="13" t="s">
        <v>73</v>
      </c>
      <c r="X162" s="13" t="s">
        <v>73</v>
      </c>
    </row>
    <row r="163" spans="1:24" x14ac:dyDescent="0.2">
      <c r="A163" s="4" t="s">
        <v>74</v>
      </c>
      <c r="B163" s="14">
        <v>12884.11</v>
      </c>
      <c r="C163" s="14">
        <v>3790.04</v>
      </c>
      <c r="D163" s="14">
        <v>0</v>
      </c>
      <c r="E163" s="14">
        <v>568.92999999999995</v>
      </c>
      <c r="F163" s="14">
        <v>0</v>
      </c>
      <c r="G163" s="14">
        <v>3393.04</v>
      </c>
      <c r="H163" s="14">
        <v>2080.67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853.39</v>
      </c>
      <c r="Q163" s="14">
        <v>1189.82</v>
      </c>
      <c r="R163" s="14">
        <v>1008.22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</row>
    <row r="164" spans="1:24" x14ac:dyDescent="0.2">
      <c r="A164" s="4" t="s">
        <v>75</v>
      </c>
      <c r="B164" s="14">
        <v>251.14</v>
      </c>
      <c r="C164" s="14">
        <v>251.14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</row>
    <row r="165" spans="1:24" x14ac:dyDescent="0.2">
      <c r="A165" s="4" t="s">
        <v>78</v>
      </c>
      <c r="B165" s="14">
        <v>2392.42</v>
      </c>
      <c r="C165" s="14">
        <v>531.70000000000005</v>
      </c>
      <c r="D165" s="14">
        <v>0</v>
      </c>
      <c r="E165" s="14">
        <v>129.65</v>
      </c>
      <c r="F165" s="14">
        <v>0</v>
      </c>
      <c r="G165" s="14">
        <v>0</v>
      </c>
      <c r="H165" s="14">
        <v>131.12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1599.95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</row>
    <row r="166" spans="1:24" x14ac:dyDescent="0.2">
      <c r="A166" s="4" t="s">
        <v>335</v>
      </c>
      <c r="B166" s="19">
        <v>15527.67</v>
      </c>
      <c r="C166" s="19">
        <v>4572.88</v>
      </c>
      <c r="D166" s="19">
        <v>0</v>
      </c>
      <c r="E166" s="19">
        <v>698.58</v>
      </c>
      <c r="F166" s="19">
        <v>0</v>
      </c>
      <c r="G166" s="19">
        <v>3393.04</v>
      </c>
      <c r="H166" s="19">
        <v>2211.79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853.39</v>
      </c>
      <c r="Q166" s="19">
        <v>2789.77</v>
      </c>
      <c r="R166" s="19">
        <v>1008.22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</row>
    <row r="167" spans="1:24" x14ac:dyDescent="0.2">
      <c r="A167" s="4" t="s">
        <v>336</v>
      </c>
      <c r="B167" s="13" t="s">
        <v>73</v>
      </c>
      <c r="C167" s="13" t="s">
        <v>73</v>
      </c>
      <c r="D167" s="13" t="s">
        <v>73</v>
      </c>
      <c r="E167" s="13" t="s">
        <v>73</v>
      </c>
      <c r="F167" s="13" t="s">
        <v>73</v>
      </c>
      <c r="G167" s="13" t="s">
        <v>73</v>
      </c>
      <c r="H167" s="13" t="s">
        <v>73</v>
      </c>
      <c r="I167" s="13" t="s">
        <v>73</v>
      </c>
      <c r="J167" s="13" t="s">
        <v>73</v>
      </c>
      <c r="K167" s="13" t="s">
        <v>73</v>
      </c>
      <c r="L167" s="13" t="s">
        <v>73</v>
      </c>
      <c r="M167" s="13" t="s">
        <v>73</v>
      </c>
      <c r="N167" s="13" t="s">
        <v>73</v>
      </c>
      <c r="O167" s="13" t="s">
        <v>73</v>
      </c>
      <c r="P167" s="13" t="s">
        <v>73</v>
      </c>
      <c r="Q167" s="13" t="s">
        <v>73</v>
      </c>
      <c r="R167" s="13" t="s">
        <v>73</v>
      </c>
      <c r="S167" s="13" t="s">
        <v>73</v>
      </c>
      <c r="T167" s="13" t="s">
        <v>73</v>
      </c>
      <c r="U167" s="13" t="s">
        <v>73</v>
      </c>
      <c r="V167" s="13" t="s">
        <v>73</v>
      </c>
      <c r="W167" s="13" t="s">
        <v>73</v>
      </c>
      <c r="X167" s="13" t="s">
        <v>73</v>
      </c>
    </row>
    <row r="168" spans="1:24" x14ac:dyDescent="0.2">
      <c r="A168" s="4" t="s">
        <v>74</v>
      </c>
      <c r="B168" s="14">
        <v>91338.58</v>
      </c>
      <c r="C168" s="14">
        <v>5961.44</v>
      </c>
      <c r="D168" s="14">
        <v>5384.6</v>
      </c>
      <c r="E168" s="14">
        <v>5115.37</v>
      </c>
      <c r="F168" s="14">
        <v>2848.91</v>
      </c>
      <c r="G168" s="14">
        <v>5851.67</v>
      </c>
      <c r="H168" s="14">
        <v>5521.98</v>
      </c>
      <c r="I168" s="14">
        <v>6153.84</v>
      </c>
      <c r="J168" s="14">
        <v>0</v>
      </c>
      <c r="K168" s="14">
        <v>0</v>
      </c>
      <c r="L168" s="14">
        <v>0</v>
      </c>
      <c r="M168" s="14">
        <v>5769.24</v>
      </c>
      <c r="N168" s="14">
        <v>9230.76</v>
      </c>
      <c r="O168" s="14">
        <v>0</v>
      </c>
      <c r="P168" s="14">
        <v>8022.38</v>
      </c>
      <c r="Q168" s="14">
        <v>6528.14</v>
      </c>
      <c r="R168" s="14">
        <v>6384.64</v>
      </c>
      <c r="S168" s="14">
        <v>4678.57</v>
      </c>
      <c r="T168" s="14">
        <v>4153.84</v>
      </c>
      <c r="U168" s="14">
        <v>3613.2</v>
      </c>
      <c r="V168" s="14">
        <v>6120</v>
      </c>
      <c r="W168" s="14">
        <v>0</v>
      </c>
      <c r="X168" s="14">
        <v>0</v>
      </c>
    </row>
    <row r="169" spans="1:24" x14ac:dyDescent="0.2">
      <c r="A169" s="4" t="s">
        <v>78</v>
      </c>
      <c r="B169" s="14">
        <v>12968.52</v>
      </c>
      <c r="C169" s="14">
        <v>1465.98</v>
      </c>
      <c r="D169" s="14">
        <v>-449.1</v>
      </c>
      <c r="E169" s="14">
        <v>457.27</v>
      </c>
      <c r="F169" s="14">
        <v>1755.78</v>
      </c>
      <c r="G169" s="14">
        <v>4456.7700000000004</v>
      </c>
      <c r="H169" s="14">
        <v>188.45</v>
      </c>
      <c r="I169" s="14">
        <v>2236.2399999999998</v>
      </c>
      <c r="J169" s="14">
        <v>-809.85</v>
      </c>
      <c r="K169" s="14">
        <v>-228.81</v>
      </c>
      <c r="L169" s="14">
        <v>0</v>
      </c>
      <c r="M169" s="14">
        <v>867.39</v>
      </c>
      <c r="N169" s="14">
        <v>-563.09</v>
      </c>
      <c r="O169" s="14">
        <v>-812.93</v>
      </c>
      <c r="P169" s="14">
        <v>0</v>
      </c>
      <c r="Q169" s="14">
        <v>-1313.75</v>
      </c>
      <c r="R169" s="14">
        <v>3217.52</v>
      </c>
      <c r="S169" s="14">
        <v>2523.9699999999998</v>
      </c>
      <c r="T169" s="14">
        <v>549.24</v>
      </c>
      <c r="U169" s="14">
        <v>251.32</v>
      </c>
      <c r="V169" s="14">
        <v>486.06</v>
      </c>
      <c r="W169" s="14">
        <v>-270.45</v>
      </c>
      <c r="X169" s="14">
        <v>-1039.49</v>
      </c>
    </row>
    <row r="170" spans="1:24" x14ac:dyDescent="0.2">
      <c r="A170" s="4" t="s">
        <v>337</v>
      </c>
      <c r="B170" s="19">
        <v>104307.1</v>
      </c>
      <c r="C170" s="19">
        <v>7427.42</v>
      </c>
      <c r="D170" s="19">
        <v>4935.5</v>
      </c>
      <c r="E170" s="19">
        <v>5572.64</v>
      </c>
      <c r="F170" s="19">
        <v>4604.6899999999996</v>
      </c>
      <c r="G170" s="19">
        <v>10308.44</v>
      </c>
      <c r="H170" s="19">
        <v>5710.43</v>
      </c>
      <c r="I170" s="19">
        <v>8390.08</v>
      </c>
      <c r="J170" s="19">
        <v>-809.85</v>
      </c>
      <c r="K170" s="19">
        <v>-228.81</v>
      </c>
      <c r="L170" s="19">
        <v>0</v>
      </c>
      <c r="M170" s="19">
        <v>6636.63</v>
      </c>
      <c r="N170" s="19">
        <v>8667.67</v>
      </c>
      <c r="O170" s="19">
        <v>-812.93</v>
      </c>
      <c r="P170" s="19">
        <v>8022.38</v>
      </c>
      <c r="Q170" s="19">
        <v>5214.3900000000003</v>
      </c>
      <c r="R170" s="19">
        <v>9602.16</v>
      </c>
      <c r="S170" s="19">
        <v>7202.54</v>
      </c>
      <c r="T170" s="19">
        <v>4703.08</v>
      </c>
      <c r="U170" s="19">
        <v>3864.52</v>
      </c>
      <c r="V170" s="19">
        <v>6606.06</v>
      </c>
      <c r="W170" s="19">
        <v>-270.45</v>
      </c>
      <c r="X170" s="19">
        <v>-1039.49</v>
      </c>
    </row>
    <row r="171" spans="1:24" x14ac:dyDescent="0.2">
      <c r="A171" s="4" t="s">
        <v>338</v>
      </c>
      <c r="B171" s="13" t="s">
        <v>73</v>
      </c>
      <c r="C171" s="13" t="s">
        <v>73</v>
      </c>
      <c r="D171" s="13" t="s">
        <v>73</v>
      </c>
      <c r="E171" s="13" t="s">
        <v>73</v>
      </c>
      <c r="F171" s="13" t="s">
        <v>73</v>
      </c>
      <c r="G171" s="13" t="s">
        <v>73</v>
      </c>
      <c r="H171" s="13" t="s">
        <v>73</v>
      </c>
      <c r="I171" s="13" t="s">
        <v>73</v>
      </c>
      <c r="J171" s="13" t="s">
        <v>73</v>
      </c>
      <c r="K171" s="13" t="s">
        <v>73</v>
      </c>
      <c r="L171" s="13" t="s">
        <v>73</v>
      </c>
      <c r="M171" s="13" t="s">
        <v>73</v>
      </c>
      <c r="N171" s="13" t="s">
        <v>73</v>
      </c>
      <c r="O171" s="13" t="s">
        <v>73</v>
      </c>
      <c r="P171" s="13" t="s">
        <v>73</v>
      </c>
      <c r="Q171" s="13" t="s">
        <v>73</v>
      </c>
      <c r="R171" s="13" t="s">
        <v>73</v>
      </c>
      <c r="S171" s="13" t="s">
        <v>73</v>
      </c>
      <c r="T171" s="13" t="s">
        <v>73</v>
      </c>
      <c r="U171" s="13" t="s">
        <v>73</v>
      </c>
      <c r="V171" s="13" t="s">
        <v>73</v>
      </c>
      <c r="W171" s="13" t="s">
        <v>73</v>
      </c>
      <c r="X171" s="13" t="s">
        <v>73</v>
      </c>
    </row>
    <row r="172" spans="1:24" x14ac:dyDescent="0.2">
      <c r="A172" s="4" t="s">
        <v>74</v>
      </c>
      <c r="B172" s="14">
        <v>2500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2500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</row>
    <row r="173" spans="1:24" x14ac:dyDescent="0.2">
      <c r="A173" s="4" t="s">
        <v>78</v>
      </c>
      <c r="B173" s="14">
        <v>-8717.82</v>
      </c>
      <c r="C173" s="14">
        <v>0</v>
      </c>
      <c r="D173" s="14">
        <v>0</v>
      </c>
      <c r="E173" s="14">
        <v>-87.07</v>
      </c>
      <c r="F173" s="14">
        <v>-996.82</v>
      </c>
      <c r="G173" s="14">
        <v>-2028.38</v>
      </c>
      <c r="H173" s="14">
        <v>0</v>
      </c>
      <c r="I173" s="14">
        <v>-43.62</v>
      </c>
      <c r="J173" s="14">
        <v>0</v>
      </c>
      <c r="K173" s="14">
        <v>0</v>
      </c>
      <c r="L173" s="14">
        <v>-207.42</v>
      </c>
      <c r="M173" s="14">
        <v>0</v>
      </c>
      <c r="N173" s="14">
        <v>0</v>
      </c>
      <c r="O173" s="14">
        <v>0</v>
      </c>
      <c r="P173" s="14">
        <v>-3407.51</v>
      </c>
      <c r="Q173" s="14">
        <v>0</v>
      </c>
      <c r="R173" s="14">
        <v>-1947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</row>
    <row r="174" spans="1:24" x14ac:dyDescent="0.2">
      <c r="A174" s="4" t="s">
        <v>339</v>
      </c>
      <c r="B174" s="19">
        <v>-6217.82</v>
      </c>
      <c r="C174" s="19">
        <v>0</v>
      </c>
      <c r="D174" s="19">
        <v>0</v>
      </c>
      <c r="E174" s="19">
        <v>-87.07</v>
      </c>
      <c r="F174" s="19">
        <v>-996.82</v>
      </c>
      <c r="G174" s="19">
        <v>-2028.38</v>
      </c>
      <c r="H174" s="19">
        <v>0</v>
      </c>
      <c r="I174" s="19">
        <v>-43.62</v>
      </c>
      <c r="J174" s="19">
        <v>0</v>
      </c>
      <c r="K174" s="19">
        <v>0</v>
      </c>
      <c r="L174" s="19">
        <v>2292.58</v>
      </c>
      <c r="M174" s="19">
        <v>0</v>
      </c>
      <c r="N174" s="19">
        <v>0</v>
      </c>
      <c r="O174" s="19">
        <v>0</v>
      </c>
      <c r="P174" s="19">
        <v>-3407.51</v>
      </c>
      <c r="Q174" s="19">
        <v>0</v>
      </c>
      <c r="R174" s="19">
        <v>-1947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</row>
    <row r="175" spans="1:24" x14ac:dyDescent="0.2">
      <c r="A175" s="4" t="s">
        <v>340</v>
      </c>
      <c r="B175" s="13" t="s">
        <v>73</v>
      </c>
      <c r="C175" s="13" t="s">
        <v>73</v>
      </c>
      <c r="D175" s="13" t="s">
        <v>73</v>
      </c>
      <c r="E175" s="13" t="s">
        <v>73</v>
      </c>
      <c r="F175" s="13" t="s">
        <v>73</v>
      </c>
      <c r="G175" s="13" t="s">
        <v>73</v>
      </c>
      <c r="H175" s="13" t="s">
        <v>73</v>
      </c>
      <c r="I175" s="13" t="s">
        <v>73</v>
      </c>
      <c r="J175" s="13" t="s">
        <v>73</v>
      </c>
      <c r="K175" s="13" t="s">
        <v>73</v>
      </c>
      <c r="L175" s="13" t="s">
        <v>73</v>
      </c>
      <c r="M175" s="13" t="s">
        <v>73</v>
      </c>
      <c r="N175" s="13" t="s">
        <v>73</v>
      </c>
      <c r="O175" s="13" t="s">
        <v>73</v>
      </c>
      <c r="P175" s="13" t="s">
        <v>73</v>
      </c>
      <c r="Q175" s="13" t="s">
        <v>73</v>
      </c>
      <c r="R175" s="13" t="s">
        <v>73</v>
      </c>
      <c r="S175" s="13" t="s">
        <v>73</v>
      </c>
      <c r="T175" s="13" t="s">
        <v>73</v>
      </c>
      <c r="U175" s="13" t="s">
        <v>73</v>
      </c>
      <c r="V175" s="13" t="s">
        <v>73</v>
      </c>
      <c r="W175" s="13" t="s">
        <v>73</v>
      </c>
      <c r="X175" s="13" t="s">
        <v>73</v>
      </c>
    </row>
    <row r="176" spans="1:24" x14ac:dyDescent="0.2">
      <c r="A176" s="4" t="s">
        <v>74</v>
      </c>
      <c r="B176" s="14">
        <v>34841.61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3167.86</v>
      </c>
      <c r="K176" s="14">
        <v>3369.95</v>
      </c>
      <c r="L176" s="14">
        <v>4230.3999999999996</v>
      </c>
      <c r="M176" s="14">
        <v>2830.71</v>
      </c>
      <c r="N176" s="14">
        <v>5370.14</v>
      </c>
      <c r="O176" s="14">
        <v>3000</v>
      </c>
      <c r="P176" s="14">
        <v>3763.51</v>
      </c>
      <c r="Q176" s="14">
        <v>0</v>
      </c>
      <c r="R176" s="14">
        <v>0</v>
      </c>
      <c r="S176" s="14">
        <v>3200.34</v>
      </c>
      <c r="T176" s="14">
        <v>1281.71</v>
      </c>
      <c r="U176" s="14">
        <v>1069.18</v>
      </c>
      <c r="V176" s="14">
        <v>3557.81</v>
      </c>
      <c r="W176" s="14">
        <v>0</v>
      </c>
      <c r="X176" s="14">
        <v>0</v>
      </c>
    </row>
    <row r="177" spans="1:24" x14ac:dyDescent="0.2">
      <c r="A177" s="4" t="s">
        <v>75</v>
      </c>
      <c r="B177" s="14">
        <v>1649.94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522.86</v>
      </c>
      <c r="K177" s="14">
        <v>187.34</v>
      </c>
      <c r="L177" s="14">
        <v>0</v>
      </c>
      <c r="M177" s="14">
        <v>0</v>
      </c>
      <c r="N177" s="14">
        <v>682.26</v>
      </c>
      <c r="O177" s="14">
        <v>0</v>
      </c>
      <c r="P177" s="14">
        <v>0</v>
      </c>
      <c r="Q177" s="14">
        <v>0</v>
      </c>
      <c r="R177" s="14">
        <v>0</v>
      </c>
      <c r="S177" s="14">
        <v>210.22</v>
      </c>
      <c r="T177" s="14">
        <v>20.57</v>
      </c>
      <c r="U177" s="14">
        <v>0</v>
      </c>
      <c r="V177" s="14">
        <v>26.69</v>
      </c>
      <c r="W177" s="14">
        <v>0</v>
      </c>
      <c r="X177" s="14">
        <v>0</v>
      </c>
    </row>
    <row r="178" spans="1:24" x14ac:dyDescent="0.2">
      <c r="A178" s="4" t="s">
        <v>77</v>
      </c>
      <c r="B178" s="14">
        <v>71.430000000000007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71.430000000000007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</row>
    <row r="179" spans="1:24" x14ac:dyDescent="0.2">
      <c r="A179" s="4" t="s">
        <v>78</v>
      </c>
      <c r="B179" s="14">
        <v>628.44000000000005</v>
      </c>
      <c r="C179" s="14">
        <v>-338.25</v>
      </c>
      <c r="D179" s="14">
        <v>-130.19999999999999</v>
      </c>
      <c r="E179" s="14">
        <v>-81.92</v>
      </c>
      <c r="F179" s="14">
        <v>-70.349999999999994</v>
      </c>
      <c r="G179" s="14">
        <v>-105.73</v>
      </c>
      <c r="H179" s="14">
        <v>-54.32</v>
      </c>
      <c r="I179" s="14">
        <v>-621.52</v>
      </c>
      <c r="J179" s="14">
        <v>-1365.13</v>
      </c>
      <c r="K179" s="14">
        <v>-29.8</v>
      </c>
      <c r="L179" s="14">
        <v>242.39</v>
      </c>
      <c r="M179" s="14">
        <v>423.24</v>
      </c>
      <c r="N179" s="14">
        <v>-469.79</v>
      </c>
      <c r="O179" s="14">
        <v>455.27</v>
      </c>
      <c r="P179" s="14">
        <v>2551.91</v>
      </c>
      <c r="Q179" s="14">
        <v>-1413.45</v>
      </c>
      <c r="R179" s="14">
        <v>-1065.1400000000001</v>
      </c>
      <c r="S179" s="14">
        <v>891.57</v>
      </c>
      <c r="T179" s="14">
        <v>-237.29</v>
      </c>
      <c r="U179" s="14">
        <v>1153.8599999999999</v>
      </c>
      <c r="V179" s="14">
        <v>893.09</v>
      </c>
      <c r="W179" s="14">
        <v>0</v>
      </c>
      <c r="X179" s="14">
        <v>0</v>
      </c>
    </row>
    <row r="180" spans="1:24" x14ac:dyDescent="0.2">
      <c r="A180" s="4" t="s">
        <v>341</v>
      </c>
      <c r="B180" s="19">
        <v>37191.42</v>
      </c>
      <c r="C180" s="19">
        <v>-338.25</v>
      </c>
      <c r="D180" s="19">
        <v>-130.19999999999999</v>
      </c>
      <c r="E180" s="19">
        <v>-81.92</v>
      </c>
      <c r="F180" s="19">
        <v>-70.349999999999994</v>
      </c>
      <c r="G180" s="19">
        <v>-105.73</v>
      </c>
      <c r="H180" s="19">
        <v>-54.32</v>
      </c>
      <c r="I180" s="19">
        <v>-621.52</v>
      </c>
      <c r="J180" s="19">
        <v>2397.02</v>
      </c>
      <c r="K180" s="19">
        <v>3527.49</v>
      </c>
      <c r="L180" s="19">
        <v>4472.79</v>
      </c>
      <c r="M180" s="19">
        <v>3253.95</v>
      </c>
      <c r="N180" s="19">
        <v>5582.61</v>
      </c>
      <c r="O180" s="19">
        <v>3455.27</v>
      </c>
      <c r="P180" s="19">
        <v>6315.42</v>
      </c>
      <c r="Q180" s="19">
        <v>-1413.45</v>
      </c>
      <c r="R180" s="19">
        <v>-1065.1400000000001</v>
      </c>
      <c r="S180" s="19">
        <v>4302.13</v>
      </c>
      <c r="T180" s="19">
        <v>1064.99</v>
      </c>
      <c r="U180" s="19">
        <v>2223.04</v>
      </c>
      <c r="V180" s="19">
        <v>4477.59</v>
      </c>
      <c r="W180" s="19">
        <v>0</v>
      </c>
      <c r="X180" s="19">
        <v>0</v>
      </c>
    </row>
    <row r="181" spans="1:24" x14ac:dyDescent="0.2">
      <c r="A181" s="4" t="s">
        <v>342</v>
      </c>
      <c r="B181" s="13" t="s">
        <v>73</v>
      </c>
      <c r="C181" s="13" t="s">
        <v>73</v>
      </c>
      <c r="D181" s="13" t="s">
        <v>73</v>
      </c>
      <c r="E181" s="13" t="s">
        <v>73</v>
      </c>
      <c r="F181" s="13" t="s">
        <v>73</v>
      </c>
      <c r="G181" s="13" t="s">
        <v>73</v>
      </c>
      <c r="H181" s="13" t="s">
        <v>73</v>
      </c>
      <c r="I181" s="13" t="s">
        <v>73</v>
      </c>
      <c r="J181" s="13" t="s">
        <v>73</v>
      </c>
      <c r="K181" s="13" t="s">
        <v>73</v>
      </c>
      <c r="L181" s="13" t="s">
        <v>73</v>
      </c>
      <c r="M181" s="13" t="s">
        <v>73</v>
      </c>
      <c r="N181" s="13" t="s">
        <v>73</v>
      </c>
      <c r="O181" s="13" t="s">
        <v>73</v>
      </c>
      <c r="P181" s="13" t="s">
        <v>73</v>
      </c>
      <c r="Q181" s="13" t="s">
        <v>73</v>
      </c>
      <c r="R181" s="13" t="s">
        <v>73</v>
      </c>
      <c r="S181" s="13" t="s">
        <v>73</v>
      </c>
      <c r="T181" s="13" t="s">
        <v>73</v>
      </c>
      <c r="U181" s="13" t="s">
        <v>73</v>
      </c>
      <c r="V181" s="13" t="s">
        <v>73</v>
      </c>
      <c r="W181" s="13" t="s">
        <v>73</v>
      </c>
      <c r="X181" s="13" t="s">
        <v>73</v>
      </c>
    </row>
    <row r="182" spans="1:24" x14ac:dyDescent="0.2">
      <c r="A182" s="4" t="s">
        <v>74</v>
      </c>
      <c r="B182" s="14">
        <v>2135.3200000000002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2135.3200000000002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</row>
    <row r="183" spans="1:24" x14ac:dyDescent="0.2">
      <c r="A183" s="4" t="s">
        <v>75</v>
      </c>
      <c r="B183" s="14">
        <v>12.75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12.75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</row>
    <row r="184" spans="1:24" x14ac:dyDescent="0.2">
      <c r="A184" s="4" t="s">
        <v>78</v>
      </c>
      <c r="B184" s="14">
        <v>673.57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673.57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</row>
    <row r="185" spans="1:24" x14ac:dyDescent="0.2">
      <c r="A185" s="4" t="s">
        <v>343</v>
      </c>
      <c r="B185" s="19">
        <v>2821.64</v>
      </c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2821.64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</row>
    <row r="186" spans="1:24" x14ac:dyDescent="0.2">
      <c r="A186" s="4" t="s">
        <v>344</v>
      </c>
      <c r="B186" s="13" t="s">
        <v>73</v>
      </c>
      <c r="C186" s="13" t="s">
        <v>73</v>
      </c>
      <c r="D186" s="13" t="s">
        <v>73</v>
      </c>
      <c r="E186" s="13" t="s">
        <v>73</v>
      </c>
      <c r="F186" s="13" t="s">
        <v>73</v>
      </c>
      <c r="G186" s="13" t="s">
        <v>73</v>
      </c>
      <c r="H186" s="13" t="s">
        <v>73</v>
      </c>
      <c r="I186" s="13" t="s">
        <v>73</v>
      </c>
      <c r="J186" s="13" t="s">
        <v>73</v>
      </c>
      <c r="K186" s="13" t="s">
        <v>73</v>
      </c>
      <c r="L186" s="13" t="s">
        <v>73</v>
      </c>
      <c r="M186" s="13" t="s">
        <v>73</v>
      </c>
      <c r="N186" s="13" t="s">
        <v>73</v>
      </c>
      <c r="O186" s="13" t="s">
        <v>73</v>
      </c>
      <c r="P186" s="13" t="s">
        <v>73</v>
      </c>
      <c r="Q186" s="13" t="s">
        <v>73</v>
      </c>
      <c r="R186" s="13" t="s">
        <v>73</v>
      </c>
      <c r="S186" s="13" t="s">
        <v>73</v>
      </c>
      <c r="T186" s="13" t="s">
        <v>73</v>
      </c>
      <c r="U186" s="13" t="s">
        <v>73</v>
      </c>
      <c r="V186" s="13" t="s">
        <v>73</v>
      </c>
      <c r="W186" s="13" t="s">
        <v>73</v>
      </c>
      <c r="X186" s="13" t="s">
        <v>73</v>
      </c>
    </row>
    <row r="187" spans="1:24" x14ac:dyDescent="0.2">
      <c r="A187" s="4" t="s">
        <v>78</v>
      </c>
      <c r="B187" s="14">
        <v>-2541.17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-362.69</v>
      </c>
      <c r="N187" s="14">
        <v>0</v>
      </c>
      <c r="O187" s="14">
        <v>0</v>
      </c>
      <c r="P187" s="14">
        <v>0</v>
      </c>
      <c r="Q187" s="14">
        <v>0</v>
      </c>
      <c r="R187" s="14">
        <v>-1946.7</v>
      </c>
      <c r="S187" s="14">
        <v>0</v>
      </c>
      <c r="T187" s="14">
        <v>0</v>
      </c>
      <c r="U187" s="14">
        <v>0</v>
      </c>
      <c r="V187" s="14">
        <v>-231.78</v>
      </c>
      <c r="W187" s="14">
        <v>0</v>
      </c>
      <c r="X187" s="14">
        <v>0</v>
      </c>
    </row>
    <row r="188" spans="1:24" x14ac:dyDescent="0.2">
      <c r="A188" s="4" t="s">
        <v>345</v>
      </c>
      <c r="B188" s="19">
        <v>-2541.17</v>
      </c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-362.69</v>
      </c>
      <c r="N188" s="19">
        <v>0</v>
      </c>
      <c r="O188" s="19">
        <v>0</v>
      </c>
      <c r="P188" s="19">
        <v>0</v>
      </c>
      <c r="Q188" s="19">
        <v>0</v>
      </c>
      <c r="R188" s="19">
        <v>-1946.7</v>
      </c>
      <c r="S188" s="19">
        <v>0</v>
      </c>
      <c r="T188" s="19">
        <v>0</v>
      </c>
      <c r="U188" s="19">
        <v>0</v>
      </c>
      <c r="V188" s="19">
        <v>-231.78</v>
      </c>
      <c r="W188" s="19">
        <v>0</v>
      </c>
      <c r="X188" s="19">
        <v>0</v>
      </c>
    </row>
    <row r="189" spans="1:24" x14ac:dyDescent="0.2">
      <c r="A189" s="4" t="s">
        <v>346</v>
      </c>
      <c r="B189" s="13" t="s">
        <v>73</v>
      </c>
      <c r="C189" s="13" t="s">
        <v>73</v>
      </c>
      <c r="D189" s="13" t="s">
        <v>73</v>
      </c>
      <c r="E189" s="13" t="s">
        <v>73</v>
      </c>
      <c r="F189" s="13" t="s">
        <v>73</v>
      </c>
      <c r="G189" s="13" t="s">
        <v>73</v>
      </c>
      <c r="H189" s="13" t="s">
        <v>73</v>
      </c>
      <c r="I189" s="13" t="s">
        <v>73</v>
      </c>
      <c r="J189" s="13" t="s">
        <v>73</v>
      </c>
      <c r="K189" s="13" t="s">
        <v>73</v>
      </c>
      <c r="L189" s="13" t="s">
        <v>73</v>
      </c>
      <c r="M189" s="13" t="s">
        <v>73</v>
      </c>
      <c r="N189" s="13" t="s">
        <v>73</v>
      </c>
      <c r="O189" s="13" t="s">
        <v>73</v>
      </c>
      <c r="P189" s="13" t="s">
        <v>73</v>
      </c>
      <c r="Q189" s="13" t="s">
        <v>73</v>
      </c>
      <c r="R189" s="13" t="s">
        <v>73</v>
      </c>
      <c r="S189" s="13" t="s">
        <v>73</v>
      </c>
      <c r="T189" s="13" t="s">
        <v>73</v>
      </c>
      <c r="U189" s="13" t="s">
        <v>73</v>
      </c>
      <c r="V189" s="13" t="s">
        <v>73</v>
      </c>
      <c r="W189" s="13" t="s">
        <v>73</v>
      </c>
      <c r="X189" s="13" t="s">
        <v>73</v>
      </c>
    </row>
    <row r="190" spans="1:24" x14ac:dyDescent="0.2">
      <c r="A190" s="4" t="s">
        <v>74</v>
      </c>
      <c r="B190" s="14">
        <v>22105.18</v>
      </c>
      <c r="C190" s="14">
        <v>2180.5700000000002</v>
      </c>
      <c r="D190" s="14">
        <v>2437.6799999999998</v>
      </c>
      <c r="E190" s="14">
        <v>2431.4299999999998</v>
      </c>
      <c r="F190" s="14">
        <v>3105</v>
      </c>
      <c r="G190" s="14">
        <v>2411.5</v>
      </c>
      <c r="H190" s="14">
        <v>2491.7199999999998</v>
      </c>
      <c r="I190" s="14">
        <v>2927.85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4119.43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</row>
    <row r="191" spans="1:24" x14ac:dyDescent="0.2">
      <c r="A191" s="4" t="s">
        <v>75</v>
      </c>
      <c r="B191" s="14">
        <v>277.19</v>
      </c>
      <c r="C191" s="14">
        <v>272.89999999999998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4.29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</row>
    <row r="192" spans="1:24" x14ac:dyDescent="0.2">
      <c r="A192" s="4" t="s">
        <v>77</v>
      </c>
      <c r="B192" s="14">
        <v>221.42</v>
      </c>
      <c r="C192" s="14">
        <v>0</v>
      </c>
      <c r="D192" s="14">
        <v>0</v>
      </c>
      <c r="E192" s="14">
        <v>57.14</v>
      </c>
      <c r="F192" s="14">
        <v>50</v>
      </c>
      <c r="G192" s="14">
        <v>-42.86</v>
      </c>
      <c r="H192" s="14">
        <v>57.14</v>
      </c>
      <c r="I192" s="14">
        <v>100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</row>
    <row r="193" spans="1:24" x14ac:dyDescent="0.2">
      <c r="A193" s="4" t="s">
        <v>78</v>
      </c>
      <c r="B193" s="14">
        <v>3975.58</v>
      </c>
      <c r="C193" s="14">
        <v>302.91000000000003</v>
      </c>
      <c r="D193" s="14">
        <v>335.31</v>
      </c>
      <c r="E193" s="14">
        <v>412.47</v>
      </c>
      <c r="F193" s="14">
        <v>503.91</v>
      </c>
      <c r="G193" s="14">
        <v>0</v>
      </c>
      <c r="H193" s="14">
        <v>269.04000000000002</v>
      </c>
      <c r="I193" s="14">
        <v>277.79000000000002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1874.15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</row>
    <row r="194" spans="1:24" x14ac:dyDescent="0.2">
      <c r="A194" s="4" t="s">
        <v>347</v>
      </c>
      <c r="B194" s="19">
        <v>26579.37</v>
      </c>
      <c r="C194" s="19">
        <v>2756.38</v>
      </c>
      <c r="D194" s="19">
        <v>2772.99</v>
      </c>
      <c r="E194" s="19">
        <v>2901.04</v>
      </c>
      <c r="F194" s="19">
        <v>3658.91</v>
      </c>
      <c r="G194" s="19">
        <v>2368.64</v>
      </c>
      <c r="H194" s="19">
        <v>2817.9</v>
      </c>
      <c r="I194" s="19">
        <v>3309.93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5993.58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</row>
    <row r="195" spans="1:24" x14ac:dyDescent="0.2">
      <c r="A195" s="4" t="s">
        <v>348</v>
      </c>
      <c r="B195" s="13" t="s">
        <v>73</v>
      </c>
      <c r="C195" s="13" t="s">
        <v>73</v>
      </c>
      <c r="D195" s="13" t="s">
        <v>73</v>
      </c>
      <c r="E195" s="13" t="s">
        <v>73</v>
      </c>
      <c r="F195" s="13" t="s">
        <v>73</v>
      </c>
      <c r="G195" s="13" t="s">
        <v>73</v>
      </c>
      <c r="H195" s="13" t="s">
        <v>73</v>
      </c>
      <c r="I195" s="13" t="s">
        <v>73</v>
      </c>
      <c r="J195" s="13" t="s">
        <v>73</v>
      </c>
      <c r="K195" s="13" t="s">
        <v>73</v>
      </c>
      <c r="L195" s="13" t="s">
        <v>73</v>
      </c>
      <c r="M195" s="13" t="s">
        <v>73</v>
      </c>
      <c r="N195" s="13" t="s">
        <v>73</v>
      </c>
      <c r="O195" s="13" t="s">
        <v>73</v>
      </c>
      <c r="P195" s="13" t="s">
        <v>73</v>
      </c>
      <c r="Q195" s="13" t="s">
        <v>73</v>
      </c>
      <c r="R195" s="13" t="s">
        <v>73</v>
      </c>
      <c r="S195" s="13" t="s">
        <v>73</v>
      </c>
      <c r="T195" s="13" t="s">
        <v>73</v>
      </c>
      <c r="U195" s="13" t="s">
        <v>73</v>
      </c>
      <c r="V195" s="13" t="s">
        <v>73</v>
      </c>
      <c r="W195" s="13" t="s">
        <v>73</v>
      </c>
      <c r="X195" s="13" t="s">
        <v>73</v>
      </c>
    </row>
    <row r="196" spans="1:24" x14ac:dyDescent="0.2">
      <c r="A196" s="4" t="s">
        <v>74</v>
      </c>
      <c r="B196" s="14">
        <v>9063.6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989.86</v>
      </c>
      <c r="O196" s="14">
        <v>0</v>
      </c>
      <c r="P196" s="14">
        <v>0</v>
      </c>
      <c r="Q196" s="14">
        <v>3665.76</v>
      </c>
      <c r="R196" s="14">
        <v>4407.9799999999996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</row>
    <row r="197" spans="1:24" x14ac:dyDescent="0.2">
      <c r="A197" s="4" t="s">
        <v>75</v>
      </c>
      <c r="B197" s="14">
        <v>302.01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302.01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</row>
    <row r="198" spans="1:24" x14ac:dyDescent="0.2">
      <c r="A198" s="4" t="s">
        <v>78</v>
      </c>
      <c r="B198" s="14">
        <v>2708.6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1410.63</v>
      </c>
      <c r="O198" s="14">
        <v>0</v>
      </c>
      <c r="P198" s="14">
        <v>0</v>
      </c>
      <c r="Q198" s="14">
        <v>283.07</v>
      </c>
      <c r="R198" s="14">
        <v>1014.9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</row>
    <row r="199" spans="1:24" x14ac:dyDescent="0.2">
      <c r="A199" s="4" t="s">
        <v>349</v>
      </c>
      <c r="B199" s="19">
        <v>12074.21</v>
      </c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2702.5</v>
      </c>
      <c r="O199" s="19">
        <v>0</v>
      </c>
      <c r="P199" s="19">
        <v>0</v>
      </c>
      <c r="Q199" s="19">
        <v>3948.83</v>
      </c>
      <c r="R199" s="19">
        <v>5422.88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</row>
    <row r="200" spans="1:24" x14ac:dyDescent="0.2">
      <c r="A200" s="4" t="s">
        <v>350</v>
      </c>
      <c r="B200" s="15">
        <v>3191233.96</v>
      </c>
      <c r="C200" s="15">
        <v>190742.48</v>
      </c>
      <c r="D200" s="15">
        <v>157186.79999999999</v>
      </c>
      <c r="E200" s="15">
        <v>161830.39999999999</v>
      </c>
      <c r="F200" s="15">
        <v>135882.42000000001</v>
      </c>
      <c r="G200" s="15">
        <v>149024.74</v>
      </c>
      <c r="H200" s="15">
        <v>149951.95000000001</v>
      </c>
      <c r="I200" s="15">
        <v>112346.83</v>
      </c>
      <c r="J200" s="15">
        <v>145723.94</v>
      </c>
      <c r="K200" s="15">
        <v>104201.56</v>
      </c>
      <c r="L200" s="15">
        <v>184555.27</v>
      </c>
      <c r="M200" s="15">
        <v>181616.91</v>
      </c>
      <c r="N200" s="15">
        <v>392923.4</v>
      </c>
      <c r="O200" s="15">
        <v>206931.3</v>
      </c>
      <c r="P200" s="15">
        <v>225005.59</v>
      </c>
      <c r="Q200" s="15">
        <v>193141.27</v>
      </c>
      <c r="R200" s="15">
        <v>217843.13</v>
      </c>
      <c r="S200" s="15">
        <v>80142.94</v>
      </c>
      <c r="T200" s="15">
        <v>61409.31</v>
      </c>
      <c r="U200" s="15">
        <v>43663.28</v>
      </c>
      <c r="V200" s="15">
        <v>82359.850000000006</v>
      </c>
      <c r="W200" s="15">
        <v>17094.46</v>
      </c>
      <c r="X200" s="15">
        <v>-2343.87</v>
      </c>
    </row>
    <row r="201" spans="1:24" x14ac:dyDescent="0.2">
      <c r="A201" s="2" t="s">
        <v>6</v>
      </c>
    </row>
    <row r="202" spans="1:24" x14ac:dyDescent="0.2">
      <c r="A202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Balance Sheet</vt:lpstr>
      <vt:lpstr>AC - Statement of Operations</vt:lpstr>
      <vt:lpstr>Operating Expenses by Departmen</vt:lpstr>
      <vt:lpstr>G&amp;A Expenses by Department</vt:lpstr>
      <vt:lpstr>Monthly Census by Payor</vt:lpstr>
      <vt:lpstr>Schedule of Resident Income</vt:lpstr>
      <vt:lpstr>Ancillary Expenses by Payor Sum</vt:lpstr>
      <vt:lpstr>Ancillary Expenses by Payor Det</vt:lpstr>
      <vt:lpstr>Payroll and Related Costs</vt:lpstr>
      <vt:lpstr>Salaries by Position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Goldfarb</dc:creator>
  <cp:keywords/>
  <dc:description/>
  <cp:lastModifiedBy>Moriel Hamui</cp:lastModifiedBy>
  <dcterms:created xsi:type="dcterms:W3CDTF">2025-04-08T16:42:31Z</dcterms:created>
  <dcterms:modified xsi:type="dcterms:W3CDTF">2025-05-23T16:07:02Z</dcterms:modified>
  <cp:category/>
  <cp:contentStatus/>
</cp:coreProperties>
</file>