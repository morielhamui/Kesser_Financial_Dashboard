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ybromberg\Downloads\"/>
    </mc:Choice>
  </mc:AlternateContent>
  <xr:revisionPtr revIDLastSave="0" documentId="13_ncr:1_{FEC1C659-08BA-4AF7-9BA3-907B0E2489E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Balance Sheet" sheetId="10" r:id="rId1"/>
    <sheet name="AC - Statement of Operations" sheetId="1" r:id="rId2"/>
    <sheet name="Operating Expenses by Departmen" sheetId="2" r:id="rId3"/>
    <sheet name="G&amp;A Expenses by Department" sheetId="3" r:id="rId4"/>
    <sheet name="Monthly Census by Payor" sheetId="4" r:id="rId5"/>
    <sheet name="Schedule of Resident Income" sheetId="5" r:id="rId6"/>
    <sheet name="Ancillary Expenses by Payor Sum" sheetId="6" r:id="rId7"/>
    <sheet name="Ancillary Expenses by Payor Det" sheetId="7" r:id="rId8"/>
    <sheet name="Payroll and Related Costs" sheetId="8" r:id="rId9"/>
    <sheet name="Salaries by Posi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B59" i="1"/>
  <c r="D60" i="1"/>
  <c r="D59" i="1"/>
  <c r="X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C59" i="1"/>
  <c r="W51" i="1" l="1"/>
  <c r="X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B51" i="1"/>
  <c r="F60" i="1" l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C60" i="1"/>
  <c r="E60" i="1"/>
</calcChain>
</file>

<file path=xl/sharedStrings.xml><?xml version="1.0" encoding="utf-8"?>
<sst xmlns="http://schemas.openxmlformats.org/spreadsheetml/2006/main" count="3073" uniqueCount="401">
  <si>
    <t>Petersen Group</t>
  </si>
  <si>
    <t>AC - Statement of Operations</t>
  </si>
  <si>
    <t>As of April 30, 2025</t>
  </si>
  <si>
    <t>As of Date:</t>
  </si>
  <si>
    <t>04/30/2025</t>
  </si>
  <si>
    <t>Facility group:</t>
  </si>
  <si>
    <t xml:space="preserve"> </t>
  </si>
  <si>
    <t>Axiom Gardens Flora</t>
  </si>
  <si>
    <t>Axiom Flora</t>
  </si>
  <si>
    <t>Axiom Gardens Mount Vernon</t>
  </si>
  <si>
    <t>Axiom West Frankfort</t>
  </si>
  <si>
    <t>Axiom Mount Vernon</t>
  </si>
  <si>
    <t>Axiom Rosiclare</t>
  </si>
  <si>
    <t>Axiom Harrisburg</t>
  </si>
  <si>
    <t>Arcadia Aledo</t>
  </si>
  <si>
    <t>Avenues at Quad Cities</t>
  </si>
  <si>
    <t>Arcadia Havana</t>
  </si>
  <si>
    <t>Arcadia Kewanee</t>
  </si>
  <si>
    <t>Avenues at Royal Oaks</t>
  </si>
  <si>
    <t>Arcadia Toulon</t>
  </si>
  <si>
    <t>Arcadia Watseka</t>
  </si>
  <si>
    <t>Goldwater Peoria Heights</t>
  </si>
  <si>
    <t>Goldwater Roseville</t>
  </si>
  <si>
    <t>Gardens Kewanee</t>
  </si>
  <si>
    <t>Villas Bushnell</t>
  </si>
  <si>
    <t>Villas at Galva</t>
  </si>
  <si>
    <t>Villas Herscher</t>
  </si>
  <si>
    <t>Villas Kewanee</t>
  </si>
  <si>
    <t>Villas at Havana</t>
  </si>
  <si>
    <t>Month Ending</t>
  </si>
  <si>
    <t>Actual</t>
  </si>
  <si>
    <t xml:space="preserve">  Net Resident Income</t>
  </si>
  <si>
    <t xml:space="preserve">  </t>
  </si>
  <si>
    <t xml:space="preserve">    Gross Resident Income</t>
  </si>
  <si>
    <t xml:space="preserve">    Nursing Home Fee</t>
  </si>
  <si>
    <t xml:space="preserve">    Ancillary Expenses</t>
  </si>
  <si>
    <t xml:space="preserve">  Total Net Resident Income</t>
  </si>
  <si>
    <t xml:space="preserve">  Operating Expenses</t>
  </si>
  <si>
    <t xml:space="preserve">    Nursing Expenses</t>
  </si>
  <si>
    <t xml:space="preserve">    Housekeeping Expenses</t>
  </si>
  <si>
    <t xml:space="preserve">    Plant Expenses</t>
  </si>
  <si>
    <t xml:space="preserve">    Dietary Expenses</t>
  </si>
  <si>
    <t xml:space="preserve">    Employee Welfare Expenses</t>
  </si>
  <si>
    <t xml:space="preserve">    Laundry and Linen Expenses</t>
  </si>
  <si>
    <t xml:space="preserve">  Total Operating Expenses</t>
  </si>
  <si>
    <t xml:space="preserve">  Income Before General and Administrative Expenses</t>
  </si>
  <si>
    <t xml:space="preserve">  General and Administrative Expenses</t>
  </si>
  <si>
    <t xml:space="preserve">  Total Income Before Capital Expenses</t>
  </si>
  <si>
    <t xml:space="preserve">  Rent</t>
  </si>
  <si>
    <t xml:space="preserve">  Real Estate Tax - CY</t>
  </si>
  <si>
    <t xml:space="preserve">  Interest</t>
  </si>
  <si>
    <t xml:space="preserve">  Interest - Other</t>
  </si>
  <si>
    <t xml:space="preserve">  Depreciation</t>
  </si>
  <si>
    <t xml:space="preserve">  Amortization</t>
  </si>
  <si>
    <t xml:space="preserve">  Total Capital Expenses</t>
  </si>
  <si>
    <t xml:space="preserve">  Total Income Before Management Fees</t>
  </si>
  <si>
    <t xml:space="preserve">  Management Fees</t>
  </si>
  <si>
    <t xml:space="preserve">  Total Income Before Other Income</t>
  </si>
  <si>
    <t xml:space="preserve">  Other Income / Expenses</t>
  </si>
  <si>
    <t xml:space="preserve">    Interest Income</t>
  </si>
  <si>
    <t xml:space="preserve">    Jury Duty Income</t>
  </si>
  <si>
    <t xml:space="preserve">    Other Unclassified Income</t>
  </si>
  <si>
    <t xml:space="preserve">    Barber/Beauty Income</t>
  </si>
  <si>
    <t xml:space="preserve">    Visitor / Employee Meals</t>
  </si>
  <si>
    <t xml:space="preserve">    ALF Application Fee Income</t>
  </si>
  <si>
    <t xml:space="preserve">    Day Care Income</t>
  </si>
  <si>
    <t xml:space="preserve">    QIP Revenue</t>
  </si>
  <si>
    <t xml:space="preserve">    C.N.A. Incentive Payments</t>
  </si>
  <si>
    <t xml:space="preserve">  Total Other Income / Expenses</t>
  </si>
  <si>
    <t xml:space="preserve">  Total Income Before Taxes</t>
  </si>
  <si>
    <t xml:space="preserve">  Net Income</t>
  </si>
  <si>
    <t>Operating Expenses by Department</t>
  </si>
  <si>
    <t xml:space="preserve">    </t>
  </si>
  <si>
    <t xml:space="preserve">      504000 - Salaries - Regular</t>
  </si>
  <si>
    <t xml:space="preserve">      504010 - Salaries - Overtime</t>
  </si>
  <si>
    <t xml:space="preserve">      504020 - Salaries - Sign on Bonus</t>
  </si>
  <si>
    <t xml:space="preserve">      504030 - Salaries - Other Bonus</t>
  </si>
  <si>
    <t xml:space="preserve">      504040 - Salaries - PTO</t>
  </si>
  <si>
    <t xml:space="preserve">      504060 - Salaries - Auto / Allowances</t>
  </si>
  <si>
    <t xml:space="preserve">      505000 - Medical and Nursing Supplies</t>
  </si>
  <si>
    <t xml:space="preserve">      505001 - Medical and Nursing Supplies-Covid</t>
  </si>
  <si>
    <t xml:space="preserve">      505015 - Durable Medical Equipment</t>
  </si>
  <si>
    <t xml:space="preserve">      505025 - Equipment Rental - Nursing</t>
  </si>
  <si>
    <t xml:space="preserve">      505075 - Activity Program Expense</t>
  </si>
  <si>
    <t xml:space="preserve">      505080 - Activities - Food</t>
  </si>
  <si>
    <t xml:space="preserve">      505150 - Incontinency Supplies</t>
  </si>
  <si>
    <t xml:space="preserve">      505200 - Nursing Equipment Repirs &amp; Maintenance</t>
  </si>
  <si>
    <t xml:space="preserve">      505225 - Oxygen</t>
  </si>
  <si>
    <t xml:space="preserve">      505250 - Patient Transportation</t>
  </si>
  <si>
    <t xml:space="preserve">      505325 - Respiratory Therapy</t>
  </si>
  <si>
    <t xml:space="preserve">      505350 - Temporary Nursing Agencies</t>
  </si>
  <si>
    <t xml:space="preserve">      505375 - Uniforms</t>
  </si>
  <si>
    <t xml:space="preserve">      505425 - Consultants - Activity</t>
  </si>
  <si>
    <t xml:space="preserve">      505500 - Consultants - Medical Director</t>
  </si>
  <si>
    <t xml:space="preserve">      505575 - Consultants - Pharmacy</t>
  </si>
  <si>
    <t xml:space="preserve">      505625 - Consultants - RN</t>
  </si>
  <si>
    <t xml:space="preserve">      505645 - Consultants - MDS</t>
  </si>
  <si>
    <t xml:space="preserve">      505675 - Consultants - Social Work</t>
  </si>
  <si>
    <t xml:space="preserve">    Total Nursing Expenses</t>
  </si>
  <si>
    <t xml:space="preserve">      506200 - Housekeeping Supplies</t>
  </si>
  <si>
    <t xml:space="preserve">    Total Housekeeping Expenses</t>
  </si>
  <si>
    <t xml:space="preserve">      506250 - Grounds Maintenance</t>
  </si>
  <si>
    <t xml:space="preserve">      506275 - Painting</t>
  </si>
  <si>
    <t xml:space="preserve">      506300 - Repairs &amp; Maintenance- Equipment</t>
  </si>
  <si>
    <t xml:space="preserve">      506325 - Repairs &amp; Maintenance - Building</t>
  </si>
  <si>
    <t xml:space="preserve">      506375 - Building Maintenance &amp; Supplies</t>
  </si>
  <si>
    <t xml:space="preserve">      506425 - Snow Removal</t>
  </si>
  <si>
    <t xml:space="preserve">      506475 - Exterminating Services</t>
  </si>
  <si>
    <t xml:space="preserve">      506500 - Fire Service</t>
  </si>
  <si>
    <t xml:space="preserve">      506525 - Scavenger - Regular Waste</t>
  </si>
  <si>
    <t xml:space="preserve">      506550 - Scavenger - Medical Waste</t>
  </si>
  <si>
    <t xml:space="preserve">      506575 - Security Services</t>
  </si>
  <si>
    <t xml:space="preserve">      506600 - Electricity</t>
  </si>
  <si>
    <t xml:space="preserve">      506625 - Gas Heat</t>
  </si>
  <si>
    <t xml:space="preserve">      506650 - Water</t>
  </si>
  <si>
    <t xml:space="preserve">    Total Plant Expenses</t>
  </si>
  <si>
    <t xml:space="preserve">      507200 - Food</t>
  </si>
  <si>
    <t xml:space="preserve">      507225 - Nutritional &amp; Supplements</t>
  </si>
  <si>
    <t xml:space="preserve">      507250 - Tube Feeding Supplies</t>
  </si>
  <si>
    <t xml:space="preserve">      507275 - Dietary Supplies</t>
  </si>
  <si>
    <t xml:space="preserve">      507300 - Kitchen Supplies</t>
  </si>
  <si>
    <t xml:space="preserve">      507325 - Kitchen Chemicals</t>
  </si>
  <si>
    <t xml:space="preserve">      507350 - Repairs &amp; Maintenance - Dietary</t>
  </si>
  <si>
    <t xml:space="preserve">      507375 - Equipment Rental - Dietary</t>
  </si>
  <si>
    <t xml:space="preserve">      507425 - Consultant - Dietary</t>
  </si>
  <si>
    <t xml:space="preserve">    Total Dietary Expenses</t>
  </si>
  <si>
    <t xml:space="preserve">      504100 - Payroll Tax -FICA</t>
  </si>
  <si>
    <t xml:space="preserve">      504110 - Payroll Tax - SUTA</t>
  </si>
  <si>
    <t xml:space="preserve">      504120 - Payroll Tax - FUTA</t>
  </si>
  <si>
    <t xml:space="preserve">      504130 - Workmans Comp Insurance</t>
  </si>
  <si>
    <t xml:space="preserve">      504150 - Health Insurance - Non-Union</t>
  </si>
  <si>
    <t xml:space="preserve">      504180 - Life Insurance Expense</t>
  </si>
  <si>
    <t xml:space="preserve">      504190 - Employee Background/Fingerprint</t>
  </si>
  <si>
    <t xml:space="preserve">      504200 - Employee Physicals</t>
  </si>
  <si>
    <t xml:space="preserve">      504220 - Employee Recruiting Expense</t>
  </si>
  <si>
    <t xml:space="preserve">      504230 - Employee Meals</t>
  </si>
  <si>
    <t xml:space="preserve">      504240 - Employee Benefits - Other</t>
  </si>
  <si>
    <t xml:space="preserve">    Total Employee Welfare Expenses</t>
  </si>
  <si>
    <t xml:space="preserve">      507525 - Laundry Supplies</t>
  </si>
  <si>
    <t xml:space="preserve">      507600 - Linen Replacement</t>
  </si>
  <si>
    <t xml:space="preserve">    Total Laundry and Linen Expenses</t>
  </si>
  <si>
    <t>G&amp;A Expenses by Department</t>
  </si>
  <si>
    <t xml:space="preserve">    Marketing Expenses</t>
  </si>
  <si>
    <t xml:space="preserve">      508150 - Advertising/Marketing</t>
  </si>
  <si>
    <t xml:space="preserve">      508175 - Marketing - Food</t>
  </si>
  <si>
    <t xml:space="preserve">    Total Marketing Expenses</t>
  </si>
  <si>
    <t xml:space="preserve">    G&amp;A Dept Expenses</t>
  </si>
  <si>
    <t xml:space="preserve">      508095 - Consultants- Centralized Admissions Fees</t>
  </si>
  <si>
    <t xml:space="preserve">      508250 - Auto Repairs / Maintenance</t>
  </si>
  <si>
    <t xml:space="preserve">      508275 - Bank Charges</t>
  </si>
  <si>
    <t xml:space="preserve">      508300 - Credit Card Processing</t>
  </si>
  <si>
    <t xml:space="preserve">      508350 - Data Processing Fees</t>
  </si>
  <si>
    <t xml:space="preserve">      508425 - Cable TV - Service</t>
  </si>
  <si>
    <t xml:space="preserve">      508500 - Dues &amp; Subscriptions</t>
  </si>
  <si>
    <t xml:space="preserve">      508525 - Education &amp; Seminars</t>
  </si>
  <si>
    <t xml:space="preserve">      508575 - Entertainment - Non Patient Related</t>
  </si>
  <si>
    <t xml:space="preserve">      508600 - Entertainment - Patient Related</t>
  </si>
  <si>
    <t xml:space="preserve">      508625 - Fingerprint/Bckgrd - Resident</t>
  </si>
  <si>
    <t xml:space="preserve">      508650 - General Insurance</t>
  </si>
  <si>
    <t xml:space="preserve">      508700 - Bookeeping Fees</t>
  </si>
  <si>
    <t xml:space="preserve">      508725 - Internet Services</t>
  </si>
  <si>
    <t xml:space="preserve">      508800 - Licenses and permits</t>
  </si>
  <si>
    <t xml:space="preserve">      508850 - Office Expense</t>
  </si>
  <si>
    <t xml:space="preserve">      508875 - Office Equipment Rental</t>
  </si>
  <si>
    <t xml:space="preserve">      508900 - Office Equip Repairs &amp; Maint</t>
  </si>
  <si>
    <t xml:space="preserve">      508925 - Holiday Expenses</t>
  </si>
  <si>
    <t xml:space="preserve">      508960 - Late Fees</t>
  </si>
  <si>
    <t xml:space="preserve">      509000 - Payroll Processing</t>
  </si>
  <si>
    <t xml:space="preserve">      509050 - Postage</t>
  </si>
  <si>
    <t xml:space="preserve">      509150 - Telephone</t>
  </si>
  <si>
    <t xml:space="preserve">      509175 - Theft &amp; Damage Loss</t>
  </si>
  <si>
    <t xml:space="preserve">      509200 - Patient Related Expenses</t>
  </si>
  <si>
    <t xml:space="preserve">      509225 - Travel - Staff</t>
  </si>
  <si>
    <t xml:space="preserve">      509250 - Bad debts Write-Off</t>
  </si>
  <si>
    <t xml:space="preserve">      509375 - Facility Apartment Expenses</t>
  </si>
  <si>
    <t xml:space="preserve">      509850 - Sales / Use Tax</t>
  </si>
  <si>
    <t xml:space="preserve">    Other Professional</t>
  </si>
  <si>
    <t xml:space="preserve">  Total General and Administrative Expenses</t>
  </si>
  <si>
    <t>Curis Services</t>
  </si>
  <si>
    <t>Monthly Census by Payor</t>
  </si>
  <si>
    <t>Total Resident Days</t>
  </si>
  <si>
    <t>Current Avg Resident</t>
  </si>
  <si>
    <t xml:space="preserve">  Census</t>
  </si>
  <si>
    <t xml:space="preserve">    Private</t>
  </si>
  <si>
    <t xml:space="preserve">    Medicaid</t>
  </si>
  <si>
    <t xml:space="preserve">    Hospice Medicaid</t>
  </si>
  <si>
    <t xml:space="preserve">    Medicaid Pending</t>
  </si>
  <si>
    <t xml:space="preserve">    Medicare - Part A</t>
  </si>
  <si>
    <t xml:space="preserve">    Insurance - Commercial</t>
  </si>
  <si>
    <t xml:space="preserve">    ALF - Private</t>
  </si>
  <si>
    <t xml:space="preserve">    Managed Medicaid</t>
  </si>
  <si>
    <t xml:space="preserve">    Medicaid MMAI</t>
  </si>
  <si>
    <t xml:space="preserve">    Medicare Advantage</t>
  </si>
  <si>
    <t xml:space="preserve">  Total Census</t>
  </si>
  <si>
    <t>Schedule of Resident Income</t>
  </si>
  <si>
    <t>Per Resident Day</t>
  </si>
  <si>
    <t xml:space="preserve">  Resident Income Detail</t>
  </si>
  <si>
    <t xml:space="preserve">    Resident Income Private</t>
  </si>
  <si>
    <t xml:space="preserve">    Resident Income Medicaid</t>
  </si>
  <si>
    <t xml:space="preserve">    Resident Income Medicare - Part A</t>
  </si>
  <si>
    <t xml:space="preserve">    Resident Income Insurance - Commercial</t>
  </si>
  <si>
    <t xml:space="preserve">    Resident Income Medicare - Part B</t>
  </si>
  <si>
    <t xml:space="preserve">    Resident Income ALF - Private</t>
  </si>
  <si>
    <t xml:space="preserve">    Resident Income Managed Medicaid</t>
  </si>
  <si>
    <t xml:space="preserve">    Resident Income Medicare Advantage</t>
  </si>
  <si>
    <t xml:space="preserve">  Total Resident Income Detail</t>
  </si>
  <si>
    <t>Ancillary Expenses by Payor Summary</t>
  </si>
  <si>
    <t xml:space="preserve">  Ancillary Expense Detail</t>
  </si>
  <si>
    <t xml:space="preserve">    Ancillary Expense Medicaid</t>
  </si>
  <si>
    <t xml:space="preserve">    Ancillary Expense Medicare - Part A</t>
  </si>
  <si>
    <t xml:space="preserve">    Ancillary Expense Insurance - Commercial</t>
  </si>
  <si>
    <t xml:space="preserve">    Ancillary Expense Medicare - Part B</t>
  </si>
  <si>
    <t xml:space="preserve">    Ancillary Expense Managed Medicaid</t>
  </si>
  <si>
    <t xml:space="preserve">    Ancillary Expense No Payor</t>
  </si>
  <si>
    <t xml:space="preserve">  Total Ancillary Expense Detail</t>
  </si>
  <si>
    <t>Ancillary Expenses by Payor Detail</t>
  </si>
  <si>
    <t xml:space="preserve">      503100 - Ancillary Costs - Physical Therapy</t>
  </si>
  <si>
    <t xml:space="preserve">      503125 - Ancillary Costs - Occupational Therapy</t>
  </si>
  <si>
    <t xml:space="preserve">      503150 - Ancillary Costs - Speech Therapy</t>
  </si>
  <si>
    <t xml:space="preserve">    Total Ancillary Expense Medicaid</t>
  </si>
  <si>
    <t xml:space="preserve">    Total Ancillary Expense Medicare - Part A</t>
  </si>
  <si>
    <t xml:space="preserve">    Total Ancillary Expense Insurance - Commercial</t>
  </si>
  <si>
    <t xml:space="preserve">    Total Ancillary Expense Medicare - Part B</t>
  </si>
  <si>
    <t xml:space="preserve">    Total Ancillary Expense Managed Medicaid</t>
  </si>
  <si>
    <t xml:space="preserve">      503000 - Ancillary Costs - Medical Supplies</t>
  </si>
  <si>
    <t xml:space="preserve">      503025 - Ancillary Costs - Pharmacy</t>
  </si>
  <si>
    <t xml:space="preserve">      503050 - Ancillary Costs - Radiology/Telemetry/EKG</t>
  </si>
  <si>
    <t xml:space="preserve">      503075 - Ancillary Costs - Laboratory</t>
  </si>
  <si>
    <t xml:space="preserve">      503175 - Ancillary Costs - Respiratory Services</t>
  </si>
  <si>
    <t xml:space="preserve">      503200 - Ancillary Costs - Rentals</t>
  </si>
  <si>
    <t xml:space="preserve">      503250 - Ancillary Costs - Nursing Services</t>
  </si>
  <si>
    <t xml:space="preserve">      503300 - Ancillary Costs - Wound Therapy</t>
  </si>
  <si>
    <t xml:space="preserve">    Total Ancillary Expense No Payor</t>
  </si>
  <si>
    <t>Payroll and Related Costs</t>
  </si>
  <si>
    <t xml:space="preserve">  Payroll and Payroll Related Costs</t>
  </si>
  <si>
    <t xml:space="preserve">    Salaries</t>
  </si>
  <si>
    <t xml:space="preserve">      Director of Nursing</t>
  </si>
  <si>
    <t xml:space="preserve">      Asst. Director of Nursing</t>
  </si>
  <si>
    <t xml:space="preserve">      Nurse Supervisor</t>
  </si>
  <si>
    <t xml:space="preserve">      Registered Nurse</t>
  </si>
  <si>
    <t xml:space="preserve">      Wound Care Nurse</t>
  </si>
  <si>
    <t xml:space="preserve">      Quality Assurance</t>
  </si>
  <si>
    <t xml:space="preserve">      MDS Coordinator</t>
  </si>
  <si>
    <t xml:space="preserve">      Licensed Practical Nurse</t>
  </si>
  <si>
    <t xml:space="preserve">      Certified Nurse Aide</t>
  </si>
  <si>
    <t xml:space="preserve">      Social Services Director</t>
  </si>
  <si>
    <t xml:space="preserve">      Social Service Designee</t>
  </si>
  <si>
    <t xml:space="preserve">      Activity Director</t>
  </si>
  <si>
    <t xml:space="preserve">      Activity Assistant</t>
  </si>
  <si>
    <t xml:space="preserve">      Resident Escort/Assistant</t>
  </si>
  <si>
    <t xml:space="preserve">      Bus Driver</t>
  </si>
  <si>
    <t xml:space="preserve">      Housekeeping Supervisor</t>
  </si>
  <si>
    <t xml:space="preserve">      Housekeeping Staff</t>
  </si>
  <si>
    <t xml:space="preserve">      Maintenance Supervisor</t>
  </si>
  <si>
    <t xml:space="preserve">      Maintenance Staff</t>
  </si>
  <si>
    <t xml:space="preserve">      Dietary Manager</t>
  </si>
  <si>
    <t xml:space="preserve">      Asst. Dietery Manager</t>
  </si>
  <si>
    <t xml:space="preserve">      Dietary Aides</t>
  </si>
  <si>
    <t xml:space="preserve">      Cooks</t>
  </si>
  <si>
    <t xml:space="preserve">      Laundry Staff</t>
  </si>
  <si>
    <t xml:space="preserve">      Marketing Coordinator</t>
  </si>
  <si>
    <t xml:space="preserve">      Medical Records Staff</t>
  </si>
  <si>
    <t xml:space="preserve">      Administrator</t>
  </si>
  <si>
    <t xml:space="preserve">      Assistant Administrator</t>
  </si>
  <si>
    <t xml:space="preserve">      Business Office Manager</t>
  </si>
  <si>
    <t xml:space="preserve">      Receptionist</t>
  </si>
  <si>
    <t xml:space="preserve">      Financial Coordinator</t>
  </si>
  <si>
    <t xml:space="preserve">      Human Resource</t>
  </si>
  <si>
    <t xml:space="preserve">      Ward Clerk</t>
  </si>
  <si>
    <t xml:space="preserve">    Total Salaries</t>
  </si>
  <si>
    <t xml:space="preserve">    Payroll Related Costs</t>
  </si>
  <si>
    <t xml:space="preserve">      Payroll Taxes</t>
  </si>
  <si>
    <t xml:space="preserve">      Other Employee Costs</t>
  </si>
  <si>
    <t xml:space="preserve">    Total Payroll Related Costs</t>
  </si>
  <si>
    <t xml:space="preserve">  Total Payroll and Payroll Related Costs</t>
  </si>
  <si>
    <t>Salaries by Position</t>
  </si>
  <si>
    <t xml:space="preserve">  Salaries by Position Detail</t>
  </si>
  <si>
    <t xml:space="preserve">    Salaries Director of Nursing</t>
  </si>
  <si>
    <t xml:space="preserve">    Total Salaries Director of Nursing</t>
  </si>
  <si>
    <t xml:space="preserve">    Salaries Asst. Director of Nursing</t>
  </si>
  <si>
    <t xml:space="preserve">    Total Salaries Asst. Director of Nursing</t>
  </si>
  <si>
    <t xml:space="preserve">    Salaries Nurse Supervisor</t>
  </si>
  <si>
    <t xml:space="preserve">    Total Salaries Nurse Supervisor</t>
  </si>
  <si>
    <t xml:space="preserve">    Salaries Registered Nurse</t>
  </si>
  <si>
    <t xml:space="preserve">    Total Salaries Registered Nurse</t>
  </si>
  <si>
    <t xml:space="preserve">    Salaries Wound Care Nurse</t>
  </si>
  <si>
    <t xml:space="preserve">    Total Salaries Wound Care Nurse</t>
  </si>
  <si>
    <t xml:space="preserve">    Salaries Quality Assurance</t>
  </si>
  <si>
    <t xml:space="preserve">    Total Salaries Quality Assurance</t>
  </si>
  <si>
    <t xml:space="preserve">    Salaries MDS Coordinator</t>
  </si>
  <si>
    <t xml:space="preserve">    Total Salaries MDS Coordinator</t>
  </si>
  <si>
    <t xml:space="preserve">    Salaries Licensed Practical Nurse</t>
  </si>
  <si>
    <t xml:space="preserve">    Total Salaries Licensed Practical Nurse</t>
  </si>
  <si>
    <t xml:space="preserve">    Salaries Certified Nurse Aide</t>
  </si>
  <si>
    <t xml:space="preserve">    Total Salaries Certified Nurse Aide</t>
  </si>
  <si>
    <t xml:space="preserve">    Salaries Social Services Director</t>
  </si>
  <si>
    <t xml:space="preserve">    Total Salaries Social Services Director</t>
  </si>
  <si>
    <t xml:space="preserve">    Salaries Social Service Designee</t>
  </si>
  <si>
    <t xml:space="preserve">    Total Salaries Social Service Designee</t>
  </si>
  <si>
    <t xml:space="preserve">    Salaries Activity Director</t>
  </si>
  <si>
    <t xml:space="preserve">    Total Salaries Activity Director</t>
  </si>
  <si>
    <t xml:space="preserve">    Salaries Activity Assistant</t>
  </si>
  <si>
    <t xml:space="preserve">    Total Salaries Activity Assistant</t>
  </si>
  <si>
    <t xml:space="preserve">    Salaries Resident Escort/Assistant</t>
  </si>
  <si>
    <t xml:space="preserve">    Total Salaries Resident Escort/Assistant</t>
  </si>
  <si>
    <t xml:space="preserve">    Salaries Bus Driver</t>
  </si>
  <si>
    <t xml:space="preserve">    Total Salaries Bus Driver</t>
  </si>
  <si>
    <t xml:space="preserve">    Salaries Housekeeping Supervisor</t>
  </si>
  <si>
    <t xml:space="preserve">    Total Salaries Housekeeping Supervisor</t>
  </si>
  <si>
    <t xml:space="preserve">    Salaries Housekeeping Staff</t>
  </si>
  <si>
    <t xml:space="preserve">    Total Salaries Housekeeping Staff</t>
  </si>
  <si>
    <t xml:space="preserve">    Salaries Maintenance Supervisor</t>
  </si>
  <si>
    <t xml:space="preserve">    Total Salaries Maintenance Supervisor</t>
  </si>
  <si>
    <t xml:space="preserve">    Salaries Maintenance Staff</t>
  </si>
  <si>
    <t xml:space="preserve">    Total Salaries Maintenance Staff</t>
  </si>
  <si>
    <t xml:space="preserve">    Salaries Dietary Manager</t>
  </si>
  <si>
    <t xml:space="preserve">    Total Salaries Dietary Manager</t>
  </si>
  <si>
    <t xml:space="preserve">    Salaries Asst. Dietery Manager</t>
  </si>
  <si>
    <t xml:space="preserve">    Total Salaries Asst. Dietery Manager</t>
  </si>
  <si>
    <t xml:space="preserve">    Salaries Dietary Aides</t>
  </si>
  <si>
    <t xml:space="preserve">    Total Salaries Dietary Aides</t>
  </si>
  <si>
    <t xml:space="preserve">    Salaries Cooks</t>
  </si>
  <si>
    <t xml:space="preserve">    Total Salaries Cooks</t>
  </si>
  <si>
    <t xml:space="preserve">    Salaries Laundry Staff</t>
  </si>
  <si>
    <t xml:space="preserve">    Total Salaries Laundry Staff</t>
  </si>
  <si>
    <t xml:space="preserve">    Salaries Marketing Coordinator</t>
  </si>
  <si>
    <t xml:space="preserve">    Total Salaries Marketing Coordinator</t>
  </si>
  <si>
    <t xml:space="preserve">    Salaries Medical Records Staff</t>
  </si>
  <si>
    <t xml:space="preserve">    Total Salaries Medical Records Staff</t>
  </si>
  <si>
    <t xml:space="preserve">    Salaries Administrator</t>
  </si>
  <si>
    <t xml:space="preserve">    Total Salaries Administrator</t>
  </si>
  <si>
    <t xml:space="preserve">    Salaries Assistant Administrator</t>
  </si>
  <si>
    <t xml:space="preserve">    Total Salaries Assistant Administrator</t>
  </si>
  <si>
    <t xml:space="preserve">    Salaries Business Office Manager</t>
  </si>
  <si>
    <t xml:space="preserve">    Total Salaries Business Office Manager</t>
  </si>
  <si>
    <t xml:space="preserve">    Salaries Receptionist</t>
  </si>
  <si>
    <t xml:space="preserve">    Total Salaries Receptionist</t>
  </si>
  <si>
    <t xml:space="preserve">    Salaries Financial Coordinator</t>
  </si>
  <si>
    <t xml:space="preserve">    Total Salaries Financial Coordinator</t>
  </si>
  <si>
    <t xml:space="preserve">    Salaries Human Resource</t>
  </si>
  <si>
    <t xml:space="preserve">    Total Salaries Human Resource</t>
  </si>
  <si>
    <t xml:space="preserve">    Salaries Ward Clerk</t>
  </si>
  <si>
    <t xml:space="preserve">    Total Salaries Ward Clerk</t>
  </si>
  <si>
    <t xml:space="preserve">  Total Salaries by Position Detail</t>
  </si>
  <si>
    <t>Balance Sheet</t>
  </si>
  <si>
    <t>All Facilities</t>
  </si>
  <si>
    <t>Year To Date</t>
  </si>
  <si>
    <t xml:space="preserve">  Assets</t>
  </si>
  <si>
    <t xml:space="preserve">    Current Assets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</si>
  <si>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</si>
  <si>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</si>
  <si>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</si>
  <si>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</si>
  <si>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</si>
  <si>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</si>
  <si>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</si>
  <si>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</si>
  <si>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</t>
  </si>
  <si>
    <t xml:space="preserve">        108050 - Building Improvements</t>
  </si>
  <si>
    <t xml:space="preserve">        108150 - Furniture, Fixture, Equipment</t>
  </si>
  <si>
    <t xml:space="preserve">        108200 - Vehicle</t>
  </si>
  <si>
    <t xml:space="preserve">        108250 - Deposits on Fixed Assets</t>
  </si>
  <si>
    <t xml:space="preserve">        108300 - Construction in Process</t>
  </si>
  <si>
    <t xml:space="preserve">      Total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</si>
  <si>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</si>
  <si>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</si>
  <si>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</si>
  <si>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Amortization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</si>
  <si>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</si>
  <si>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</si>
  <si>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</si>
  <si>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</si>
  <si>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</si>
  <si>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</si>
  <si>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</si>
  <si>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Liabilities</t>
  </si>
  <si>
    <t xml:space="preserve">      Current Liabilities</t>
  </si>
  <si>
    <t xml:space="preserve">        Accounts Payable</t>
  </si>
  <si>
    <t xml:space="preserve">        Accrued Liabilities</t>
  </si>
  <si>
    <t xml:space="preserve">        Loan Payable</t>
  </si>
  <si>
    <t xml:space="preserve">        Other Current Liabilities</t>
  </si>
  <si>
    <t xml:space="preserve">      Total Current Liabilities</t>
  </si>
  <si>
    <t xml:space="preserve">    Total Liabilities</t>
  </si>
  <si>
    <t xml:space="preserve">    Stockholders Equity</t>
  </si>
  <si>
    <t xml:space="preserve">      Partners Equity</t>
  </si>
  <si>
    <t xml:space="preserve">        303000 - Member Distributions</t>
  </si>
  <si>
    <t xml:space="preserve">      Total Partners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</si>
  <si>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</si>
  <si>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</si>
  <si>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</si>
  <si>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</si>
  <si>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Created on : 06/11/2025 1:13 PM CST</t>
  </si>
  <si>
    <t>additional addbacks</t>
  </si>
  <si>
    <t>nurse consultant</t>
  </si>
  <si>
    <t>pharmacy consultant</t>
  </si>
  <si>
    <t>dietary consultant</t>
  </si>
  <si>
    <t>bookkeeping/home office fees</t>
  </si>
  <si>
    <t>EBITDAR</t>
  </si>
  <si>
    <t>Total Addbacks</t>
  </si>
  <si>
    <t>EBITDAR With Related Party Addbacks</t>
  </si>
  <si>
    <t>Other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</si>
</sst>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9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  <font>
      <b/>
      <sz val="12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0" fontId="0" fillId="0" borderId="0" xfId="0" applyFill="1"/>
    <xf numFmtId="164" fontId="2" fillId="0" borderId="2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65" fontId="3" fillId="0" borderId="0" xfId="0" applyNumberFormat="1" applyFont="1" applyFill="1" applyAlignment="1">
      <alignment horizontal="right"/>
    </xf>
    <xf numFmtId="165" fontId="3" fillId="0" borderId="3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165" fontId="3" fillId="0" borderId="2" xfId="0" applyNumberFormat="1" applyFont="1" applyFill="1" applyBorder="1" applyAlignment="1">
      <alignment horizontal="right"/>
    </xf>
    <xf numFmtId="165" fontId="7" fillId="0" borderId="4" xfId="0" applyNumberFormat="1" applyFont="1" applyFill="1" applyBorder="1" applyAlignment="1">
      <alignment horizontal="right"/>
    </xf>
    <xf numFmtId="0" fontId="7" fillId="0" borderId="5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4" fontId="2" fillId="0" borderId="3" xfId="0" applyNumberFormat="1" applyFont="1" applyFill="1" applyBorder="1" applyAlignment="1">
      <alignment horizontal="right"/>
    </xf>
    <xf numFmtId="164" fontId="2" fillId="0" borderId="4" xfId="0" applyNumberFormat="1" applyFont="1" applyFill="1" applyBorder="1" applyAlignment="1">
      <alignment horizontal="right"/>
    </xf>
    <xf numFmtId="164" fontId="0" fillId="0" borderId="0" xfId="0" applyNumberFormat="1" applyFill="1"/>
    <xf numFmtId="0" fontId="8" fillId="0" borderId="0" xfId="0" applyFont="1" applyFill="1"/>
    <xf numFmtId="0" fontId="0" fillId="0" borderId="0" xfId="0" applyFill="1" applyBorder="1"/>
    <xf numFmtId="164" fontId="2" fillId="0" borderId="0" xfId="0" applyNumberFormat="1" applyFont="1" applyFill="1" applyBorder="1" applyAlignment="1">
      <alignment horizontal="right"/>
    </xf>
    <xf numFmtId="0" fontId="0" fillId="0" borderId="0" xfId="0" applyFill="1" applyAlignment="1"/>
    <xf numFmtId="0" fontId="8" fillId="0" borderId="3" xfId="0" applyFont="1" applyFill="1" applyBorder="1"/>
    <xf numFmtId="164" fontId="0" fillId="0" borderId="3" xfId="0" applyNumberFormat="1" applyFill="1" applyBorder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37" fontId="0" fillId="0" borderId="0" xfId="0" applyNumberFormat="1" applyFill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3144-F98F-49CE-8AAA-CBAF19990883}">
  <dimension ref="A1:X55"/>
  <sheetViews>
    <sheetView topLeftCell="A27" workbookViewId="0">
      <selection activeCell="E56" sqref="E56"/>
    </sheetView>
  </sheetViews>
  <sheetFormatPr defaultRowHeight="12.75" x14ac:dyDescent="0.2"/>
  <cols>
    <col min="1" max="1" width="31.28515625" style="22" bestFit="1" customWidth="1"/>
    <col min="2" max="2" width="15.7109375" style="22" customWidth="1"/>
    <col min="3" max="3" width="10.140625" style="22" customWidth="1"/>
    <col min="4" max="4" width="22.28515625" style="22" customWidth="1"/>
    <col min="5" max="5" width="16.140625" style="22" customWidth="1"/>
    <col min="6" max="6" width="15.5703125" style="22" customWidth="1"/>
    <col min="7" max="7" width="12.140625" style="22" customWidth="1"/>
    <col min="8" max="8" width="13.140625" style="22" customWidth="1"/>
    <col min="9" max="9" width="10.85546875" style="22" customWidth="1"/>
    <col min="10" max="10" width="17.5703125" style="22" customWidth="1"/>
    <col min="11" max="11" width="12.140625" style="22" customWidth="1"/>
    <col min="12" max="12" width="13.7109375" style="22" customWidth="1"/>
    <col min="13" max="13" width="17.5703125" style="22" customWidth="1"/>
    <col min="14" max="14" width="11.42578125" style="22" customWidth="1"/>
    <col min="15" max="15" width="12.85546875" style="22" customWidth="1"/>
    <col min="16" max="16" width="18.85546875" style="22" bestFit="1" customWidth="1"/>
    <col min="17" max="17" width="15" style="22" bestFit="1" customWidth="1"/>
    <col min="18" max="18" width="14.28515625" style="22" customWidth="1"/>
    <col min="19" max="19" width="11" style="22" customWidth="1"/>
    <col min="20" max="20" width="10.85546875" style="22" customWidth="1"/>
    <col min="21" max="21" width="11.5703125" style="22" customWidth="1"/>
    <col min="22" max="22" width="11.85546875" style="22" customWidth="1"/>
    <col min="23" max="23" width="12.140625" style="22" customWidth="1"/>
    <col min="24" max="24" width="11.140625" style="22" customWidth="1"/>
    <col min="25" max="16384" width="9.140625" style="22"/>
  </cols>
  <sheetData>
    <row r="1" spans="1:24" ht="15.75" x14ac:dyDescent="0.25">
      <c r="A1" s="49" t="s">
        <v>178</v>
      </c>
    </row>
    <row r="2" spans="1:24" ht="15.75" x14ac:dyDescent="0.25">
      <c r="A2" s="49" t="s">
        <v>344</v>
      </c>
    </row>
    <row r="3" spans="1:24" x14ac:dyDescent="0.2">
      <c r="A3" s="28" t="s">
        <v>3</v>
      </c>
      <c r="B3" s="28" t="s">
        <v>4</v>
      </c>
    </row>
    <row r="4" spans="1:24" x14ac:dyDescent="0.2">
      <c r="A4" s="28" t="s">
        <v>5</v>
      </c>
      <c r="B4" s="28" t="s">
        <v>0</v>
      </c>
    </row>
    <row r="5" spans="1:24" x14ac:dyDescent="0.2">
      <c r="A5" s="36" t="s">
        <v>6</v>
      </c>
    </row>
    <row r="6" spans="1:24" x14ac:dyDescent="0.2">
      <c r="A6" s="28" t="s">
        <v>6</v>
      </c>
      <c r="B6" s="24" t="s">
        <v>7</v>
      </c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24" t="s">
        <v>13</v>
      </c>
      <c r="I6" s="24" t="s">
        <v>14</v>
      </c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 t="s">
        <v>24</v>
      </c>
      <c r="T6" s="24" t="s">
        <v>25</v>
      </c>
      <c r="U6" s="24" t="s">
        <v>26</v>
      </c>
      <c r="V6" s="24" t="s">
        <v>27</v>
      </c>
      <c r="W6" s="24" t="s">
        <v>28</v>
      </c>
      <c r="X6" s="24" t="s">
        <v>345</v>
      </c>
    </row>
    <row r="7" spans="1:24" x14ac:dyDescent="0.2">
      <c r="A7" s="28" t="s">
        <v>6</v>
      </c>
      <c r="B7" s="24" t="s">
        <v>346</v>
      </c>
      <c r="C7" s="24" t="s">
        <v>346</v>
      </c>
      <c r="D7" s="24" t="s">
        <v>346</v>
      </c>
      <c r="E7" s="24" t="s">
        <v>346</v>
      </c>
      <c r="F7" s="24" t="s">
        <v>346</v>
      </c>
      <c r="G7" s="24" t="s">
        <v>346</v>
      </c>
      <c r="H7" s="24" t="s">
        <v>346</v>
      </c>
      <c r="I7" s="24" t="s">
        <v>346</v>
      </c>
      <c r="J7" s="24" t="s">
        <v>346</v>
      </c>
      <c r="K7" s="24" t="s">
        <v>346</v>
      </c>
      <c r="L7" s="24" t="s">
        <v>346</v>
      </c>
      <c r="M7" s="24" t="s">
        <v>346</v>
      </c>
      <c r="N7" s="24" t="s">
        <v>346</v>
      </c>
      <c r="O7" s="24" t="s">
        <v>346</v>
      </c>
      <c r="P7" s="24" t="s">
        <v>346</v>
      </c>
      <c r="Q7" s="24" t="s">
        <v>346</v>
      </c>
      <c r="R7" s="24" t="s">
        <v>346</v>
      </c>
      <c r="S7" s="24" t="s">
        <v>346</v>
      </c>
      <c r="T7" s="24" t="s">
        <v>346</v>
      </c>
      <c r="U7" s="24" t="s">
        <v>346</v>
      </c>
      <c r="V7" s="24" t="s">
        <v>346</v>
      </c>
      <c r="W7" s="24" t="s">
        <v>346</v>
      </c>
      <c r="X7" s="24" t="s">
        <v>346</v>
      </c>
    </row>
    <row r="8" spans="1:24" x14ac:dyDescent="0.2">
      <c r="A8" s="28" t="s">
        <v>6</v>
      </c>
      <c r="B8" s="25" t="s">
        <v>4</v>
      </c>
      <c r="C8" s="25" t="s">
        <v>4</v>
      </c>
      <c r="D8" s="25" t="s">
        <v>4</v>
      </c>
      <c r="E8" s="25" t="s">
        <v>4</v>
      </c>
      <c r="F8" s="25" t="s">
        <v>4</v>
      </c>
      <c r="G8" s="25" t="s">
        <v>4</v>
      </c>
      <c r="H8" s="25" t="s">
        <v>4</v>
      </c>
      <c r="I8" s="25" t="s">
        <v>4</v>
      </c>
      <c r="J8" s="25" t="s">
        <v>4</v>
      </c>
      <c r="K8" s="25" t="s">
        <v>4</v>
      </c>
      <c r="L8" s="25" t="s">
        <v>4</v>
      </c>
      <c r="M8" s="25" t="s">
        <v>4</v>
      </c>
      <c r="N8" s="25" t="s">
        <v>4</v>
      </c>
      <c r="O8" s="25" t="s">
        <v>4</v>
      </c>
      <c r="P8" s="25" t="s">
        <v>4</v>
      </c>
      <c r="Q8" s="25" t="s">
        <v>4</v>
      </c>
      <c r="R8" s="25" t="s">
        <v>4</v>
      </c>
      <c r="S8" s="25" t="s">
        <v>4</v>
      </c>
      <c r="T8" s="25" t="s">
        <v>4</v>
      </c>
      <c r="U8" s="25" t="s">
        <v>4</v>
      </c>
      <c r="V8" s="25" t="s">
        <v>4</v>
      </c>
      <c r="W8" s="25" t="s">
        <v>4</v>
      </c>
      <c r="X8" s="25" t="s">
        <v>4</v>
      </c>
    </row>
    <row r="9" spans="1:24" x14ac:dyDescent="0.2">
      <c r="A9" s="50" t="s">
        <v>6</v>
      </c>
      <c r="B9" s="26" t="s">
        <v>6</v>
      </c>
      <c r="C9" s="26" t="s">
        <v>6</v>
      </c>
      <c r="D9" s="26" t="s">
        <v>6</v>
      </c>
      <c r="E9" s="26" t="s">
        <v>6</v>
      </c>
      <c r="F9" s="26" t="s">
        <v>6</v>
      </c>
      <c r="G9" s="26" t="s">
        <v>6</v>
      </c>
      <c r="H9" s="26" t="s">
        <v>6</v>
      </c>
      <c r="I9" s="26" t="s">
        <v>6</v>
      </c>
      <c r="J9" s="26" t="s">
        <v>6</v>
      </c>
      <c r="K9" s="26" t="s">
        <v>6</v>
      </c>
      <c r="L9" s="26" t="s">
        <v>6</v>
      </c>
      <c r="M9" s="26" t="s">
        <v>6</v>
      </c>
      <c r="N9" s="26" t="s">
        <v>6</v>
      </c>
      <c r="O9" s="26" t="s">
        <v>6</v>
      </c>
      <c r="P9" s="26" t="s">
        <v>6</v>
      </c>
      <c r="Q9" s="26" t="s">
        <v>6</v>
      </c>
      <c r="R9" s="26" t="s">
        <v>6</v>
      </c>
      <c r="S9" s="26" t="s">
        <v>6</v>
      </c>
      <c r="T9" s="26" t="s">
        <v>6</v>
      </c>
      <c r="U9" s="26" t="s">
        <v>6</v>
      </c>
      <c r="V9" s="26" t="s">
        <v>6</v>
      </c>
      <c r="W9" s="26" t="s">
        <v>6</v>
      </c>
      <c r="X9" s="26" t="s">
        <v>6</v>
      </c>
    </row>
    <row r="10" spans="1:24" x14ac:dyDescent="0.2">
      <c r="A10" s="27" t="s">
        <v>347</v>
      </c>
      <c r="B10" s="27" t="s">
        <v>32</v>
      </c>
      <c r="C10" s="27" t="s">
        <v>32</v>
      </c>
      <c r="D10" s="27" t="s">
        <v>32</v>
      </c>
      <c r="E10" s="27" t="s">
        <v>32</v>
      </c>
      <c r="F10" s="27" t="s">
        <v>32</v>
      </c>
      <c r="G10" s="27" t="s">
        <v>32</v>
      </c>
      <c r="H10" s="27" t="s">
        <v>32</v>
      </c>
      <c r="I10" s="27" t="s">
        <v>32</v>
      </c>
      <c r="J10" s="27" t="s">
        <v>32</v>
      </c>
      <c r="K10" s="27" t="s">
        <v>32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 t="s">
        <v>32</v>
      </c>
      <c r="U10" s="27" t="s">
        <v>32</v>
      </c>
      <c r="V10" s="27" t="s">
        <v>32</v>
      </c>
      <c r="W10" s="27" t="s">
        <v>32</v>
      </c>
      <c r="X10" s="27" t="s">
        <v>32</v>
      </c>
    </row>
    <row r="11" spans="1:24" x14ac:dyDescent="0.2">
      <c r="A11" s="28" t="s">
        <v>348</v>
      </c>
      <c r="B11" s="28" t="s">
        <v>72</v>
      </c>
      <c r="C11" s="28" t="s">
        <v>72</v>
      </c>
      <c r="D11" s="28" t="s">
        <v>72</v>
      </c>
      <c r="E11" s="28" t="s">
        <v>72</v>
      </c>
      <c r="F11" s="28" t="s">
        <v>72</v>
      </c>
      <c r="G11" s="28" t="s">
        <v>72</v>
      </c>
      <c r="H11" s="28" t="s">
        <v>72</v>
      </c>
      <c r="I11" s="28" t="s">
        <v>72</v>
      </c>
      <c r="J11" s="28" t="s">
        <v>72</v>
      </c>
      <c r="K11" s="28" t="s">
        <v>72</v>
      </c>
      <c r="L11" s="28" t="s">
        <v>72</v>
      </c>
      <c r="M11" s="28" t="s">
        <v>72</v>
      </c>
      <c r="N11" s="28" t="s">
        <v>72</v>
      </c>
      <c r="O11" s="28" t="s">
        <v>72</v>
      </c>
      <c r="P11" s="28" t="s">
        <v>72</v>
      </c>
      <c r="Q11" s="28" t="s">
        <v>72</v>
      </c>
      <c r="R11" s="28" t="s">
        <v>72</v>
      </c>
      <c r="S11" s="28" t="s">
        <v>72</v>
      </c>
      <c r="T11" s="28" t="s">
        <v>72</v>
      </c>
      <c r="U11" s="28" t="s">
        <v>72</v>
      </c>
      <c r="V11" s="28" t="s">
        <v>72</v>
      </c>
      <c r="W11" s="28" t="s">
        <v>72</v>
      </c>
      <c r="X11" s="28" t="s">
        <v>72</v>
      </c>
    </row>
    <row r="12" spans="1:24" x14ac:dyDescent="0.2">
      <c r="A12" s="28" t="s">
        <v>349</v>
      </c>
      <c r="B12" s="29">
        <v>-81837.429999999993</v>
      </c>
      <c r="C12" s="29">
        <v>-3107.08</v>
      </c>
      <c r="D12" s="29">
        <v>-40845.61</v>
      </c>
      <c r="E12" s="29">
        <v>288815.49</v>
      </c>
      <c r="F12" s="29">
        <v>-5841.55</v>
      </c>
      <c r="G12" s="29">
        <v>-11250.16</v>
      </c>
      <c r="H12" s="29">
        <v>75867.55</v>
      </c>
      <c r="I12" s="29">
        <v>-15861.84</v>
      </c>
      <c r="J12" s="29">
        <v>-48526.879999999997</v>
      </c>
      <c r="K12" s="29">
        <v>-42662.91</v>
      </c>
      <c r="L12" s="29">
        <v>-48779.05</v>
      </c>
      <c r="M12" s="29">
        <v>612949.88</v>
      </c>
      <c r="N12" s="29">
        <v>-182172.32</v>
      </c>
      <c r="O12" s="29">
        <v>-103690.22</v>
      </c>
      <c r="P12" s="29">
        <v>-23200.58</v>
      </c>
      <c r="Q12" s="29">
        <v>189295.9</v>
      </c>
      <c r="R12" s="29">
        <v>-7166.27</v>
      </c>
      <c r="S12" s="29">
        <v>-13880.04</v>
      </c>
      <c r="T12" s="29">
        <v>-8371.5400000000009</v>
      </c>
      <c r="U12" s="29">
        <v>-15493.46</v>
      </c>
      <c r="V12" s="29">
        <v>-15771.03</v>
      </c>
      <c r="W12" s="29">
        <v>4835.0600000000004</v>
      </c>
      <c r="X12" s="29">
        <v>503305.91</v>
      </c>
    </row>
    <row r="13" spans="1:24" x14ac:dyDescent="0.2">
      <c r="A13" s="28" t="s">
        <v>350</v>
      </c>
      <c r="B13" s="29">
        <v>1647132.26</v>
      </c>
      <c r="C13" s="29">
        <v>861718.28</v>
      </c>
      <c r="D13" s="29">
        <v>670842.23</v>
      </c>
      <c r="E13" s="29">
        <v>786283.75</v>
      </c>
      <c r="F13" s="29">
        <v>1176119.42</v>
      </c>
      <c r="G13" s="29">
        <v>867970.44</v>
      </c>
      <c r="H13" s="29">
        <v>684750.97</v>
      </c>
      <c r="I13" s="29">
        <v>669558.72</v>
      </c>
      <c r="J13" s="29">
        <v>674320.58</v>
      </c>
      <c r="K13" s="29">
        <v>785647.86</v>
      </c>
      <c r="L13" s="29">
        <v>1237822.25</v>
      </c>
      <c r="M13" s="29">
        <v>1915711.91</v>
      </c>
      <c r="N13" s="29">
        <v>1143297.69</v>
      </c>
      <c r="O13" s="29">
        <v>940160.74</v>
      </c>
      <c r="P13" s="29">
        <v>1162937.04</v>
      </c>
      <c r="Q13" s="29">
        <v>1169671.93</v>
      </c>
      <c r="R13" s="29">
        <v>26674.46</v>
      </c>
      <c r="S13" s="29">
        <v>50470.99</v>
      </c>
      <c r="T13" s="29">
        <v>5431.61</v>
      </c>
      <c r="U13" s="29">
        <v>-6677.8</v>
      </c>
      <c r="V13" s="29">
        <v>37440.949999999997</v>
      </c>
      <c r="W13" s="29">
        <v>2214.62</v>
      </c>
      <c r="X13" s="29">
        <v>16509500.9</v>
      </c>
    </row>
    <row r="14" spans="1:24" x14ac:dyDescent="0.2">
      <c r="A14" s="28" t="s">
        <v>351</v>
      </c>
      <c r="B14" s="29">
        <v>56506.15</v>
      </c>
      <c r="C14" s="29">
        <v>37303.35</v>
      </c>
      <c r="D14" s="29">
        <v>39913.96</v>
      </c>
      <c r="E14" s="29">
        <v>39110.620000000003</v>
      </c>
      <c r="F14" s="29">
        <v>33722.370000000003</v>
      </c>
      <c r="G14" s="29">
        <v>28933.17</v>
      </c>
      <c r="H14" s="29">
        <v>29661.62</v>
      </c>
      <c r="I14" s="29">
        <v>38452.79</v>
      </c>
      <c r="J14" s="29">
        <v>25856.42</v>
      </c>
      <c r="K14" s="29">
        <v>37979.65</v>
      </c>
      <c r="L14" s="29">
        <v>31873.74</v>
      </c>
      <c r="M14" s="29">
        <v>76603.23</v>
      </c>
      <c r="N14" s="29">
        <v>57546.22</v>
      </c>
      <c r="O14" s="29">
        <v>54301.98</v>
      </c>
      <c r="P14" s="29">
        <v>46695.92</v>
      </c>
      <c r="Q14" s="29">
        <v>35199.07</v>
      </c>
      <c r="R14" s="29">
        <v>21661.919999999998</v>
      </c>
      <c r="S14" s="29">
        <v>25022.89</v>
      </c>
      <c r="T14" s="29">
        <v>23853.62</v>
      </c>
      <c r="U14" s="29">
        <v>34210</v>
      </c>
      <c r="V14" s="29">
        <v>25778.51</v>
      </c>
      <c r="W14" s="29">
        <v>2742.86</v>
      </c>
      <c r="X14" s="29">
        <v>802930.06</v>
      </c>
    </row>
    <row r="15" spans="1:24" x14ac:dyDescent="0.2">
      <c r="A15" s="28" t="s">
        <v>352</v>
      </c>
      <c r="B15" s="29">
        <v>-86718.54</v>
      </c>
      <c r="C15" s="29">
        <v>-236722.97</v>
      </c>
      <c r="D15" s="29">
        <v>-287210.53000000003</v>
      </c>
      <c r="E15" s="29">
        <v>-623262.85</v>
      </c>
      <c r="F15" s="29">
        <v>-150705.26999999999</v>
      </c>
      <c r="G15" s="29">
        <v>-362194.31</v>
      </c>
      <c r="H15" s="29">
        <v>-286590.56</v>
      </c>
      <c r="I15" s="29">
        <v>-529766.47</v>
      </c>
      <c r="J15" s="29">
        <v>-607115.13</v>
      </c>
      <c r="K15" s="29">
        <v>-531371.89</v>
      </c>
      <c r="L15" s="29">
        <v>-164839.25</v>
      </c>
      <c r="M15" s="29">
        <v>-600194.57999999996</v>
      </c>
      <c r="N15" s="29">
        <v>-385267.24</v>
      </c>
      <c r="O15" s="29">
        <v>-434591.8</v>
      </c>
      <c r="P15" s="29">
        <v>-798366.5</v>
      </c>
      <c r="Q15" s="29">
        <v>-880304.66</v>
      </c>
      <c r="R15" s="29">
        <v>-29484.78</v>
      </c>
      <c r="S15" s="29">
        <v>-71017.13</v>
      </c>
      <c r="T15" s="29">
        <v>-181320.37</v>
      </c>
      <c r="U15" s="29">
        <v>38579.32</v>
      </c>
      <c r="V15" s="29">
        <v>34437.1</v>
      </c>
      <c r="W15" s="29">
        <v>-73434.929999999993</v>
      </c>
      <c r="X15" s="29">
        <v>-7247463.3399999999</v>
      </c>
    </row>
    <row r="16" spans="1:24" x14ac:dyDescent="0.2">
      <c r="A16" s="28" t="s">
        <v>353</v>
      </c>
      <c r="B16" s="29">
        <v>-2782.5</v>
      </c>
      <c r="C16" s="29">
        <v>7433.83</v>
      </c>
      <c r="D16" s="29">
        <v>-4564.9799999999996</v>
      </c>
      <c r="E16" s="29">
        <v>740</v>
      </c>
      <c r="F16" s="29">
        <v>5554.75</v>
      </c>
      <c r="G16" s="29">
        <v>-20064.71</v>
      </c>
      <c r="H16" s="29">
        <v>1000</v>
      </c>
      <c r="I16" s="29">
        <v>1246.67</v>
      </c>
      <c r="J16" s="29">
        <v>8366.8700000000008</v>
      </c>
      <c r="K16" s="29">
        <v>970.39</v>
      </c>
      <c r="L16" s="29">
        <v>8664.31</v>
      </c>
      <c r="M16" s="29">
        <v>20618.04</v>
      </c>
      <c r="N16" s="29">
        <v>1123.7</v>
      </c>
      <c r="O16" s="29">
        <v>3468.18</v>
      </c>
      <c r="P16" s="29">
        <v>6938.85</v>
      </c>
      <c r="Q16" s="29">
        <v>21011</v>
      </c>
      <c r="R16" s="29">
        <v>0</v>
      </c>
      <c r="S16" s="29">
        <v>2913.02</v>
      </c>
      <c r="T16" s="29">
        <v>0</v>
      </c>
      <c r="U16" s="29">
        <v>83.93</v>
      </c>
      <c r="V16" s="29">
        <v>1245.08</v>
      </c>
      <c r="W16" s="29">
        <v>28.88</v>
      </c>
      <c r="X16" s="29">
        <v>63995.31</v>
      </c>
    </row>
    <row r="17" spans="1:24" x14ac:dyDescent="0.2">
      <c r="A17" s="28" t="s">
        <v>354</v>
      </c>
      <c r="B17" s="30">
        <v>1532299.94</v>
      </c>
      <c r="C17" s="30">
        <v>666625.41</v>
      </c>
      <c r="D17" s="30">
        <v>378135.07</v>
      </c>
      <c r="E17" s="30">
        <v>491687.01</v>
      </c>
      <c r="F17" s="30">
        <v>1058849.72</v>
      </c>
      <c r="G17" s="30">
        <v>503394.43</v>
      </c>
      <c r="H17" s="30">
        <v>504689.58</v>
      </c>
      <c r="I17" s="30">
        <v>163629.87</v>
      </c>
      <c r="J17" s="30">
        <v>52901.86</v>
      </c>
      <c r="K17" s="30">
        <v>250563.1</v>
      </c>
      <c r="L17" s="30">
        <v>1064742</v>
      </c>
      <c r="M17" s="30">
        <v>2025688.48</v>
      </c>
      <c r="N17" s="30">
        <v>634528.05000000005</v>
      </c>
      <c r="O17" s="30">
        <v>459648.88</v>
      </c>
      <c r="P17" s="30">
        <v>395004.73</v>
      </c>
      <c r="Q17" s="30">
        <v>534873.24</v>
      </c>
      <c r="R17" s="30">
        <v>11685.33</v>
      </c>
      <c r="S17" s="30">
        <v>-6490.27</v>
      </c>
      <c r="T17" s="30">
        <v>-160406.68</v>
      </c>
      <c r="U17" s="30">
        <v>50701.99</v>
      </c>
      <c r="V17" s="30">
        <v>83130.61</v>
      </c>
      <c r="W17" s="30">
        <v>-63613.51</v>
      </c>
      <c r="X17" s="30">
        <v>10632268.84</v>
      </c>
    </row>
    <row r="18" spans="1:24" x14ac:dyDescent="0.2">
      <c r="A18" s="28" t="s">
        <v>355</v>
      </c>
      <c r="B18" s="31" t="s">
        <v>72</v>
      </c>
      <c r="C18" s="31" t="s">
        <v>72</v>
      </c>
      <c r="D18" s="31" t="s">
        <v>72</v>
      </c>
      <c r="E18" s="31" t="s">
        <v>72</v>
      </c>
      <c r="F18" s="31" t="s">
        <v>72</v>
      </c>
      <c r="G18" s="31" t="s">
        <v>72</v>
      </c>
      <c r="H18" s="31" t="s">
        <v>72</v>
      </c>
      <c r="I18" s="31" t="s">
        <v>72</v>
      </c>
      <c r="J18" s="31" t="s">
        <v>72</v>
      </c>
      <c r="K18" s="31" t="s">
        <v>72</v>
      </c>
      <c r="L18" s="31" t="s">
        <v>72</v>
      </c>
      <c r="M18" s="31" t="s">
        <v>72</v>
      </c>
      <c r="N18" s="31" t="s">
        <v>72</v>
      </c>
      <c r="O18" s="31" t="s">
        <v>72</v>
      </c>
      <c r="P18" s="31" t="s">
        <v>72</v>
      </c>
      <c r="Q18" s="31" t="s">
        <v>72</v>
      </c>
      <c r="R18" s="31" t="s">
        <v>72</v>
      </c>
      <c r="S18" s="31" t="s">
        <v>72</v>
      </c>
      <c r="T18" s="31" t="s">
        <v>72</v>
      </c>
      <c r="U18" s="31" t="s">
        <v>72</v>
      </c>
      <c r="V18" s="31" t="s">
        <v>72</v>
      </c>
      <c r="W18" s="31" t="s">
        <v>72</v>
      </c>
      <c r="X18" s="31" t="s">
        <v>72</v>
      </c>
    </row>
    <row r="19" spans="1:24" x14ac:dyDescent="0.2">
      <c r="A19" s="28" t="s">
        <v>356</v>
      </c>
      <c r="B19" s="28" t="s">
        <v>357</v>
      </c>
      <c r="C19" s="28" t="s">
        <v>357</v>
      </c>
      <c r="D19" s="28" t="s">
        <v>357</v>
      </c>
      <c r="E19" s="28" t="s">
        <v>357</v>
      </c>
      <c r="F19" s="28" t="s">
        <v>357</v>
      </c>
      <c r="G19" s="28" t="s">
        <v>357</v>
      </c>
      <c r="H19" s="28" t="s">
        <v>357</v>
      </c>
      <c r="I19" s="28" t="s">
        <v>357</v>
      </c>
      <c r="J19" s="28" t="s">
        <v>357</v>
      </c>
      <c r="K19" s="28" t="s">
        <v>357</v>
      </c>
      <c r="L19" s="28" t="s">
        <v>357</v>
      </c>
      <c r="M19" s="28" t="s">
        <v>357</v>
      </c>
      <c r="N19" s="28" t="s">
        <v>357</v>
      </c>
      <c r="O19" s="28" t="s">
        <v>357</v>
      </c>
      <c r="P19" s="28" t="s">
        <v>357</v>
      </c>
      <c r="Q19" s="28" t="s">
        <v>357</v>
      </c>
      <c r="R19" s="28" t="s">
        <v>357</v>
      </c>
      <c r="S19" s="28" t="s">
        <v>357</v>
      </c>
      <c r="T19" s="28" t="s">
        <v>357</v>
      </c>
      <c r="U19" s="28" t="s">
        <v>357</v>
      </c>
      <c r="V19" s="28" t="s">
        <v>357</v>
      </c>
      <c r="W19" s="28" t="s">
        <v>357</v>
      </c>
      <c r="X19" s="28" t="s">
        <v>357</v>
      </c>
    </row>
    <row r="20" spans="1:24" x14ac:dyDescent="0.2">
      <c r="A20" s="28" t="s">
        <v>358</v>
      </c>
      <c r="B20" s="29">
        <v>34421.870000000003</v>
      </c>
      <c r="C20" s="29">
        <v>11087.48</v>
      </c>
      <c r="D20" s="29">
        <v>21650</v>
      </c>
      <c r="E20" s="29">
        <v>9820</v>
      </c>
      <c r="F20" s="29">
        <v>32290</v>
      </c>
      <c r="G20" s="29">
        <v>15415</v>
      </c>
      <c r="H20" s="29">
        <v>45489.74</v>
      </c>
      <c r="I20" s="29">
        <v>91403.53</v>
      </c>
      <c r="J20" s="29">
        <v>58233.61</v>
      </c>
      <c r="K20" s="29">
        <v>39227.5</v>
      </c>
      <c r="L20" s="29">
        <v>36649.379999999997</v>
      </c>
      <c r="M20" s="29">
        <v>31510</v>
      </c>
      <c r="N20" s="29">
        <v>70075</v>
      </c>
      <c r="O20" s="29">
        <v>35648.129999999997</v>
      </c>
      <c r="P20" s="29">
        <v>105164.5</v>
      </c>
      <c r="Q20" s="29">
        <v>58475.11</v>
      </c>
      <c r="R20" s="29">
        <v>0</v>
      </c>
      <c r="S20" s="29">
        <v>14080</v>
      </c>
      <c r="T20" s="29">
        <v>8542.5</v>
      </c>
      <c r="U20" s="29">
        <v>26450</v>
      </c>
      <c r="V20" s="29">
        <v>26017.5</v>
      </c>
      <c r="W20" s="29">
        <v>0</v>
      </c>
      <c r="X20" s="29">
        <v>771650.85</v>
      </c>
    </row>
    <row r="21" spans="1:24" x14ac:dyDescent="0.2">
      <c r="A21" s="28" t="s">
        <v>359</v>
      </c>
      <c r="B21" s="29">
        <v>9423.5</v>
      </c>
      <c r="C21" s="29">
        <v>9385</v>
      </c>
      <c r="D21" s="29">
        <v>9023.5</v>
      </c>
      <c r="E21" s="29">
        <v>11913.88</v>
      </c>
      <c r="F21" s="29">
        <v>13498.72</v>
      </c>
      <c r="G21" s="29">
        <v>12906.22</v>
      </c>
      <c r="H21" s="29">
        <v>8869.5</v>
      </c>
      <c r="I21" s="29">
        <v>9234.5</v>
      </c>
      <c r="J21" s="29">
        <v>13390.35</v>
      </c>
      <c r="K21" s="29">
        <v>15891.69</v>
      </c>
      <c r="L21" s="29">
        <v>18039.64</v>
      </c>
      <c r="M21" s="29">
        <v>9813.5</v>
      </c>
      <c r="N21" s="29">
        <v>12903.09</v>
      </c>
      <c r="O21" s="29">
        <v>9355.5</v>
      </c>
      <c r="P21" s="29">
        <v>22756.3</v>
      </c>
      <c r="Q21" s="29">
        <v>32246.880000000001</v>
      </c>
      <c r="R21" s="29">
        <v>11503.75</v>
      </c>
      <c r="S21" s="29">
        <v>14408.89</v>
      </c>
      <c r="T21" s="29">
        <v>8837</v>
      </c>
      <c r="U21" s="29">
        <v>8916</v>
      </c>
      <c r="V21" s="29">
        <v>8758</v>
      </c>
      <c r="W21" s="29">
        <v>0</v>
      </c>
      <c r="X21" s="29">
        <v>271075.40999999997</v>
      </c>
    </row>
    <row r="22" spans="1:24" x14ac:dyDescent="0.2">
      <c r="A22" s="28" t="s">
        <v>360</v>
      </c>
      <c r="B22" s="29">
        <v>55870</v>
      </c>
      <c r="C22" s="29">
        <v>4818.72</v>
      </c>
      <c r="D22" s="29">
        <v>55870</v>
      </c>
      <c r="E22" s="29">
        <v>0</v>
      </c>
      <c r="F22" s="29">
        <v>0</v>
      </c>
      <c r="G22" s="29">
        <v>55870</v>
      </c>
      <c r="H22" s="29">
        <v>0</v>
      </c>
      <c r="I22" s="29">
        <v>0</v>
      </c>
      <c r="J22" s="29">
        <v>4818.4399999999996</v>
      </c>
      <c r="K22" s="29">
        <v>0</v>
      </c>
      <c r="L22" s="29">
        <v>0</v>
      </c>
      <c r="M22" s="29">
        <v>14818.44</v>
      </c>
      <c r="N22" s="29">
        <v>0</v>
      </c>
      <c r="O22" s="29">
        <v>62450.94</v>
      </c>
      <c r="P22" s="29">
        <v>0</v>
      </c>
      <c r="Q22" s="29">
        <v>58795</v>
      </c>
      <c r="R22" s="29">
        <v>2594.8200000000002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315906.36</v>
      </c>
    </row>
    <row r="23" spans="1:24" x14ac:dyDescent="0.2">
      <c r="A23" s="28" t="s">
        <v>361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2440</v>
      </c>
      <c r="J23" s="29">
        <v>0</v>
      </c>
      <c r="K23" s="29">
        <v>0</v>
      </c>
      <c r="L23" s="29">
        <v>0</v>
      </c>
      <c r="M23" s="29">
        <v>0</v>
      </c>
      <c r="N23" s="29">
        <v>2444.65</v>
      </c>
      <c r="O23" s="29">
        <v>90240</v>
      </c>
      <c r="P23" s="29">
        <v>0</v>
      </c>
      <c r="Q23" s="29">
        <v>0</v>
      </c>
      <c r="R23" s="29">
        <v>0</v>
      </c>
      <c r="S23" s="29">
        <v>3051.12</v>
      </c>
      <c r="T23" s="29">
        <v>0</v>
      </c>
      <c r="U23" s="29">
        <v>0</v>
      </c>
      <c r="V23" s="29">
        <v>0</v>
      </c>
      <c r="W23" s="29">
        <v>0</v>
      </c>
      <c r="X23" s="29">
        <v>98175.77</v>
      </c>
    </row>
    <row r="24" spans="1:24" x14ac:dyDescent="0.2">
      <c r="A24" s="28" t="s">
        <v>362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74975</v>
      </c>
      <c r="O24" s="29">
        <v>0</v>
      </c>
      <c r="P24" s="29">
        <v>380000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454975</v>
      </c>
    </row>
    <row r="25" spans="1:24" x14ac:dyDescent="0.2">
      <c r="A25" s="28" t="s">
        <v>363</v>
      </c>
      <c r="B25" s="32">
        <v>99715.37</v>
      </c>
      <c r="C25" s="32">
        <v>25291.200000000001</v>
      </c>
      <c r="D25" s="32">
        <v>86543.5</v>
      </c>
      <c r="E25" s="32">
        <v>21733.88</v>
      </c>
      <c r="F25" s="32">
        <v>45788.72</v>
      </c>
      <c r="G25" s="32">
        <v>84191.22</v>
      </c>
      <c r="H25" s="32">
        <v>54359.24</v>
      </c>
      <c r="I25" s="32">
        <v>103078.03</v>
      </c>
      <c r="J25" s="32">
        <v>76442.399999999994</v>
      </c>
      <c r="K25" s="32">
        <v>55119.19</v>
      </c>
      <c r="L25" s="32">
        <v>54689.02</v>
      </c>
      <c r="M25" s="32">
        <v>56141.94</v>
      </c>
      <c r="N25" s="32">
        <v>160397.74</v>
      </c>
      <c r="O25" s="32">
        <v>197694.57</v>
      </c>
      <c r="P25" s="32">
        <v>507920.8</v>
      </c>
      <c r="Q25" s="32">
        <v>149516.99</v>
      </c>
      <c r="R25" s="32">
        <v>14098.57</v>
      </c>
      <c r="S25" s="32">
        <v>31540.01</v>
      </c>
      <c r="T25" s="32">
        <v>17379.5</v>
      </c>
      <c r="U25" s="32">
        <v>35366</v>
      </c>
      <c r="V25" s="32">
        <v>34775.5</v>
      </c>
      <c r="W25" s="32">
        <v>0</v>
      </c>
      <c r="X25" s="32">
        <v>1911783.39</v>
      </c>
    </row>
    <row r="26" spans="1:24" x14ac:dyDescent="0.2">
      <c r="A26" s="28" t="s">
        <v>364</v>
      </c>
      <c r="B26" s="29">
        <v>6723.41</v>
      </c>
      <c r="C26" s="29">
        <v>1721.73</v>
      </c>
      <c r="D26" s="29">
        <v>6279.85</v>
      </c>
      <c r="E26" s="29">
        <v>1429.39</v>
      </c>
      <c r="F26" s="29">
        <v>2352.4699999999998</v>
      </c>
      <c r="G26" s="29">
        <v>6117.48</v>
      </c>
      <c r="H26" s="29">
        <v>2586.33</v>
      </c>
      <c r="I26" s="29">
        <v>3557.95</v>
      </c>
      <c r="J26" s="29">
        <v>3287.8</v>
      </c>
      <c r="K26" s="29">
        <v>2798.56</v>
      </c>
      <c r="L26" s="29">
        <v>2987.76</v>
      </c>
      <c r="M26" s="29">
        <v>3211.41</v>
      </c>
      <c r="N26" s="29">
        <v>3264.74</v>
      </c>
      <c r="O26" s="29">
        <v>6881.35</v>
      </c>
      <c r="P26" s="29">
        <v>5875.35</v>
      </c>
      <c r="Q26" s="29">
        <v>9620.02</v>
      </c>
      <c r="R26" s="29">
        <v>1233.1500000000001</v>
      </c>
      <c r="S26" s="29">
        <v>1771.7</v>
      </c>
      <c r="T26" s="29">
        <v>1168.45</v>
      </c>
      <c r="U26" s="29">
        <v>2106.6</v>
      </c>
      <c r="V26" s="29">
        <v>1692.91</v>
      </c>
      <c r="W26" s="29">
        <v>0</v>
      </c>
      <c r="X26" s="29">
        <v>76668.41</v>
      </c>
    </row>
    <row r="27" spans="1:24" x14ac:dyDescent="0.2">
      <c r="A27" s="28" t="s">
        <v>365</v>
      </c>
      <c r="B27" s="30">
        <v>92991.96</v>
      </c>
      <c r="C27" s="30">
        <v>23569.47</v>
      </c>
      <c r="D27" s="30">
        <v>80263.649999999994</v>
      </c>
      <c r="E27" s="30">
        <v>20304.490000000002</v>
      </c>
      <c r="F27" s="30">
        <v>43436.25</v>
      </c>
      <c r="G27" s="30">
        <v>78073.740000000005</v>
      </c>
      <c r="H27" s="30">
        <v>51772.91</v>
      </c>
      <c r="I27" s="30">
        <v>99520.08</v>
      </c>
      <c r="J27" s="30">
        <v>73154.600000000006</v>
      </c>
      <c r="K27" s="30">
        <v>52320.63</v>
      </c>
      <c r="L27" s="30">
        <v>51701.26</v>
      </c>
      <c r="M27" s="30">
        <v>52930.53</v>
      </c>
      <c r="N27" s="30">
        <v>157133</v>
      </c>
      <c r="O27" s="30">
        <v>190813.22</v>
      </c>
      <c r="P27" s="30">
        <v>502045.45</v>
      </c>
      <c r="Q27" s="30">
        <v>139896.97</v>
      </c>
      <c r="R27" s="30">
        <v>12865.42</v>
      </c>
      <c r="S27" s="30">
        <v>29768.31</v>
      </c>
      <c r="T27" s="30">
        <v>16211.05</v>
      </c>
      <c r="U27" s="30">
        <v>33259.4</v>
      </c>
      <c r="V27" s="30">
        <v>33082.589999999997</v>
      </c>
      <c r="W27" s="30">
        <v>0</v>
      </c>
      <c r="X27" s="30">
        <v>1835114.98</v>
      </c>
    </row>
    <row r="28" spans="1:24" x14ac:dyDescent="0.2">
      <c r="A28" s="28" t="s">
        <v>366</v>
      </c>
      <c r="B28" s="31" t="s">
        <v>72</v>
      </c>
      <c r="C28" s="31" t="s">
        <v>72</v>
      </c>
      <c r="D28" s="31" t="s">
        <v>72</v>
      </c>
      <c r="E28" s="31" t="s">
        <v>72</v>
      </c>
      <c r="F28" s="31" t="s">
        <v>72</v>
      </c>
      <c r="G28" s="31" t="s">
        <v>72</v>
      </c>
      <c r="H28" s="31" t="s">
        <v>72</v>
      </c>
      <c r="I28" s="31" t="s">
        <v>72</v>
      </c>
      <c r="J28" s="31" t="s">
        <v>72</v>
      </c>
      <c r="K28" s="31" t="s">
        <v>72</v>
      </c>
      <c r="L28" s="31" t="s">
        <v>72</v>
      </c>
      <c r="M28" s="31" t="s">
        <v>72</v>
      </c>
      <c r="N28" s="31" t="s">
        <v>72</v>
      </c>
      <c r="O28" s="31" t="s">
        <v>72</v>
      </c>
      <c r="P28" s="31" t="s">
        <v>72</v>
      </c>
      <c r="Q28" s="31" t="s">
        <v>72</v>
      </c>
      <c r="R28" s="31" t="s">
        <v>72</v>
      </c>
      <c r="S28" s="31" t="s">
        <v>72</v>
      </c>
      <c r="T28" s="31" t="s">
        <v>72</v>
      </c>
      <c r="U28" s="31" t="s">
        <v>72</v>
      </c>
      <c r="V28" s="31" t="s">
        <v>72</v>
      </c>
      <c r="W28" s="31" t="s">
        <v>72</v>
      </c>
      <c r="X28" s="31" t="s">
        <v>72</v>
      </c>
    </row>
    <row r="29" spans="1:24" x14ac:dyDescent="0.2">
      <c r="A29" s="28" t="s">
        <v>367</v>
      </c>
      <c r="B29" s="29">
        <v>3868.47</v>
      </c>
      <c r="C29" s="29">
        <v>3868.45</v>
      </c>
      <c r="D29" s="29">
        <v>3868.47</v>
      </c>
      <c r="E29" s="29">
        <v>3868.47</v>
      </c>
      <c r="F29" s="29">
        <v>3868.47</v>
      </c>
      <c r="G29" s="29">
        <v>3868.47</v>
      </c>
      <c r="H29" s="29">
        <v>3868.47</v>
      </c>
      <c r="I29" s="29">
        <v>4194.05</v>
      </c>
      <c r="J29" s="29">
        <v>4194.05</v>
      </c>
      <c r="K29" s="29">
        <v>4194.05</v>
      </c>
      <c r="L29" s="29">
        <v>4194.05</v>
      </c>
      <c r="M29" s="29">
        <v>4194.05</v>
      </c>
      <c r="N29" s="29">
        <v>4194.05</v>
      </c>
      <c r="O29" s="29">
        <v>4194.05</v>
      </c>
      <c r="P29" s="29">
        <v>6447.17</v>
      </c>
      <c r="Q29" s="29">
        <v>6669.72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69554.509999999995</v>
      </c>
    </row>
    <row r="30" spans="1:24" x14ac:dyDescent="0.2">
      <c r="A30" s="28" t="s">
        <v>368</v>
      </c>
      <c r="B30" s="30">
        <v>-3868.47</v>
      </c>
      <c r="C30" s="30">
        <v>-3868.45</v>
      </c>
      <c r="D30" s="30">
        <v>-3868.47</v>
      </c>
      <c r="E30" s="30">
        <v>-3868.47</v>
      </c>
      <c r="F30" s="30">
        <v>-3868.47</v>
      </c>
      <c r="G30" s="30">
        <v>-3868.47</v>
      </c>
      <c r="H30" s="30">
        <v>-3868.47</v>
      </c>
      <c r="I30" s="30">
        <v>-4194.05</v>
      </c>
      <c r="J30" s="30">
        <v>-4194.05</v>
      </c>
      <c r="K30" s="30">
        <v>-4194.05</v>
      </c>
      <c r="L30" s="30">
        <v>-4194.05</v>
      </c>
      <c r="M30" s="30">
        <v>-4194.05</v>
      </c>
      <c r="N30" s="30">
        <v>-4194.05</v>
      </c>
      <c r="O30" s="30">
        <v>-4194.05</v>
      </c>
      <c r="P30" s="30">
        <v>-6447.17</v>
      </c>
      <c r="Q30" s="30">
        <v>-6669.72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-69554.509999999995</v>
      </c>
    </row>
    <row r="31" spans="1:24" x14ac:dyDescent="0.2">
      <c r="A31" s="28" t="s">
        <v>369</v>
      </c>
      <c r="B31" s="31" t="s">
        <v>72</v>
      </c>
      <c r="C31" s="31" t="s">
        <v>72</v>
      </c>
      <c r="D31" s="31" t="s">
        <v>72</v>
      </c>
      <c r="E31" s="31" t="s">
        <v>72</v>
      </c>
      <c r="F31" s="31" t="s">
        <v>72</v>
      </c>
      <c r="G31" s="31" t="s">
        <v>72</v>
      </c>
      <c r="H31" s="31" t="s">
        <v>72</v>
      </c>
      <c r="I31" s="31" t="s">
        <v>72</v>
      </c>
      <c r="J31" s="31" t="s">
        <v>72</v>
      </c>
      <c r="K31" s="31" t="s">
        <v>72</v>
      </c>
      <c r="L31" s="31" t="s">
        <v>72</v>
      </c>
      <c r="M31" s="31" t="s">
        <v>72</v>
      </c>
      <c r="N31" s="31" t="s">
        <v>72</v>
      </c>
      <c r="O31" s="31" t="s">
        <v>72</v>
      </c>
      <c r="P31" s="31" t="s">
        <v>72</v>
      </c>
      <c r="Q31" s="31" t="s">
        <v>72</v>
      </c>
      <c r="R31" s="31" t="s">
        <v>72</v>
      </c>
      <c r="S31" s="31" t="s">
        <v>72</v>
      </c>
      <c r="T31" s="31" t="s">
        <v>72</v>
      </c>
      <c r="U31" s="31" t="s">
        <v>72</v>
      </c>
      <c r="V31" s="31" t="s">
        <v>72</v>
      </c>
      <c r="W31" s="31" t="s">
        <v>72</v>
      </c>
      <c r="X31" s="31" t="s">
        <v>72</v>
      </c>
    </row>
    <row r="32" spans="1:24" x14ac:dyDescent="0.2">
      <c r="A32" s="28" t="s">
        <v>370</v>
      </c>
      <c r="B32" s="29">
        <v>70034</v>
      </c>
      <c r="C32" s="29">
        <v>35374.92</v>
      </c>
      <c r="D32" s="29">
        <v>48840.72</v>
      </c>
      <c r="E32" s="29">
        <v>38139.919999999998</v>
      </c>
      <c r="F32" s="29">
        <v>65455.62</v>
      </c>
      <c r="G32" s="29">
        <v>46793.72</v>
      </c>
      <c r="H32" s="29">
        <v>41573.589999999997</v>
      </c>
      <c r="I32" s="29">
        <v>67888.240000000005</v>
      </c>
      <c r="J32" s="29">
        <v>54443.49</v>
      </c>
      <c r="K32" s="29">
        <v>79595.86</v>
      </c>
      <c r="L32" s="29">
        <v>76768.490000000005</v>
      </c>
      <c r="M32" s="29">
        <v>161603.09</v>
      </c>
      <c r="N32" s="29">
        <v>119091.84</v>
      </c>
      <c r="O32" s="29">
        <v>111547.82</v>
      </c>
      <c r="P32" s="29">
        <v>101720.44</v>
      </c>
      <c r="Q32" s="29">
        <v>115452.73</v>
      </c>
      <c r="R32" s="29">
        <v>2436.5500000000002</v>
      </c>
      <c r="S32" s="29">
        <v>304.14</v>
      </c>
      <c r="T32" s="29">
        <v>3961.39</v>
      </c>
      <c r="U32" s="29">
        <v>4060.13</v>
      </c>
      <c r="V32" s="29">
        <v>8938.43</v>
      </c>
      <c r="W32" s="29">
        <v>0</v>
      </c>
      <c r="X32" s="29">
        <v>1254025.1299999999</v>
      </c>
    </row>
    <row r="33" spans="1:24" x14ac:dyDescent="0.2">
      <c r="A33" s="28" t="s">
        <v>371</v>
      </c>
      <c r="B33" s="29">
        <v>9689.2900000000009</v>
      </c>
      <c r="C33" s="29">
        <v>9689.27</v>
      </c>
      <c r="D33" s="29">
        <v>9689.2900000000009</v>
      </c>
      <c r="E33" s="29">
        <v>9689.2900000000009</v>
      </c>
      <c r="F33" s="29">
        <v>9689.2900000000009</v>
      </c>
      <c r="G33" s="29">
        <v>9689.2900000000009</v>
      </c>
      <c r="H33" s="29">
        <v>9689.2900000000009</v>
      </c>
      <c r="I33" s="29">
        <v>10065.709999999999</v>
      </c>
      <c r="J33" s="29">
        <v>10065.709999999999</v>
      </c>
      <c r="K33" s="29">
        <v>10065.709999999999</v>
      </c>
      <c r="L33" s="29">
        <v>10065.709999999999</v>
      </c>
      <c r="M33" s="29">
        <v>10065.709999999999</v>
      </c>
      <c r="N33" s="29">
        <v>10065.709999999999</v>
      </c>
      <c r="O33" s="29">
        <v>10065.709999999999</v>
      </c>
      <c r="P33" s="29">
        <v>14205.9</v>
      </c>
      <c r="Q33" s="29">
        <v>14205.91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166696.79</v>
      </c>
    </row>
    <row r="34" spans="1:24" x14ac:dyDescent="0.2">
      <c r="A34" s="28" t="s">
        <v>372</v>
      </c>
      <c r="B34" s="30">
        <v>79723.289999999994</v>
      </c>
      <c r="C34" s="30">
        <v>45064.19</v>
      </c>
      <c r="D34" s="30">
        <v>58530.01</v>
      </c>
      <c r="E34" s="30">
        <v>47829.21</v>
      </c>
      <c r="F34" s="30">
        <v>75144.91</v>
      </c>
      <c r="G34" s="30">
        <v>56483.01</v>
      </c>
      <c r="H34" s="30">
        <v>51262.879999999997</v>
      </c>
      <c r="I34" s="30">
        <v>77953.95</v>
      </c>
      <c r="J34" s="30">
        <v>64509.2</v>
      </c>
      <c r="K34" s="30">
        <v>89661.57</v>
      </c>
      <c r="L34" s="30">
        <v>86834.2</v>
      </c>
      <c r="M34" s="30">
        <v>171668.8</v>
      </c>
      <c r="N34" s="30">
        <v>129157.55</v>
      </c>
      <c r="O34" s="30">
        <v>121613.53</v>
      </c>
      <c r="P34" s="30">
        <v>115926.34</v>
      </c>
      <c r="Q34" s="30">
        <v>129658.64</v>
      </c>
      <c r="R34" s="30">
        <v>2436.5500000000002</v>
      </c>
      <c r="S34" s="30">
        <v>304.14</v>
      </c>
      <c r="T34" s="30">
        <v>3961.39</v>
      </c>
      <c r="U34" s="30">
        <v>4060.13</v>
      </c>
      <c r="V34" s="30">
        <v>8938.43</v>
      </c>
      <c r="W34" s="30">
        <v>0</v>
      </c>
      <c r="X34" s="30">
        <v>1420721.92</v>
      </c>
    </row>
    <row r="35" spans="1:24" ht="13.5" thickBot="1" x14ac:dyDescent="0.25">
      <c r="A35" s="27" t="s">
        <v>373</v>
      </c>
      <c r="B35" s="33">
        <v>1701146.72</v>
      </c>
      <c r="C35" s="33">
        <v>731390.62</v>
      </c>
      <c r="D35" s="33">
        <v>513060.26</v>
      </c>
      <c r="E35" s="33">
        <v>555952.24</v>
      </c>
      <c r="F35" s="33">
        <v>1173562.4099999999</v>
      </c>
      <c r="G35" s="33">
        <v>634082.71</v>
      </c>
      <c r="H35" s="33">
        <v>603856.9</v>
      </c>
      <c r="I35" s="33">
        <v>336909.85</v>
      </c>
      <c r="J35" s="33">
        <v>186371.61</v>
      </c>
      <c r="K35" s="33">
        <v>388351.25</v>
      </c>
      <c r="L35" s="33">
        <v>1199083.4099999999</v>
      </c>
      <c r="M35" s="33">
        <v>2246093.7599999998</v>
      </c>
      <c r="N35" s="33">
        <v>916624.55</v>
      </c>
      <c r="O35" s="33">
        <v>767881.58</v>
      </c>
      <c r="P35" s="33">
        <v>1006529.35</v>
      </c>
      <c r="Q35" s="33">
        <v>797759.13</v>
      </c>
      <c r="R35" s="33">
        <v>26987.3</v>
      </c>
      <c r="S35" s="33">
        <v>23582.18</v>
      </c>
      <c r="T35" s="33">
        <v>-140234.23999999999</v>
      </c>
      <c r="U35" s="33">
        <v>88021.52</v>
      </c>
      <c r="V35" s="33">
        <v>125151.63</v>
      </c>
      <c r="W35" s="33">
        <v>-63613.51</v>
      </c>
      <c r="X35" s="33">
        <v>13818551.23</v>
      </c>
    </row>
    <row r="36" spans="1:24" ht="13.5" thickTop="1" x14ac:dyDescent="0.2">
      <c r="A36" s="27" t="s">
        <v>374</v>
      </c>
      <c r="B36" s="34" t="s">
        <v>32</v>
      </c>
      <c r="C36" s="34" t="s">
        <v>32</v>
      </c>
      <c r="D36" s="34" t="s">
        <v>32</v>
      </c>
      <c r="E36" s="34" t="s">
        <v>32</v>
      </c>
      <c r="F36" s="34" t="s">
        <v>32</v>
      </c>
      <c r="G36" s="34" t="s">
        <v>32</v>
      </c>
      <c r="H36" s="34" t="s">
        <v>32</v>
      </c>
      <c r="I36" s="34" t="s">
        <v>32</v>
      </c>
      <c r="J36" s="34" t="s">
        <v>32</v>
      </c>
      <c r="K36" s="34" t="s">
        <v>32</v>
      </c>
      <c r="L36" s="34" t="s">
        <v>32</v>
      </c>
      <c r="M36" s="34" t="s">
        <v>32</v>
      </c>
      <c r="N36" s="34" t="s">
        <v>32</v>
      </c>
      <c r="O36" s="34" t="s">
        <v>32</v>
      </c>
      <c r="P36" s="34" t="s">
        <v>32</v>
      </c>
      <c r="Q36" s="34" t="s">
        <v>32</v>
      </c>
      <c r="R36" s="34" t="s">
        <v>32</v>
      </c>
      <c r="S36" s="34" t="s">
        <v>32</v>
      </c>
      <c r="T36" s="34" t="s">
        <v>32</v>
      </c>
      <c r="U36" s="34" t="s">
        <v>32</v>
      </c>
      <c r="V36" s="34" t="s">
        <v>32</v>
      </c>
      <c r="W36" s="34" t="s">
        <v>32</v>
      </c>
      <c r="X36" s="34" t="s">
        <v>32</v>
      </c>
    </row>
    <row r="37" spans="1:24" x14ac:dyDescent="0.2">
      <c r="A37" s="28" t="s">
        <v>375</v>
      </c>
      <c r="B37" s="28" t="s">
        <v>72</v>
      </c>
      <c r="C37" s="28" t="s">
        <v>72</v>
      </c>
      <c r="D37" s="28" t="s">
        <v>72</v>
      </c>
      <c r="E37" s="28" t="s">
        <v>72</v>
      </c>
      <c r="F37" s="28" t="s">
        <v>72</v>
      </c>
      <c r="G37" s="28" t="s">
        <v>72</v>
      </c>
      <c r="H37" s="28" t="s">
        <v>72</v>
      </c>
      <c r="I37" s="28" t="s">
        <v>72</v>
      </c>
      <c r="J37" s="28" t="s">
        <v>72</v>
      </c>
      <c r="K37" s="28" t="s">
        <v>72</v>
      </c>
      <c r="L37" s="28" t="s">
        <v>72</v>
      </c>
      <c r="M37" s="28" t="s">
        <v>72</v>
      </c>
      <c r="N37" s="28" t="s">
        <v>72</v>
      </c>
      <c r="O37" s="28" t="s">
        <v>72</v>
      </c>
      <c r="P37" s="28" t="s">
        <v>72</v>
      </c>
      <c r="Q37" s="28" t="s">
        <v>72</v>
      </c>
      <c r="R37" s="28" t="s">
        <v>72</v>
      </c>
      <c r="S37" s="28" t="s">
        <v>72</v>
      </c>
      <c r="T37" s="28" t="s">
        <v>72</v>
      </c>
      <c r="U37" s="28" t="s">
        <v>72</v>
      </c>
      <c r="V37" s="28" t="s">
        <v>72</v>
      </c>
      <c r="W37" s="28" t="s">
        <v>72</v>
      </c>
      <c r="X37" s="28" t="s">
        <v>72</v>
      </c>
    </row>
    <row r="38" spans="1:24" x14ac:dyDescent="0.2">
      <c r="A38" s="28" t="s">
        <v>376</v>
      </c>
      <c r="B38" s="28" t="s">
        <v>357</v>
      </c>
      <c r="C38" s="28" t="s">
        <v>357</v>
      </c>
      <c r="D38" s="28" t="s">
        <v>357</v>
      </c>
      <c r="E38" s="28" t="s">
        <v>357</v>
      </c>
      <c r="F38" s="28" t="s">
        <v>357</v>
      </c>
      <c r="G38" s="28" t="s">
        <v>357</v>
      </c>
      <c r="H38" s="28" t="s">
        <v>357</v>
      </c>
      <c r="I38" s="28" t="s">
        <v>357</v>
      </c>
      <c r="J38" s="28" t="s">
        <v>357</v>
      </c>
      <c r="K38" s="28" t="s">
        <v>357</v>
      </c>
      <c r="L38" s="28" t="s">
        <v>357</v>
      </c>
      <c r="M38" s="28" t="s">
        <v>357</v>
      </c>
      <c r="N38" s="28" t="s">
        <v>357</v>
      </c>
      <c r="O38" s="28" t="s">
        <v>357</v>
      </c>
      <c r="P38" s="28" t="s">
        <v>357</v>
      </c>
      <c r="Q38" s="28" t="s">
        <v>357</v>
      </c>
      <c r="R38" s="28" t="s">
        <v>357</v>
      </c>
      <c r="S38" s="28" t="s">
        <v>357</v>
      </c>
      <c r="T38" s="28" t="s">
        <v>357</v>
      </c>
      <c r="U38" s="28" t="s">
        <v>357</v>
      </c>
      <c r="V38" s="28" t="s">
        <v>357</v>
      </c>
      <c r="W38" s="28" t="s">
        <v>357</v>
      </c>
      <c r="X38" s="28" t="s">
        <v>357</v>
      </c>
    </row>
    <row r="39" spans="1:24" x14ac:dyDescent="0.2">
      <c r="A39" s="28" t="s">
        <v>377</v>
      </c>
      <c r="B39" s="29">
        <v>409328.23</v>
      </c>
      <c r="C39" s="29">
        <v>265180.03000000003</v>
      </c>
      <c r="D39" s="29">
        <v>218582.11</v>
      </c>
      <c r="E39" s="29">
        <v>231142.41</v>
      </c>
      <c r="F39" s="29">
        <v>281660.58</v>
      </c>
      <c r="G39" s="29">
        <v>250528.53</v>
      </c>
      <c r="H39" s="29">
        <v>193285.98</v>
      </c>
      <c r="I39" s="29">
        <v>251669.08</v>
      </c>
      <c r="J39" s="29">
        <v>152805.16</v>
      </c>
      <c r="K39" s="29">
        <v>269869.46999999997</v>
      </c>
      <c r="L39" s="29">
        <v>253872.05</v>
      </c>
      <c r="M39" s="29">
        <v>396951.94</v>
      </c>
      <c r="N39" s="29">
        <v>355228.21</v>
      </c>
      <c r="O39" s="29">
        <v>466823.8</v>
      </c>
      <c r="P39" s="29">
        <v>525676.23</v>
      </c>
      <c r="Q39" s="29">
        <v>268437.27</v>
      </c>
      <c r="R39" s="29">
        <v>42862.87</v>
      </c>
      <c r="S39" s="29">
        <v>68424.34</v>
      </c>
      <c r="T39" s="29">
        <v>64121.47</v>
      </c>
      <c r="U39" s="29">
        <v>61459.88</v>
      </c>
      <c r="V39" s="29">
        <v>39898.32</v>
      </c>
      <c r="W39" s="29">
        <v>3602.04</v>
      </c>
      <c r="X39" s="29">
        <v>5071410</v>
      </c>
    </row>
    <row r="40" spans="1:24" x14ac:dyDescent="0.2">
      <c r="A40" s="28" t="s">
        <v>378</v>
      </c>
      <c r="B40" s="29">
        <v>109139.98</v>
      </c>
      <c r="C40" s="29">
        <v>99899.53</v>
      </c>
      <c r="D40" s="29">
        <v>76947.11</v>
      </c>
      <c r="E40" s="29">
        <v>67786.12</v>
      </c>
      <c r="F40" s="29">
        <v>83530.83</v>
      </c>
      <c r="G40" s="29">
        <v>72102.100000000006</v>
      </c>
      <c r="H40" s="29">
        <v>81332.990000000005</v>
      </c>
      <c r="I40" s="29">
        <v>105895.08</v>
      </c>
      <c r="J40" s="29">
        <v>67697.48</v>
      </c>
      <c r="K40" s="29">
        <v>156864.98000000001</v>
      </c>
      <c r="L40" s="29">
        <v>166154.79999999999</v>
      </c>
      <c r="M40" s="29">
        <v>311021.58</v>
      </c>
      <c r="N40" s="29">
        <v>180721.02</v>
      </c>
      <c r="O40" s="29">
        <v>170982.84</v>
      </c>
      <c r="P40" s="29">
        <v>214268.83</v>
      </c>
      <c r="Q40" s="29">
        <v>154220.10999999999</v>
      </c>
      <c r="R40" s="29">
        <v>42861.34</v>
      </c>
      <c r="S40" s="29">
        <v>40419.839999999997</v>
      </c>
      <c r="T40" s="29">
        <v>23605.77</v>
      </c>
      <c r="U40" s="29">
        <v>34917.89</v>
      </c>
      <c r="V40" s="29">
        <v>20150.990000000002</v>
      </c>
      <c r="W40" s="29">
        <v>1995.57</v>
      </c>
      <c r="X40" s="29">
        <v>2282516.7799999998</v>
      </c>
    </row>
    <row r="41" spans="1:24" x14ac:dyDescent="0.2">
      <c r="A41" s="28" t="s">
        <v>379</v>
      </c>
      <c r="B41" s="29">
        <v>913488.34</v>
      </c>
      <c r="C41" s="29">
        <v>430902.68</v>
      </c>
      <c r="D41" s="29">
        <v>349739.48</v>
      </c>
      <c r="E41" s="29">
        <v>383859.38</v>
      </c>
      <c r="F41" s="29">
        <v>573059.63</v>
      </c>
      <c r="G41" s="29">
        <v>494522.92</v>
      </c>
      <c r="H41" s="29">
        <v>371268.38</v>
      </c>
      <c r="I41" s="29">
        <v>249567.37</v>
      </c>
      <c r="J41" s="29">
        <v>310087.15999999997</v>
      </c>
      <c r="K41" s="29">
        <v>407408.99</v>
      </c>
      <c r="L41" s="29">
        <v>585028.12</v>
      </c>
      <c r="M41" s="29">
        <v>791687.95</v>
      </c>
      <c r="N41" s="29">
        <v>557240</v>
      </c>
      <c r="O41" s="29">
        <v>521344.51</v>
      </c>
      <c r="P41" s="29">
        <v>566270.18000000005</v>
      </c>
      <c r="Q41" s="29">
        <v>612955.21</v>
      </c>
      <c r="R41" s="29">
        <v>0</v>
      </c>
      <c r="S41" s="29">
        <v>0</v>
      </c>
      <c r="T41" s="29">
        <v>0</v>
      </c>
      <c r="U41" s="29">
        <v>16194.52</v>
      </c>
      <c r="V41" s="29">
        <v>23366.2</v>
      </c>
      <c r="W41" s="29">
        <v>0</v>
      </c>
      <c r="X41" s="29">
        <v>8157991.0199999996</v>
      </c>
    </row>
    <row r="42" spans="1:24" x14ac:dyDescent="0.2">
      <c r="A42" s="28" t="s">
        <v>380</v>
      </c>
      <c r="B42" s="29">
        <v>0</v>
      </c>
      <c r="C42" s="29">
        <v>0</v>
      </c>
      <c r="D42" s="29">
        <v>354.85</v>
      </c>
      <c r="E42" s="29">
        <v>0</v>
      </c>
      <c r="F42" s="29">
        <v>0</v>
      </c>
      <c r="G42" s="29">
        <v>1178.32</v>
      </c>
      <c r="H42" s="29">
        <v>0</v>
      </c>
      <c r="I42" s="29">
        <v>736.94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713.08</v>
      </c>
      <c r="P42" s="29">
        <v>501.94</v>
      </c>
      <c r="Q42" s="29">
        <v>3479.36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6964.49</v>
      </c>
    </row>
    <row r="43" spans="1:24" x14ac:dyDescent="0.2">
      <c r="A43" s="28" t="s">
        <v>381</v>
      </c>
      <c r="B43" s="32">
        <v>1431956.55</v>
      </c>
      <c r="C43" s="32">
        <v>795982.24</v>
      </c>
      <c r="D43" s="32">
        <v>645623.55000000005</v>
      </c>
      <c r="E43" s="32">
        <v>682787.91</v>
      </c>
      <c r="F43" s="32">
        <v>938251.04</v>
      </c>
      <c r="G43" s="32">
        <v>818331.87</v>
      </c>
      <c r="H43" s="32">
        <v>645887.35</v>
      </c>
      <c r="I43" s="32">
        <v>607868.47</v>
      </c>
      <c r="J43" s="32">
        <v>530589.80000000005</v>
      </c>
      <c r="K43" s="32">
        <v>834143.44</v>
      </c>
      <c r="L43" s="32">
        <v>1005054.97</v>
      </c>
      <c r="M43" s="32">
        <v>1499661.47</v>
      </c>
      <c r="N43" s="32">
        <v>1093189.23</v>
      </c>
      <c r="O43" s="32">
        <v>1159864.23</v>
      </c>
      <c r="P43" s="32">
        <v>1306717.18</v>
      </c>
      <c r="Q43" s="32">
        <v>1039091.95</v>
      </c>
      <c r="R43" s="32">
        <v>85724.21</v>
      </c>
      <c r="S43" s="32">
        <v>108844.18</v>
      </c>
      <c r="T43" s="32">
        <v>87727.24</v>
      </c>
      <c r="U43" s="32">
        <v>112572.29</v>
      </c>
      <c r="V43" s="32">
        <v>83415.509999999995</v>
      </c>
      <c r="W43" s="32">
        <v>5597.61</v>
      </c>
      <c r="X43" s="32">
        <v>15518882.289999999</v>
      </c>
    </row>
    <row r="44" spans="1:24" x14ac:dyDescent="0.2">
      <c r="A44" s="28" t="s">
        <v>382</v>
      </c>
      <c r="B44" s="30">
        <v>1431956.55</v>
      </c>
      <c r="C44" s="30">
        <v>795982.24</v>
      </c>
      <c r="D44" s="30">
        <v>645623.55000000005</v>
      </c>
      <c r="E44" s="30">
        <v>682787.91</v>
      </c>
      <c r="F44" s="30">
        <v>938251.04</v>
      </c>
      <c r="G44" s="30">
        <v>818331.87</v>
      </c>
      <c r="H44" s="30">
        <v>645887.35</v>
      </c>
      <c r="I44" s="30">
        <v>607868.47</v>
      </c>
      <c r="J44" s="30">
        <v>530589.80000000005</v>
      </c>
      <c r="K44" s="30">
        <v>834143.44</v>
      </c>
      <c r="L44" s="30">
        <v>1005054.97</v>
      </c>
      <c r="M44" s="30">
        <v>1499661.47</v>
      </c>
      <c r="N44" s="30">
        <v>1093189.23</v>
      </c>
      <c r="O44" s="30">
        <v>1159864.23</v>
      </c>
      <c r="P44" s="30">
        <v>1306717.18</v>
      </c>
      <c r="Q44" s="30">
        <v>1039091.95</v>
      </c>
      <c r="R44" s="30">
        <v>85724.21</v>
      </c>
      <c r="S44" s="30">
        <v>108844.18</v>
      </c>
      <c r="T44" s="30">
        <v>87727.24</v>
      </c>
      <c r="U44" s="30">
        <v>112572.29</v>
      </c>
      <c r="V44" s="30">
        <v>83415.509999999995</v>
      </c>
      <c r="W44" s="30">
        <v>5597.61</v>
      </c>
      <c r="X44" s="30">
        <v>15518882.289999999</v>
      </c>
    </row>
    <row r="45" spans="1:24" x14ac:dyDescent="0.2">
      <c r="A45" s="28" t="s">
        <v>383</v>
      </c>
      <c r="B45" s="31" t="s">
        <v>72</v>
      </c>
      <c r="C45" s="31" t="s">
        <v>72</v>
      </c>
      <c r="D45" s="31" t="s">
        <v>72</v>
      </c>
      <c r="E45" s="31" t="s">
        <v>72</v>
      </c>
      <c r="F45" s="31" t="s">
        <v>72</v>
      </c>
      <c r="G45" s="31" t="s">
        <v>72</v>
      </c>
      <c r="H45" s="31" t="s">
        <v>72</v>
      </c>
      <c r="I45" s="31" t="s">
        <v>72</v>
      </c>
      <c r="J45" s="31" t="s">
        <v>72</v>
      </c>
      <c r="K45" s="31" t="s">
        <v>72</v>
      </c>
      <c r="L45" s="31" t="s">
        <v>72</v>
      </c>
      <c r="M45" s="31" t="s">
        <v>72</v>
      </c>
      <c r="N45" s="31" t="s">
        <v>72</v>
      </c>
      <c r="O45" s="31" t="s">
        <v>72</v>
      </c>
      <c r="P45" s="31" t="s">
        <v>72</v>
      </c>
      <c r="Q45" s="31" t="s">
        <v>72</v>
      </c>
      <c r="R45" s="31" t="s">
        <v>72</v>
      </c>
      <c r="S45" s="31" t="s">
        <v>72</v>
      </c>
      <c r="T45" s="31" t="s">
        <v>72</v>
      </c>
      <c r="U45" s="31" t="s">
        <v>72</v>
      </c>
      <c r="V45" s="31" t="s">
        <v>72</v>
      </c>
      <c r="W45" s="31" t="s">
        <v>72</v>
      </c>
      <c r="X45" s="31" t="s">
        <v>72</v>
      </c>
    </row>
    <row r="46" spans="1:24" x14ac:dyDescent="0.2">
      <c r="A46" s="28" t="s">
        <v>384</v>
      </c>
      <c r="B46" s="28" t="s">
        <v>357</v>
      </c>
      <c r="C46" s="28" t="s">
        <v>357</v>
      </c>
      <c r="D46" s="28" t="s">
        <v>357</v>
      </c>
      <c r="E46" s="28" t="s">
        <v>357</v>
      </c>
      <c r="F46" s="28" t="s">
        <v>357</v>
      </c>
      <c r="G46" s="28" t="s">
        <v>357</v>
      </c>
      <c r="H46" s="28" t="s">
        <v>357</v>
      </c>
      <c r="I46" s="28" t="s">
        <v>357</v>
      </c>
      <c r="J46" s="28" t="s">
        <v>357</v>
      </c>
      <c r="K46" s="28" t="s">
        <v>357</v>
      </c>
      <c r="L46" s="28" t="s">
        <v>357</v>
      </c>
      <c r="M46" s="28" t="s">
        <v>357</v>
      </c>
      <c r="N46" s="28" t="s">
        <v>357</v>
      </c>
      <c r="O46" s="28" t="s">
        <v>357</v>
      </c>
      <c r="P46" s="28" t="s">
        <v>357</v>
      </c>
      <c r="Q46" s="28" t="s">
        <v>357</v>
      </c>
      <c r="R46" s="28" t="s">
        <v>357</v>
      </c>
      <c r="S46" s="28" t="s">
        <v>357</v>
      </c>
      <c r="T46" s="28" t="s">
        <v>357</v>
      </c>
      <c r="U46" s="28" t="s">
        <v>357</v>
      </c>
      <c r="V46" s="28" t="s">
        <v>357</v>
      </c>
      <c r="W46" s="28" t="s">
        <v>357</v>
      </c>
      <c r="X46" s="28" t="s">
        <v>357</v>
      </c>
    </row>
    <row r="47" spans="1:24" x14ac:dyDescent="0.2">
      <c r="A47" s="28" t="s">
        <v>385</v>
      </c>
      <c r="B47" s="29">
        <v>-4571.42</v>
      </c>
      <c r="C47" s="29">
        <v>-4571.42</v>
      </c>
      <c r="D47" s="29">
        <v>-4571.42</v>
      </c>
      <c r="E47" s="29">
        <v>-4571.4399999999996</v>
      </c>
      <c r="F47" s="29">
        <v>-4571.4399999999996</v>
      </c>
      <c r="G47" s="29">
        <v>-4571.4399999999996</v>
      </c>
      <c r="H47" s="29">
        <v>-4571.42</v>
      </c>
      <c r="I47" s="29">
        <v>-13859.45</v>
      </c>
      <c r="J47" s="29">
        <v>-13859.45</v>
      </c>
      <c r="K47" s="29">
        <v>-13859.45</v>
      </c>
      <c r="L47" s="29">
        <v>-13859.45</v>
      </c>
      <c r="M47" s="29">
        <v>-13859.45</v>
      </c>
      <c r="N47" s="29">
        <v>-13859.45</v>
      </c>
      <c r="O47" s="29">
        <v>-13859.45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-129016.15</v>
      </c>
    </row>
    <row r="48" spans="1:24" x14ac:dyDescent="0.2">
      <c r="A48" s="28" t="s">
        <v>386</v>
      </c>
      <c r="B48" s="32">
        <v>-4571.42</v>
      </c>
      <c r="C48" s="32">
        <v>-4571.42</v>
      </c>
      <c r="D48" s="32">
        <v>-4571.42</v>
      </c>
      <c r="E48" s="32">
        <v>-4571.4399999999996</v>
      </c>
      <c r="F48" s="32">
        <v>-4571.4399999999996</v>
      </c>
      <c r="G48" s="32">
        <v>-4571.4399999999996</v>
      </c>
      <c r="H48" s="32">
        <v>-4571.42</v>
      </c>
      <c r="I48" s="32">
        <v>-13859.45</v>
      </c>
      <c r="J48" s="32">
        <v>-13859.45</v>
      </c>
      <c r="K48" s="32">
        <v>-13859.45</v>
      </c>
      <c r="L48" s="32">
        <v>-13859.45</v>
      </c>
      <c r="M48" s="32">
        <v>-13859.45</v>
      </c>
      <c r="N48" s="32">
        <v>-13859.45</v>
      </c>
      <c r="O48" s="32">
        <v>-13859.45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-129016.15</v>
      </c>
    </row>
    <row r="49" spans="1:24" x14ac:dyDescent="0.2">
      <c r="A49" s="28" t="s">
        <v>387</v>
      </c>
      <c r="B49" s="29">
        <v>75068.97</v>
      </c>
      <c r="C49" s="29">
        <v>-47849.13</v>
      </c>
      <c r="D49" s="29">
        <v>-66477.649999999994</v>
      </c>
      <c r="E49" s="29">
        <v>-87248.68</v>
      </c>
      <c r="F49" s="29">
        <v>120426.18</v>
      </c>
      <c r="G49" s="29">
        <v>-64262.35</v>
      </c>
      <c r="H49" s="29">
        <v>22367.72</v>
      </c>
      <c r="I49" s="29">
        <v>-64488.29</v>
      </c>
      <c r="J49" s="29">
        <v>-68205.56</v>
      </c>
      <c r="K49" s="29">
        <v>-90600.48</v>
      </c>
      <c r="L49" s="29">
        <v>35521.74</v>
      </c>
      <c r="M49" s="29">
        <v>297611.53000000003</v>
      </c>
      <c r="N49" s="29">
        <v>-8348.7800000000007</v>
      </c>
      <c r="O49" s="29">
        <v>7557.64</v>
      </c>
      <c r="P49" s="29">
        <v>-258248.59</v>
      </c>
      <c r="Q49" s="29">
        <v>-92660.18</v>
      </c>
      <c r="R49" s="29">
        <v>-39631.120000000003</v>
      </c>
      <c r="S49" s="29">
        <v>-63729.99</v>
      </c>
      <c r="T49" s="29">
        <v>-82555.38</v>
      </c>
      <c r="U49" s="29">
        <v>-34532.32</v>
      </c>
      <c r="V49" s="29">
        <v>-19262.75</v>
      </c>
      <c r="W49" s="29">
        <v>-29323.17</v>
      </c>
      <c r="X49" s="29">
        <v>-558870.64</v>
      </c>
    </row>
    <row r="50" spans="1:24" x14ac:dyDescent="0.2">
      <c r="A50" s="28" t="s">
        <v>388</v>
      </c>
      <c r="B50" s="29">
        <v>198692.62</v>
      </c>
      <c r="C50" s="29">
        <v>-12171.07</v>
      </c>
      <c r="D50" s="29">
        <v>-61514.22</v>
      </c>
      <c r="E50" s="29">
        <v>-35015.550000000003</v>
      </c>
      <c r="F50" s="29">
        <v>119456.63</v>
      </c>
      <c r="G50" s="29">
        <v>-115415.37</v>
      </c>
      <c r="H50" s="29">
        <v>-59826.75</v>
      </c>
      <c r="I50" s="29">
        <v>-192610.88</v>
      </c>
      <c r="J50" s="29">
        <v>-262153.18</v>
      </c>
      <c r="K50" s="29">
        <v>-341332.26</v>
      </c>
      <c r="L50" s="29">
        <v>172366.15</v>
      </c>
      <c r="M50" s="29">
        <v>462680.21</v>
      </c>
      <c r="N50" s="29">
        <v>-154356.45000000001</v>
      </c>
      <c r="O50" s="29">
        <v>-385680.84</v>
      </c>
      <c r="P50" s="29">
        <v>-41939.24</v>
      </c>
      <c r="Q50" s="29">
        <v>-148672.64000000001</v>
      </c>
      <c r="R50" s="29">
        <v>-19105.79</v>
      </c>
      <c r="S50" s="29">
        <v>-21532.01</v>
      </c>
      <c r="T50" s="29">
        <v>-145406.1</v>
      </c>
      <c r="U50" s="29">
        <v>9981.5499999999993</v>
      </c>
      <c r="V50" s="29">
        <v>60998.87</v>
      </c>
      <c r="W50" s="29">
        <v>-39887.949999999997</v>
      </c>
      <c r="X50" s="29">
        <v>-1012444.27</v>
      </c>
    </row>
    <row r="51" spans="1:24" x14ac:dyDescent="0.2">
      <c r="A51" s="28" t="s">
        <v>389</v>
      </c>
      <c r="B51" s="30">
        <v>269190.17</v>
      </c>
      <c r="C51" s="30">
        <v>-64591.62</v>
      </c>
      <c r="D51" s="30">
        <v>-132563.29</v>
      </c>
      <c r="E51" s="30">
        <v>-126835.67</v>
      </c>
      <c r="F51" s="30">
        <v>235311.37</v>
      </c>
      <c r="G51" s="30">
        <v>-184249.16</v>
      </c>
      <c r="H51" s="30">
        <v>-42030.45</v>
      </c>
      <c r="I51" s="30">
        <v>-270958.62</v>
      </c>
      <c r="J51" s="30">
        <v>-344218.19</v>
      </c>
      <c r="K51" s="30">
        <v>-445792.19</v>
      </c>
      <c r="L51" s="30">
        <v>194028.44</v>
      </c>
      <c r="M51" s="30">
        <v>746432.29</v>
      </c>
      <c r="N51" s="30">
        <v>-176564.68</v>
      </c>
      <c r="O51" s="30">
        <v>-391982.65</v>
      </c>
      <c r="P51" s="30">
        <v>-300187.83</v>
      </c>
      <c r="Q51" s="30">
        <v>-241332.82</v>
      </c>
      <c r="R51" s="30">
        <v>-58736.91</v>
      </c>
      <c r="S51" s="30">
        <v>-85262</v>
      </c>
      <c r="T51" s="30">
        <v>-227961.48</v>
      </c>
      <c r="U51" s="30">
        <v>-24550.77</v>
      </c>
      <c r="V51" s="30">
        <v>41736.120000000003</v>
      </c>
      <c r="W51" s="30">
        <v>-69211.12</v>
      </c>
      <c r="X51" s="30">
        <v>-1700331.06</v>
      </c>
    </row>
    <row r="52" spans="1:24" ht="13.5" thickBot="1" x14ac:dyDescent="0.25">
      <c r="A52" s="27" t="s">
        <v>390</v>
      </c>
      <c r="B52" s="33">
        <v>1701146.72</v>
      </c>
      <c r="C52" s="33">
        <v>731390.62</v>
      </c>
      <c r="D52" s="33">
        <v>513060.26</v>
      </c>
      <c r="E52" s="33">
        <v>555952.24</v>
      </c>
      <c r="F52" s="33">
        <v>1173562.4099999999</v>
      </c>
      <c r="G52" s="33">
        <v>634082.71</v>
      </c>
      <c r="H52" s="33">
        <v>603856.9</v>
      </c>
      <c r="I52" s="33">
        <v>336909.85</v>
      </c>
      <c r="J52" s="33">
        <v>186371.61</v>
      </c>
      <c r="K52" s="33">
        <v>388351.25</v>
      </c>
      <c r="L52" s="33">
        <v>1199083.4099999999</v>
      </c>
      <c r="M52" s="33">
        <v>2246093.7599999998</v>
      </c>
      <c r="N52" s="33">
        <v>916624.55</v>
      </c>
      <c r="O52" s="33">
        <v>767881.58</v>
      </c>
      <c r="P52" s="33">
        <v>1006529.35</v>
      </c>
      <c r="Q52" s="33">
        <v>797759.13</v>
      </c>
      <c r="R52" s="33">
        <v>26987.3</v>
      </c>
      <c r="S52" s="33">
        <v>23582.18</v>
      </c>
      <c r="T52" s="33">
        <v>-140234.23999999999</v>
      </c>
      <c r="U52" s="33">
        <v>88021.52</v>
      </c>
      <c r="V52" s="33">
        <v>125151.63</v>
      </c>
      <c r="W52" s="33">
        <v>-63613.51</v>
      </c>
      <c r="X52" s="33">
        <v>13818551.23</v>
      </c>
    </row>
    <row r="53" spans="1:24" ht="13.5" thickTop="1" x14ac:dyDescent="0.2">
      <c r="A53" s="36" t="s">
        <v>6</v>
      </c>
    </row>
    <row r="54" spans="1:24" x14ac:dyDescent="0.2">
      <c r="A54" s="36" t="s">
        <v>6</v>
      </c>
    </row>
    <row r="55" spans="1:24" x14ac:dyDescent="0.2">
      <c r="A55" s="28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tabSelected="1" topLeftCell="A44" workbookViewId="0">
      <selection activeCell="D65" sqref="D65"/>
    </sheetView>
  </sheetViews>
  <sheetFormatPr defaultColWidth="9.140625" defaultRowHeight="12.75" x14ac:dyDescent="0.2"/>
  <cols>
    <col min="1" max="1" width="45.85546875" style="22" customWidth="1"/>
    <col min="2" max="2" width="14.28515625" style="22" customWidth="1"/>
    <col min="3" max="3" width="18.85546875" style="22" customWidth="1"/>
    <col min="4" max="4" width="12.7109375" style="22" customWidth="1"/>
    <col min="5" max="5" width="26.28515625" style="22" customWidth="1"/>
    <col min="6" max="6" width="19.42578125" style="22" customWidth="1"/>
    <col min="7" max="7" width="18.7109375" style="22" customWidth="1"/>
    <col min="8" max="8" width="14.85546875" style="22" customWidth="1"/>
    <col min="9" max="9" width="15.5703125" style="22" customWidth="1"/>
    <col min="10" max="10" width="12.85546875" style="22" customWidth="1"/>
    <col min="11" max="11" width="20.7109375" style="22" customWidth="1"/>
    <col min="12" max="12" width="14.140625" style="22" customWidth="1"/>
    <col min="13" max="13" width="15.7109375" style="22" customWidth="1"/>
    <col min="14" max="14" width="20.7109375" style="22" customWidth="1"/>
    <col min="15" max="15" width="13.5703125" style="22" customWidth="1"/>
    <col min="16" max="16" width="15.5703125" style="22" customWidth="1"/>
    <col min="17" max="17" width="22.28515625" style="22" customWidth="1"/>
    <col min="18" max="18" width="17.42578125" style="22" customWidth="1"/>
    <col min="19" max="19" width="16.42578125" style="22" customWidth="1"/>
    <col min="20" max="20" width="13.5703125" style="22" customWidth="1"/>
    <col min="21" max="21" width="13.140625" style="22" customWidth="1"/>
    <col min="22" max="22" width="13.85546875" style="22" customWidth="1"/>
    <col min="23" max="23" width="14" style="22" customWidth="1"/>
    <col min="24" max="24" width="14.5703125" style="22" customWidth="1"/>
    <col min="25" max="25" width="9.140625" style="22" customWidth="1"/>
    <col min="26" max="16384" width="9.140625" style="22"/>
  </cols>
  <sheetData>
    <row r="1" spans="1:24" ht="18" x14ac:dyDescent="0.25">
      <c r="A1" s="35" t="s">
        <v>0</v>
      </c>
    </row>
    <row r="2" spans="1:24" ht="18" x14ac:dyDescent="0.25">
      <c r="A2" s="35" t="s">
        <v>1</v>
      </c>
    </row>
    <row r="3" spans="1:24" ht="18" x14ac:dyDescent="0.25">
      <c r="A3" s="35" t="s">
        <v>2</v>
      </c>
    </row>
    <row r="4" spans="1:24" x14ac:dyDescent="0.2">
      <c r="A4" s="20" t="s">
        <v>3</v>
      </c>
      <c r="B4" s="20" t="s">
        <v>4</v>
      </c>
    </row>
    <row r="5" spans="1:24" x14ac:dyDescent="0.2">
      <c r="A5" s="20" t="s">
        <v>5</v>
      </c>
      <c r="B5" s="20" t="s">
        <v>0</v>
      </c>
    </row>
    <row r="6" spans="1:24" x14ac:dyDescent="0.2">
      <c r="A6" s="36" t="s">
        <v>6</v>
      </c>
    </row>
    <row r="7" spans="1:24" x14ac:dyDescent="0.2">
      <c r="A7" s="20" t="s">
        <v>6</v>
      </c>
      <c r="B7" s="20" t="s">
        <v>6</v>
      </c>
      <c r="C7" s="37" t="s">
        <v>7</v>
      </c>
      <c r="D7" s="37" t="s">
        <v>8</v>
      </c>
      <c r="E7" s="37" t="s">
        <v>9</v>
      </c>
      <c r="F7" s="37" t="s">
        <v>10</v>
      </c>
      <c r="G7" s="37" t="s">
        <v>11</v>
      </c>
      <c r="H7" s="37" t="s">
        <v>12</v>
      </c>
      <c r="I7" s="37" t="s">
        <v>13</v>
      </c>
      <c r="J7" s="37" t="s">
        <v>14</v>
      </c>
      <c r="K7" s="37" t="s">
        <v>15</v>
      </c>
      <c r="L7" s="37" t="s">
        <v>16</v>
      </c>
      <c r="M7" s="37" t="s">
        <v>17</v>
      </c>
      <c r="N7" s="37" t="s">
        <v>18</v>
      </c>
      <c r="O7" s="37" t="s">
        <v>19</v>
      </c>
      <c r="P7" s="37" t="s">
        <v>20</v>
      </c>
      <c r="Q7" s="37" t="s">
        <v>21</v>
      </c>
      <c r="R7" s="37" t="s">
        <v>22</v>
      </c>
      <c r="S7" s="37" t="s">
        <v>23</v>
      </c>
      <c r="T7" s="37" t="s">
        <v>24</v>
      </c>
      <c r="U7" s="37" t="s">
        <v>25</v>
      </c>
      <c r="V7" s="37" t="s">
        <v>26</v>
      </c>
      <c r="W7" s="37" t="s">
        <v>27</v>
      </c>
      <c r="X7" s="37" t="s">
        <v>28</v>
      </c>
    </row>
    <row r="8" spans="1:24" x14ac:dyDescent="0.2">
      <c r="A8" s="20" t="s">
        <v>6</v>
      </c>
      <c r="B8" s="37" t="s">
        <v>29</v>
      </c>
      <c r="C8" s="37" t="s">
        <v>29</v>
      </c>
      <c r="D8" s="37" t="s">
        <v>29</v>
      </c>
      <c r="E8" s="37" t="s">
        <v>29</v>
      </c>
      <c r="F8" s="37" t="s">
        <v>29</v>
      </c>
      <c r="G8" s="37" t="s">
        <v>29</v>
      </c>
      <c r="H8" s="37" t="s">
        <v>29</v>
      </c>
      <c r="I8" s="37" t="s">
        <v>29</v>
      </c>
      <c r="J8" s="37" t="s">
        <v>29</v>
      </c>
      <c r="K8" s="37" t="s">
        <v>29</v>
      </c>
      <c r="L8" s="37" t="s">
        <v>29</v>
      </c>
      <c r="M8" s="37" t="s">
        <v>29</v>
      </c>
      <c r="N8" s="37" t="s">
        <v>29</v>
      </c>
      <c r="O8" s="37" t="s">
        <v>29</v>
      </c>
      <c r="P8" s="37" t="s">
        <v>29</v>
      </c>
      <c r="Q8" s="37" t="s">
        <v>29</v>
      </c>
      <c r="R8" s="37" t="s">
        <v>29</v>
      </c>
      <c r="S8" s="37" t="s">
        <v>29</v>
      </c>
      <c r="T8" s="37" t="s">
        <v>29</v>
      </c>
      <c r="U8" s="37" t="s">
        <v>29</v>
      </c>
      <c r="V8" s="37" t="s">
        <v>29</v>
      </c>
      <c r="W8" s="37" t="s">
        <v>29</v>
      </c>
      <c r="X8" s="37" t="s">
        <v>29</v>
      </c>
    </row>
    <row r="9" spans="1:24" x14ac:dyDescent="0.2">
      <c r="A9" s="20" t="s">
        <v>6</v>
      </c>
      <c r="B9" s="38" t="s">
        <v>4</v>
      </c>
      <c r="C9" s="38" t="s">
        <v>4</v>
      </c>
      <c r="D9" s="38" t="s">
        <v>4</v>
      </c>
      <c r="E9" s="38" t="s">
        <v>4</v>
      </c>
      <c r="F9" s="38" t="s">
        <v>4</v>
      </c>
      <c r="G9" s="38" t="s">
        <v>4</v>
      </c>
      <c r="H9" s="38" t="s">
        <v>4</v>
      </c>
      <c r="I9" s="38" t="s">
        <v>4</v>
      </c>
      <c r="J9" s="38" t="s">
        <v>4</v>
      </c>
      <c r="K9" s="38" t="s">
        <v>4</v>
      </c>
      <c r="L9" s="38" t="s">
        <v>4</v>
      </c>
      <c r="M9" s="38" t="s">
        <v>4</v>
      </c>
      <c r="N9" s="38" t="s">
        <v>4</v>
      </c>
      <c r="O9" s="38" t="s">
        <v>4</v>
      </c>
      <c r="P9" s="38" t="s">
        <v>4</v>
      </c>
      <c r="Q9" s="38" t="s">
        <v>4</v>
      </c>
      <c r="R9" s="38" t="s">
        <v>4</v>
      </c>
      <c r="S9" s="38" t="s">
        <v>4</v>
      </c>
      <c r="T9" s="38" t="s">
        <v>4</v>
      </c>
      <c r="U9" s="38" t="s">
        <v>4</v>
      </c>
      <c r="V9" s="38" t="s">
        <v>4</v>
      </c>
      <c r="W9" s="38" t="s">
        <v>4</v>
      </c>
      <c r="X9" s="38" t="s">
        <v>4</v>
      </c>
    </row>
    <row r="10" spans="1:24" x14ac:dyDescent="0.2">
      <c r="A10" s="28" t="s">
        <v>6</v>
      </c>
      <c r="B10" s="39" t="s">
        <v>30</v>
      </c>
      <c r="C10" s="39" t="s">
        <v>30</v>
      </c>
      <c r="D10" s="39" t="s">
        <v>30</v>
      </c>
      <c r="E10" s="39" t="s">
        <v>30</v>
      </c>
      <c r="F10" s="39" t="s">
        <v>30</v>
      </c>
      <c r="G10" s="39" t="s">
        <v>30</v>
      </c>
      <c r="H10" s="39" t="s">
        <v>30</v>
      </c>
      <c r="I10" s="39" t="s">
        <v>30</v>
      </c>
      <c r="J10" s="39" t="s">
        <v>30</v>
      </c>
      <c r="K10" s="39" t="s">
        <v>30</v>
      </c>
      <c r="L10" s="39" t="s">
        <v>30</v>
      </c>
      <c r="M10" s="39" t="s">
        <v>30</v>
      </c>
      <c r="N10" s="39" t="s">
        <v>30</v>
      </c>
      <c r="O10" s="39" t="s">
        <v>30</v>
      </c>
      <c r="P10" s="39" t="s">
        <v>30</v>
      </c>
      <c r="Q10" s="39" t="s">
        <v>30</v>
      </c>
      <c r="R10" s="39" t="s">
        <v>30</v>
      </c>
      <c r="S10" s="39" t="s">
        <v>30</v>
      </c>
      <c r="T10" s="39" t="s">
        <v>30</v>
      </c>
      <c r="U10" s="39" t="s">
        <v>30</v>
      </c>
      <c r="V10" s="39" t="s">
        <v>30</v>
      </c>
      <c r="W10" s="39" t="s">
        <v>30</v>
      </c>
      <c r="X10" s="39" t="s">
        <v>30</v>
      </c>
    </row>
    <row r="11" spans="1:24" x14ac:dyDescent="0.2">
      <c r="A11" s="20" t="s">
        <v>31</v>
      </c>
      <c r="B11" s="20" t="s">
        <v>32</v>
      </c>
      <c r="C11" s="20" t="s">
        <v>32</v>
      </c>
      <c r="D11" s="20" t="s">
        <v>32</v>
      </c>
      <c r="E11" s="20" t="s">
        <v>32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32</v>
      </c>
      <c r="O11" s="20" t="s">
        <v>32</v>
      </c>
      <c r="P11" s="20" t="s">
        <v>32</v>
      </c>
      <c r="Q11" s="20" t="s">
        <v>32</v>
      </c>
      <c r="R11" s="20" t="s">
        <v>32</v>
      </c>
      <c r="S11" s="20" t="s">
        <v>32</v>
      </c>
      <c r="T11" s="20" t="s">
        <v>32</v>
      </c>
      <c r="U11" s="20" t="s">
        <v>32</v>
      </c>
      <c r="V11" s="20" t="s">
        <v>32</v>
      </c>
      <c r="W11" s="20" t="s">
        <v>32</v>
      </c>
      <c r="X11" s="20" t="s">
        <v>32</v>
      </c>
    </row>
    <row r="12" spans="1:24" x14ac:dyDescent="0.2">
      <c r="A12" s="20" t="s">
        <v>33</v>
      </c>
      <c r="B12" s="21">
        <v>6976376</v>
      </c>
      <c r="C12" s="21">
        <v>490566</v>
      </c>
      <c r="D12" s="21">
        <v>301414</v>
      </c>
      <c r="E12" s="21">
        <v>312394</v>
      </c>
      <c r="F12" s="21">
        <v>401013</v>
      </c>
      <c r="G12" s="21">
        <v>352718</v>
      </c>
      <c r="H12" s="21">
        <v>281558</v>
      </c>
      <c r="I12" s="21">
        <v>272578</v>
      </c>
      <c r="J12" s="21">
        <v>316692</v>
      </c>
      <c r="K12" s="21">
        <v>175452</v>
      </c>
      <c r="L12" s="21">
        <v>400800</v>
      </c>
      <c r="M12" s="21">
        <v>465764</v>
      </c>
      <c r="N12" s="21">
        <v>947451</v>
      </c>
      <c r="O12" s="21">
        <v>454669</v>
      </c>
      <c r="P12" s="21">
        <v>493020</v>
      </c>
      <c r="Q12" s="21">
        <v>420300</v>
      </c>
      <c r="R12" s="21">
        <v>398999</v>
      </c>
      <c r="S12" s="21">
        <v>93822</v>
      </c>
      <c r="T12" s="21">
        <v>113900</v>
      </c>
      <c r="U12" s="21">
        <v>58925</v>
      </c>
      <c r="V12" s="21">
        <v>131934</v>
      </c>
      <c r="W12" s="21">
        <v>92410</v>
      </c>
      <c r="X12" s="21">
        <v>0</v>
      </c>
    </row>
    <row r="13" spans="1:24" x14ac:dyDescent="0.2">
      <c r="A13" s="20" t="s">
        <v>34</v>
      </c>
      <c r="B13" s="21">
        <v>412053</v>
      </c>
      <c r="C13" s="21">
        <v>29683</v>
      </c>
      <c r="D13" s="21">
        <v>16934</v>
      </c>
      <c r="E13" s="21">
        <v>25402</v>
      </c>
      <c r="F13" s="21">
        <v>19181</v>
      </c>
      <c r="G13" s="21">
        <v>22906</v>
      </c>
      <c r="H13" s="21">
        <v>18950</v>
      </c>
      <c r="I13" s="21">
        <v>6359</v>
      </c>
      <c r="J13" s="21">
        <v>21178</v>
      </c>
      <c r="K13" s="21">
        <v>17510</v>
      </c>
      <c r="L13" s="21">
        <v>22618</v>
      </c>
      <c r="M13" s="21">
        <v>22387</v>
      </c>
      <c r="N13" s="21">
        <v>65357</v>
      </c>
      <c r="O13" s="21">
        <v>41485</v>
      </c>
      <c r="P13" s="21">
        <v>39805</v>
      </c>
      <c r="Q13" s="21">
        <v>19488</v>
      </c>
      <c r="R13" s="21">
        <v>22810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</row>
    <row r="14" spans="1:24" x14ac:dyDescent="0.2">
      <c r="A14" s="20" t="s">
        <v>35</v>
      </c>
      <c r="B14" s="21">
        <v>306534</v>
      </c>
      <c r="C14" s="21">
        <v>31417</v>
      </c>
      <c r="D14" s="21">
        <v>32730</v>
      </c>
      <c r="E14" s="21">
        <v>825</v>
      </c>
      <c r="F14" s="21">
        <v>25959</v>
      </c>
      <c r="G14" s="21">
        <v>25972</v>
      </c>
      <c r="H14" s="21">
        <v>14863</v>
      </c>
      <c r="I14" s="21">
        <v>23700</v>
      </c>
      <c r="J14" s="21">
        <v>11600</v>
      </c>
      <c r="K14" s="21">
        <v>2125</v>
      </c>
      <c r="L14" s="21">
        <v>22107</v>
      </c>
      <c r="M14" s="21">
        <v>18825</v>
      </c>
      <c r="N14" s="21">
        <v>15293</v>
      </c>
      <c r="O14" s="21">
        <v>11892</v>
      </c>
      <c r="P14" s="21">
        <v>30227</v>
      </c>
      <c r="Q14" s="21">
        <v>23260</v>
      </c>
      <c r="R14" s="21">
        <v>15741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</row>
    <row r="15" spans="1:24" x14ac:dyDescent="0.2">
      <c r="A15" s="20" t="s">
        <v>36</v>
      </c>
      <c r="B15" s="23">
        <v>6257789</v>
      </c>
      <c r="C15" s="23">
        <v>429466</v>
      </c>
      <c r="D15" s="23">
        <v>251750</v>
      </c>
      <c r="E15" s="23">
        <v>286167</v>
      </c>
      <c r="F15" s="23">
        <v>355873</v>
      </c>
      <c r="G15" s="23">
        <v>303840</v>
      </c>
      <c r="H15" s="23">
        <v>247745</v>
      </c>
      <c r="I15" s="23">
        <v>242519</v>
      </c>
      <c r="J15" s="23">
        <v>283914</v>
      </c>
      <c r="K15" s="23">
        <v>155817</v>
      </c>
      <c r="L15" s="23">
        <v>356075</v>
      </c>
      <c r="M15" s="23">
        <v>424552</v>
      </c>
      <c r="N15" s="23">
        <v>866801</v>
      </c>
      <c r="O15" s="23">
        <v>401292</v>
      </c>
      <c r="P15" s="23">
        <v>422988</v>
      </c>
      <c r="Q15" s="23">
        <v>377552</v>
      </c>
      <c r="R15" s="23">
        <v>360448</v>
      </c>
      <c r="S15" s="23">
        <v>93822</v>
      </c>
      <c r="T15" s="23">
        <v>113900</v>
      </c>
      <c r="U15" s="23">
        <v>58925</v>
      </c>
      <c r="V15" s="23">
        <v>131934</v>
      </c>
      <c r="W15" s="23">
        <v>92410</v>
      </c>
      <c r="X15" s="23">
        <v>0</v>
      </c>
    </row>
    <row r="16" spans="1:24" x14ac:dyDescent="0.2">
      <c r="A16" s="20" t="s">
        <v>37</v>
      </c>
      <c r="B16" s="20" t="s">
        <v>32</v>
      </c>
      <c r="C16" s="20" t="s">
        <v>32</v>
      </c>
      <c r="D16" s="20" t="s">
        <v>32</v>
      </c>
      <c r="E16" s="20" t="s">
        <v>32</v>
      </c>
      <c r="F16" s="20" t="s">
        <v>32</v>
      </c>
      <c r="G16" s="20" t="s">
        <v>32</v>
      </c>
      <c r="H16" s="20" t="s">
        <v>32</v>
      </c>
      <c r="I16" s="20" t="s">
        <v>32</v>
      </c>
      <c r="J16" s="20" t="s">
        <v>32</v>
      </c>
      <c r="K16" s="20" t="s">
        <v>32</v>
      </c>
      <c r="L16" s="20" t="s">
        <v>32</v>
      </c>
      <c r="M16" s="20" t="s">
        <v>32</v>
      </c>
      <c r="N16" s="20" t="s">
        <v>32</v>
      </c>
      <c r="O16" s="20" t="s">
        <v>32</v>
      </c>
      <c r="P16" s="20" t="s">
        <v>32</v>
      </c>
      <c r="Q16" s="20" t="s">
        <v>32</v>
      </c>
      <c r="R16" s="20" t="s">
        <v>32</v>
      </c>
      <c r="S16" s="20" t="s">
        <v>32</v>
      </c>
      <c r="T16" s="20" t="s">
        <v>32</v>
      </c>
      <c r="U16" s="20" t="s">
        <v>32</v>
      </c>
      <c r="V16" s="20" t="s">
        <v>32</v>
      </c>
      <c r="W16" s="20" t="s">
        <v>32</v>
      </c>
      <c r="X16" s="20" t="s">
        <v>32</v>
      </c>
    </row>
    <row r="17" spans="1:24" x14ac:dyDescent="0.2">
      <c r="A17" s="20" t="s">
        <v>38</v>
      </c>
      <c r="B17" s="21">
        <v>3259030</v>
      </c>
      <c r="C17" s="21">
        <v>244334</v>
      </c>
      <c r="D17" s="21">
        <v>135172</v>
      </c>
      <c r="E17" s="21">
        <v>139035</v>
      </c>
      <c r="F17" s="21">
        <v>166800</v>
      </c>
      <c r="G17" s="21">
        <v>155053</v>
      </c>
      <c r="H17" s="21">
        <v>119118</v>
      </c>
      <c r="I17" s="21">
        <v>95089</v>
      </c>
      <c r="J17" s="21">
        <v>142572</v>
      </c>
      <c r="K17" s="21">
        <v>130099</v>
      </c>
      <c r="L17" s="21">
        <v>196962</v>
      </c>
      <c r="M17" s="21">
        <v>195781</v>
      </c>
      <c r="N17" s="21">
        <v>393701</v>
      </c>
      <c r="O17" s="21">
        <v>231883</v>
      </c>
      <c r="P17" s="21">
        <v>345534</v>
      </c>
      <c r="Q17" s="21">
        <v>208000</v>
      </c>
      <c r="R17" s="21">
        <v>193139</v>
      </c>
      <c r="S17" s="21">
        <v>49180</v>
      </c>
      <c r="T17" s="21">
        <v>38367</v>
      </c>
      <c r="U17" s="21">
        <v>25501</v>
      </c>
      <c r="V17" s="21">
        <v>41516</v>
      </c>
      <c r="W17" s="21">
        <v>12195</v>
      </c>
      <c r="X17" s="21">
        <v>0</v>
      </c>
    </row>
    <row r="18" spans="1:24" x14ac:dyDescent="0.2">
      <c r="A18" s="20" t="s">
        <v>39</v>
      </c>
      <c r="B18" s="21">
        <v>242152</v>
      </c>
      <c r="C18" s="21">
        <v>16438</v>
      </c>
      <c r="D18" s="21">
        <v>15940</v>
      </c>
      <c r="E18" s="21">
        <v>14289</v>
      </c>
      <c r="F18" s="21">
        <v>15042</v>
      </c>
      <c r="G18" s="21">
        <v>11269</v>
      </c>
      <c r="H18" s="21">
        <v>14606</v>
      </c>
      <c r="I18" s="21">
        <v>8323</v>
      </c>
      <c r="J18" s="21">
        <v>9621</v>
      </c>
      <c r="K18" s="21">
        <v>9056</v>
      </c>
      <c r="L18" s="21">
        <v>11291</v>
      </c>
      <c r="M18" s="21">
        <v>13784</v>
      </c>
      <c r="N18" s="21">
        <v>31418</v>
      </c>
      <c r="O18" s="21">
        <v>12353</v>
      </c>
      <c r="P18" s="21">
        <v>16583</v>
      </c>
      <c r="Q18" s="21">
        <v>16676</v>
      </c>
      <c r="R18" s="21">
        <v>19703</v>
      </c>
      <c r="S18" s="21">
        <v>1874</v>
      </c>
      <c r="T18" s="21">
        <v>1250</v>
      </c>
      <c r="U18" s="21">
        <v>1902</v>
      </c>
      <c r="V18" s="21">
        <v>-2</v>
      </c>
      <c r="W18" s="21">
        <v>736</v>
      </c>
      <c r="X18" s="21">
        <v>0</v>
      </c>
    </row>
    <row r="19" spans="1:24" x14ac:dyDescent="0.2">
      <c r="A19" s="20" t="s">
        <v>40</v>
      </c>
      <c r="B19" s="21">
        <v>377946</v>
      </c>
      <c r="C19" s="21">
        <v>13996</v>
      </c>
      <c r="D19" s="21">
        <v>12899</v>
      </c>
      <c r="E19" s="21">
        <v>17207</v>
      </c>
      <c r="F19" s="21">
        <v>20756</v>
      </c>
      <c r="G19" s="21">
        <v>13229</v>
      </c>
      <c r="H19" s="21">
        <v>18797</v>
      </c>
      <c r="I19" s="21">
        <v>11625</v>
      </c>
      <c r="J19" s="21">
        <v>22845</v>
      </c>
      <c r="K19" s="21">
        <v>14396</v>
      </c>
      <c r="L19" s="21">
        <v>24567</v>
      </c>
      <c r="M19" s="21">
        <v>23598</v>
      </c>
      <c r="N19" s="21">
        <v>28085</v>
      </c>
      <c r="O19" s="21">
        <v>33132</v>
      </c>
      <c r="P19" s="21">
        <v>24146</v>
      </c>
      <c r="Q19" s="21">
        <v>26867</v>
      </c>
      <c r="R19" s="21">
        <v>19731</v>
      </c>
      <c r="S19" s="21">
        <v>7319</v>
      </c>
      <c r="T19" s="21">
        <v>12737</v>
      </c>
      <c r="U19" s="21">
        <v>10412</v>
      </c>
      <c r="V19" s="21">
        <v>16912</v>
      </c>
      <c r="W19" s="21">
        <v>4466</v>
      </c>
      <c r="X19" s="21">
        <v>225</v>
      </c>
    </row>
    <row r="20" spans="1:24" x14ac:dyDescent="0.2">
      <c r="A20" s="20" t="s">
        <v>41</v>
      </c>
      <c r="B20" s="21">
        <v>577923</v>
      </c>
      <c r="C20" s="21">
        <v>32295</v>
      </c>
      <c r="D20" s="21">
        <v>26403</v>
      </c>
      <c r="E20" s="21">
        <v>26163</v>
      </c>
      <c r="F20" s="21">
        <v>31094</v>
      </c>
      <c r="G20" s="21">
        <v>26743</v>
      </c>
      <c r="H20" s="21">
        <v>23791</v>
      </c>
      <c r="I20" s="21">
        <v>20104</v>
      </c>
      <c r="J20" s="21">
        <v>27689</v>
      </c>
      <c r="K20" s="21">
        <v>22906</v>
      </c>
      <c r="L20" s="21">
        <v>34333</v>
      </c>
      <c r="M20" s="21">
        <v>38790</v>
      </c>
      <c r="N20" s="21">
        <v>70745</v>
      </c>
      <c r="O20" s="21">
        <v>36956</v>
      </c>
      <c r="P20" s="21">
        <v>34921</v>
      </c>
      <c r="Q20" s="21">
        <v>33984</v>
      </c>
      <c r="R20" s="21">
        <v>32358</v>
      </c>
      <c r="S20" s="21">
        <v>166</v>
      </c>
      <c r="T20" s="21">
        <v>19205</v>
      </c>
      <c r="U20" s="21">
        <v>11080</v>
      </c>
      <c r="V20" s="21">
        <v>15717</v>
      </c>
      <c r="W20" s="21">
        <v>12481</v>
      </c>
      <c r="X20" s="21">
        <v>0</v>
      </c>
    </row>
    <row r="21" spans="1:24" x14ac:dyDescent="0.2">
      <c r="A21" s="20" t="s">
        <v>42</v>
      </c>
      <c r="B21" s="21">
        <v>505270</v>
      </c>
      <c r="C21" s="21">
        <v>25616</v>
      </c>
      <c r="D21" s="21">
        <v>26049</v>
      </c>
      <c r="E21" s="21">
        <v>21304</v>
      </c>
      <c r="F21" s="21">
        <v>19001</v>
      </c>
      <c r="G21" s="21">
        <v>21008</v>
      </c>
      <c r="H21" s="21">
        <v>19559</v>
      </c>
      <c r="I21" s="21">
        <v>19260</v>
      </c>
      <c r="J21" s="21">
        <v>25469</v>
      </c>
      <c r="K21" s="21">
        <v>16101</v>
      </c>
      <c r="L21" s="21">
        <v>54717</v>
      </c>
      <c r="M21" s="21">
        <v>25656</v>
      </c>
      <c r="N21" s="21">
        <v>50896</v>
      </c>
      <c r="O21" s="21">
        <v>44698</v>
      </c>
      <c r="P21" s="21">
        <v>43168</v>
      </c>
      <c r="Q21" s="21">
        <v>35134</v>
      </c>
      <c r="R21" s="21">
        <v>20797</v>
      </c>
      <c r="S21" s="21">
        <v>7464</v>
      </c>
      <c r="T21" s="21">
        <v>10456</v>
      </c>
      <c r="U21" s="21">
        <v>8804</v>
      </c>
      <c r="V21" s="21">
        <v>7489</v>
      </c>
      <c r="W21" s="21">
        <v>2776</v>
      </c>
      <c r="X21" s="21">
        <v>-153</v>
      </c>
    </row>
    <row r="22" spans="1:24" x14ac:dyDescent="0.2">
      <c r="A22" s="20" t="s">
        <v>43</v>
      </c>
      <c r="B22" s="21">
        <v>53510</v>
      </c>
      <c r="C22" s="21">
        <v>584</v>
      </c>
      <c r="D22" s="21">
        <v>496</v>
      </c>
      <c r="E22" s="21">
        <v>4065</v>
      </c>
      <c r="F22" s="21">
        <v>720</v>
      </c>
      <c r="G22" s="21">
        <v>3029</v>
      </c>
      <c r="H22" s="21">
        <v>1326</v>
      </c>
      <c r="I22" s="21">
        <v>449</v>
      </c>
      <c r="J22" s="21">
        <v>6068</v>
      </c>
      <c r="K22" s="21">
        <v>2069</v>
      </c>
      <c r="L22" s="21">
        <v>5052</v>
      </c>
      <c r="M22" s="21">
        <v>4085</v>
      </c>
      <c r="N22" s="21">
        <v>8102</v>
      </c>
      <c r="O22" s="21">
        <v>8626</v>
      </c>
      <c r="P22" s="21">
        <v>2310</v>
      </c>
      <c r="Q22" s="21">
        <v>5739</v>
      </c>
      <c r="R22" s="21">
        <v>386</v>
      </c>
      <c r="S22" s="21">
        <v>66</v>
      </c>
      <c r="T22" s="21">
        <v>66</v>
      </c>
      <c r="U22" s="21">
        <v>131</v>
      </c>
      <c r="V22" s="21">
        <v>90</v>
      </c>
      <c r="W22" s="21">
        <v>50</v>
      </c>
      <c r="X22" s="21">
        <v>0</v>
      </c>
    </row>
    <row r="23" spans="1:24" x14ac:dyDescent="0.2">
      <c r="A23" s="20" t="s">
        <v>44</v>
      </c>
      <c r="B23" s="23">
        <v>5015831</v>
      </c>
      <c r="C23" s="23">
        <v>333263</v>
      </c>
      <c r="D23" s="23">
        <v>216959</v>
      </c>
      <c r="E23" s="23">
        <v>222063</v>
      </c>
      <c r="F23" s="23">
        <v>253413</v>
      </c>
      <c r="G23" s="23">
        <v>230331</v>
      </c>
      <c r="H23" s="23">
        <v>197197</v>
      </c>
      <c r="I23" s="23">
        <v>154850</v>
      </c>
      <c r="J23" s="23">
        <v>234264</v>
      </c>
      <c r="K23" s="23">
        <v>194627</v>
      </c>
      <c r="L23" s="23">
        <v>326922</v>
      </c>
      <c r="M23" s="23">
        <v>301694</v>
      </c>
      <c r="N23" s="23">
        <v>582947</v>
      </c>
      <c r="O23" s="23">
        <v>367648</v>
      </c>
      <c r="P23" s="23">
        <v>466662</v>
      </c>
      <c r="Q23" s="23">
        <v>326400</v>
      </c>
      <c r="R23" s="23">
        <v>286114</v>
      </c>
      <c r="S23" s="23">
        <v>66069</v>
      </c>
      <c r="T23" s="23">
        <v>82081</v>
      </c>
      <c r="U23" s="23">
        <v>57830</v>
      </c>
      <c r="V23" s="23">
        <v>81722</v>
      </c>
      <c r="W23" s="23">
        <v>32704</v>
      </c>
      <c r="X23" s="23">
        <v>72</v>
      </c>
    </row>
    <row r="24" spans="1:24" x14ac:dyDescent="0.2">
      <c r="A24" s="20" t="s">
        <v>45</v>
      </c>
      <c r="B24" s="23">
        <v>1241958</v>
      </c>
      <c r="C24" s="23">
        <v>96203</v>
      </c>
      <c r="D24" s="23">
        <v>34791</v>
      </c>
      <c r="E24" s="23">
        <v>64104</v>
      </c>
      <c r="F24" s="23">
        <v>102460</v>
      </c>
      <c r="G24" s="23">
        <v>73509</v>
      </c>
      <c r="H24" s="23">
        <v>50548</v>
      </c>
      <c r="I24" s="23">
        <v>87669</v>
      </c>
      <c r="J24" s="23">
        <v>49650</v>
      </c>
      <c r="K24" s="23">
        <v>-38810</v>
      </c>
      <c r="L24" s="23">
        <v>29153</v>
      </c>
      <c r="M24" s="23">
        <v>122858</v>
      </c>
      <c r="N24" s="23">
        <v>283854</v>
      </c>
      <c r="O24" s="23">
        <v>33644</v>
      </c>
      <c r="P24" s="23">
        <v>-43674</v>
      </c>
      <c r="Q24" s="23">
        <v>51152</v>
      </c>
      <c r="R24" s="23">
        <v>74334</v>
      </c>
      <c r="S24" s="23">
        <v>27753</v>
      </c>
      <c r="T24" s="23">
        <v>31819</v>
      </c>
      <c r="U24" s="23">
        <v>1095</v>
      </c>
      <c r="V24" s="23">
        <v>50212</v>
      </c>
      <c r="W24" s="23">
        <v>59706</v>
      </c>
      <c r="X24" s="23">
        <v>-72</v>
      </c>
    </row>
    <row r="25" spans="1:24" x14ac:dyDescent="0.2">
      <c r="A25" s="20" t="s">
        <v>46</v>
      </c>
      <c r="B25" s="21">
        <v>970070</v>
      </c>
      <c r="C25" s="21">
        <v>53150</v>
      </c>
      <c r="D25" s="21">
        <v>43119</v>
      </c>
      <c r="E25" s="21">
        <v>42709</v>
      </c>
      <c r="F25" s="21">
        <v>51452</v>
      </c>
      <c r="G25" s="21">
        <v>52919</v>
      </c>
      <c r="H25" s="21">
        <v>38172</v>
      </c>
      <c r="I25" s="21">
        <v>43876</v>
      </c>
      <c r="J25" s="21">
        <v>43769</v>
      </c>
      <c r="K25" s="21">
        <v>34858</v>
      </c>
      <c r="L25" s="21">
        <v>58469</v>
      </c>
      <c r="M25" s="21">
        <v>51697</v>
      </c>
      <c r="N25" s="21">
        <v>82150</v>
      </c>
      <c r="O25" s="21">
        <v>58539</v>
      </c>
      <c r="P25" s="21">
        <v>68815</v>
      </c>
      <c r="Q25" s="21">
        <v>77888</v>
      </c>
      <c r="R25" s="21">
        <v>69013</v>
      </c>
      <c r="S25" s="21">
        <v>22073</v>
      </c>
      <c r="T25" s="21">
        <v>16812</v>
      </c>
      <c r="U25" s="21">
        <v>17621</v>
      </c>
      <c r="V25" s="21">
        <v>27514</v>
      </c>
      <c r="W25" s="21">
        <v>13520</v>
      </c>
      <c r="X25" s="21">
        <v>1934</v>
      </c>
    </row>
    <row r="26" spans="1:24" x14ac:dyDescent="0.2">
      <c r="A26" s="20" t="s">
        <v>47</v>
      </c>
      <c r="B26" s="23">
        <v>271888</v>
      </c>
      <c r="C26" s="23">
        <v>43053</v>
      </c>
      <c r="D26" s="23">
        <v>-8328</v>
      </c>
      <c r="E26" s="23">
        <v>21395</v>
      </c>
      <c r="F26" s="23">
        <v>51008</v>
      </c>
      <c r="G26" s="23">
        <v>20590</v>
      </c>
      <c r="H26" s="23">
        <v>12376</v>
      </c>
      <c r="I26" s="23">
        <v>43793</v>
      </c>
      <c r="J26" s="23">
        <v>5881</v>
      </c>
      <c r="K26" s="23">
        <v>-73668</v>
      </c>
      <c r="L26" s="23">
        <v>-29316</v>
      </c>
      <c r="M26" s="23">
        <v>71161</v>
      </c>
      <c r="N26" s="23">
        <v>201704</v>
      </c>
      <c r="O26" s="23">
        <v>-24895</v>
      </c>
      <c r="P26" s="23">
        <v>-112489</v>
      </c>
      <c r="Q26" s="23">
        <v>-26736</v>
      </c>
      <c r="R26" s="23">
        <v>5321</v>
      </c>
      <c r="S26" s="23">
        <v>5680</v>
      </c>
      <c r="T26" s="23">
        <v>15007</v>
      </c>
      <c r="U26" s="23">
        <v>-16526</v>
      </c>
      <c r="V26" s="23">
        <v>22698</v>
      </c>
      <c r="W26" s="23">
        <v>46186</v>
      </c>
      <c r="X26" s="23">
        <v>-2006</v>
      </c>
    </row>
    <row r="27" spans="1:24" x14ac:dyDescent="0.2">
      <c r="A27" s="20" t="s">
        <v>48</v>
      </c>
      <c r="B27" s="21">
        <v>445733</v>
      </c>
      <c r="C27" s="21">
        <v>25000</v>
      </c>
      <c r="D27" s="21">
        <v>15000</v>
      </c>
      <c r="E27" s="21">
        <v>15000</v>
      </c>
      <c r="F27" s="21">
        <v>15000</v>
      </c>
      <c r="G27" s="21">
        <v>25000</v>
      </c>
      <c r="H27" s="21">
        <v>15000</v>
      </c>
      <c r="I27" s="21">
        <v>15000</v>
      </c>
      <c r="J27" s="21">
        <v>24357</v>
      </c>
      <c r="K27" s="21">
        <v>18394</v>
      </c>
      <c r="L27" s="21">
        <v>29613</v>
      </c>
      <c r="M27" s="21">
        <v>25526</v>
      </c>
      <c r="N27" s="21">
        <v>58394</v>
      </c>
      <c r="O27" s="21">
        <v>40708</v>
      </c>
      <c r="P27" s="21">
        <v>36907</v>
      </c>
      <c r="Q27" s="21">
        <v>28833</v>
      </c>
      <c r="R27" s="21">
        <v>28834</v>
      </c>
      <c r="S27" s="21">
        <v>4172</v>
      </c>
      <c r="T27" s="21">
        <v>6287</v>
      </c>
      <c r="U27" s="21">
        <v>5380</v>
      </c>
      <c r="V27" s="21">
        <v>6891</v>
      </c>
      <c r="W27" s="21">
        <v>6438</v>
      </c>
      <c r="X27" s="21">
        <v>0</v>
      </c>
    </row>
    <row r="28" spans="1:24" x14ac:dyDescent="0.2">
      <c r="A28" s="20" t="s">
        <v>49</v>
      </c>
      <c r="B28" s="21">
        <v>121678</v>
      </c>
      <c r="C28" s="21">
        <v>4858</v>
      </c>
      <c r="D28" s="21">
        <v>7474</v>
      </c>
      <c r="E28" s="21">
        <v>3051</v>
      </c>
      <c r="F28" s="21">
        <v>3577</v>
      </c>
      <c r="G28" s="21">
        <v>4056</v>
      </c>
      <c r="H28" s="21">
        <v>479</v>
      </c>
      <c r="I28" s="21">
        <v>2365</v>
      </c>
      <c r="J28" s="21">
        <v>3147</v>
      </c>
      <c r="K28" s="21">
        <v>4120</v>
      </c>
      <c r="L28" s="21">
        <v>5416</v>
      </c>
      <c r="M28" s="21">
        <v>5315</v>
      </c>
      <c r="N28" s="21">
        <v>6985</v>
      </c>
      <c r="O28" s="21">
        <v>14277</v>
      </c>
      <c r="P28" s="21">
        <v>6319</v>
      </c>
      <c r="Q28" s="21">
        <v>7105</v>
      </c>
      <c r="R28" s="21">
        <v>11930</v>
      </c>
      <c r="S28" s="21">
        <v>4847</v>
      </c>
      <c r="T28" s="21">
        <v>4353</v>
      </c>
      <c r="U28" s="21">
        <v>6096</v>
      </c>
      <c r="V28" s="21">
        <v>5768</v>
      </c>
      <c r="W28" s="21">
        <v>8388</v>
      </c>
      <c r="X28" s="21">
        <v>1751</v>
      </c>
    </row>
    <row r="29" spans="1:24" x14ac:dyDescent="0.2">
      <c r="A29" s="20" t="s">
        <v>50</v>
      </c>
      <c r="B29" s="21">
        <v>99427</v>
      </c>
      <c r="C29" s="21">
        <v>9308</v>
      </c>
      <c r="D29" s="21">
        <v>4809</v>
      </c>
      <c r="E29" s="21">
        <v>3983</v>
      </c>
      <c r="F29" s="21">
        <v>4395</v>
      </c>
      <c r="G29" s="21">
        <v>6669</v>
      </c>
      <c r="H29" s="21">
        <v>5038</v>
      </c>
      <c r="I29" s="21">
        <v>3938</v>
      </c>
      <c r="J29" s="21">
        <v>3536</v>
      </c>
      <c r="K29" s="21">
        <v>3905</v>
      </c>
      <c r="L29" s="21">
        <v>4631</v>
      </c>
      <c r="M29" s="21">
        <v>7050</v>
      </c>
      <c r="N29" s="21">
        <v>11307</v>
      </c>
      <c r="O29" s="21">
        <v>6635</v>
      </c>
      <c r="P29" s="21">
        <v>6497</v>
      </c>
      <c r="Q29" s="21">
        <v>11216</v>
      </c>
      <c r="R29" s="21">
        <v>6354</v>
      </c>
      <c r="S29" s="21">
        <v>0</v>
      </c>
      <c r="T29" s="21">
        <v>0</v>
      </c>
      <c r="U29" s="21">
        <v>0</v>
      </c>
      <c r="V29" s="21">
        <v>66</v>
      </c>
      <c r="W29" s="21">
        <v>91</v>
      </c>
      <c r="X29" s="21">
        <v>0</v>
      </c>
    </row>
    <row r="30" spans="1:24" x14ac:dyDescent="0.2">
      <c r="A30" s="20" t="s">
        <v>51</v>
      </c>
      <c r="B30" s="21">
        <v>361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131</v>
      </c>
      <c r="K30" s="21">
        <v>28</v>
      </c>
      <c r="L30" s="21">
        <v>42</v>
      </c>
      <c r="M30" s="21">
        <v>34</v>
      </c>
      <c r="N30" s="21">
        <v>-194</v>
      </c>
      <c r="O30" s="21">
        <v>68</v>
      </c>
      <c r="P30" s="21">
        <v>56</v>
      </c>
      <c r="Q30" s="21">
        <v>0</v>
      </c>
      <c r="R30" s="21">
        <v>0</v>
      </c>
      <c r="S30" s="21">
        <v>32</v>
      </c>
      <c r="T30" s="21">
        <v>34</v>
      </c>
      <c r="U30" s="21">
        <v>35</v>
      </c>
      <c r="V30" s="21">
        <v>52</v>
      </c>
      <c r="W30" s="21">
        <v>43</v>
      </c>
      <c r="X30" s="21">
        <v>0</v>
      </c>
    </row>
    <row r="31" spans="1:24" x14ac:dyDescent="0.2">
      <c r="A31" s="20" t="s">
        <v>52</v>
      </c>
      <c r="B31" s="21">
        <v>16469</v>
      </c>
      <c r="C31" s="21">
        <v>1375</v>
      </c>
      <c r="D31" s="21">
        <v>329</v>
      </c>
      <c r="E31" s="21">
        <v>1262</v>
      </c>
      <c r="F31" s="21">
        <v>280</v>
      </c>
      <c r="G31" s="21">
        <v>494</v>
      </c>
      <c r="H31" s="21">
        <v>1275</v>
      </c>
      <c r="I31" s="21">
        <v>592</v>
      </c>
      <c r="J31" s="21">
        <v>762</v>
      </c>
      <c r="K31" s="21">
        <v>788</v>
      </c>
      <c r="L31" s="21">
        <v>592</v>
      </c>
      <c r="M31" s="21">
        <v>606</v>
      </c>
      <c r="N31" s="21">
        <v>1007</v>
      </c>
      <c r="O31" s="21">
        <v>799</v>
      </c>
      <c r="P31" s="21">
        <v>1509</v>
      </c>
      <c r="Q31" s="21">
        <v>1255</v>
      </c>
      <c r="R31" s="21">
        <v>2000</v>
      </c>
      <c r="S31" s="21">
        <v>235</v>
      </c>
      <c r="T31" s="21">
        <v>358</v>
      </c>
      <c r="U31" s="21">
        <v>219</v>
      </c>
      <c r="V31" s="21">
        <v>369</v>
      </c>
      <c r="W31" s="21">
        <v>363</v>
      </c>
      <c r="X31" s="21">
        <v>0</v>
      </c>
    </row>
    <row r="32" spans="1:24" x14ac:dyDescent="0.2">
      <c r="A32" s="20" t="s">
        <v>53</v>
      </c>
      <c r="B32" s="21">
        <v>14132</v>
      </c>
      <c r="C32" s="21">
        <v>831</v>
      </c>
      <c r="D32" s="21">
        <v>831</v>
      </c>
      <c r="E32" s="21">
        <v>832</v>
      </c>
      <c r="F32" s="21">
        <v>832</v>
      </c>
      <c r="G32" s="21">
        <v>832</v>
      </c>
      <c r="H32" s="21">
        <v>831</v>
      </c>
      <c r="I32" s="21">
        <v>832</v>
      </c>
      <c r="J32" s="21">
        <v>839</v>
      </c>
      <c r="K32" s="21">
        <v>839</v>
      </c>
      <c r="L32" s="21">
        <v>838</v>
      </c>
      <c r="M32" s="21">
        <v>838</v>
      </c>
      <c r="N32" s="21">
        <v>839</v>
      </c>
      <c r="O32" s="21">
        <v>839</v>
      </c>
      <c r="P32" s="21">
        <v>839</v>
      </c>
      <c r="Q32" s="21">
        <v>1198</v>
      </c>
      <c r="R32" s="21">
        <v>1242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</row>
    <row r="33" spans="1:24" x14ac:dyDescent="0.2">
      <c r="A33" s="20" t="s">
        <v>54</v>
      </c>
      <c r="B33" s="23">
        <v>697800</v>
      </c>
      <c r="C33" s="23">
        <v>41372</v>
      </c>
      <c r="D33" s="23">
        <v>28443</v>
      </c>
      <c r="E33" s="23">
        <v>24128</v>
      </c>
      <c r="F33" s="23">
        <v>24084</v>
      </c>
      <c r="G33" s="23">
        <v>37051</v>
      </c>
      <c r="H33" s="23">
        <v>22623</v>
      </c>
      <c r="I33" s="23">
        <v>22727</v>
      </c>
      <c r="J33" s="23">
        <v>32772</v>
      </c>
      <c r="K33" s="23">
        <v>28074</v>
      </c>
      <c r="L33" s="23">
        <v>41132</v>
      </c>
      <c r="M33" s="23">
        <v>39369</v>
      </c>
      <c r="N33" s="23">
        <v>78338</v>
      </c>
      <c r="O33" s="23">
        <v>63326</v>
      </c>
      <c r="P33" s="23">
        <v>52127</v>
      </c>
      <c r="Q33" s="23">
        <v>49607</v>
      </c>
      <c r="R33" s="23">
        <v>50360</v>
      </c>
      <c r="S33" s="23">
        <v>9286</v>
      </c>
      <c r="T33" s="23">
        <v>11032</v>
      </c>
      <c r="U33" s="23">
        <v>11730</v>
      </c>
      <c r="V33" s="23">
        <v>13146</v>
      </c>
      <c r="W33" s="23">
        <v>15323</v>
      </c>
      <c r="X33" s="23">
        <v>1751</v>
      </c>
    </row>
    <row r="34" spans="1:24" x14ac:dyDescent="0.2">
      <c r="A34" s="20" t="s">
        <v>55</v>
      </c>
      <c r="B34" s="23">
        <v>-425912</v>
      </c>
      <c r="C34" s="23">
        <v>1681</v>
      </c>
      <c r="D34" s="23">
        <v>-36771</v>
      </c>
      <c r="E34" s="23">
        <v>-2733</v>
      </c>
      <c r="F34" s="23">
        <v>26924</v>
      </c>
      <c r="G34" s="23">
        <v>-16461</v>
      </c>
      <c r="H34" s="23">
        <v>-10247</v>
      </c>
      <c r="I34" s="23">
        <v>21066</v>
      </c>
      <c r="J34" s="23">
        <v>-26891</v>
      </c>
      <c r="K34" s="23">
        <v>-101742</v>
      </c>
      <c r="L34" s="23">
        <v>-70448</v>
      </c>
      <c r="M34" s="23">
        <v>31792</v>
      </c>
      <c r="N34" s="23">
        <v>123366</v>
      </c>
      <c r="O34" s="23">
        <v>-88221</v>
      </c>
      <c r="P34" s="23">
        <v>-164616</v>
      </c>
      <c r="Q34" s="23">
        <v>-76343</v>
      </c>
      <c r="R34" s="23">
        <v>-45039</v>
      </c>
      <c r="S34" s="23">
        <v>-3606</v>
      </c>
      <c r="T34" s="23">
        <v>3975</v>
      </c>
      <c r="U34" s="23">
        <v>-28256</v>
      </c>
      <c r="V34" s="23">
        <v>9552</v>
      </c>
      <c r="W34" s="23">
        <v>30863</v>
      </c>
      <c r="X34" s="23">
        <v>-3757</v>
      </c>
    </row>
    <row r="35" spans="1:24" x14ac:dyDescent="0.2">
      <c r="A35" s="20" t="s">
        <v>56</v>
      </c>
      <c r="B35" s="21">
        <v>345684</v>
      </c>
      <c r="C35" s="21">
        <v>24529</v>
      </c>
      <c r="D35" s="21">
        <v>15071</v>
      </c>
      <c r="E35" s="21">
        <v>15619</v>
      </c>
      <c r="F35" s="21">
        <v>20050</v>
      </c>
      <c r="G35" s="21">
        <v>17636</v>
      </c>
      <c r="H35" s="21">
        <v>14078</v>
      </c>
      <c r="I35" s="21">
        <v>13629</v>
      </c>
      <c r="J35" s="21">
        <v>12700</v>
      </c>
      <c r="K35" s="21">
        <v>8773</v>
      </c>
      <c r="L35" s="21">
        <v>20040</v>
      </c>
      <c r="M35" s="21">
        <v>23289</v>
      </c>
      <c r="N35" s="21">
        <v>47372</v>
      </c>
      <c r="O35" s="21">
        <v>22734</v>
      </c>
      <c r="P35" s="21">
        <v>24651</v>
      </c>
      <c r="Q35" s="21">
        <v>21014</v>
      </c>
      <c r="R35" s="21">
        <v>19950</v>
      </c>
      <c r="S35" s="21">
        <v>4691</v>
      </c>
      <c r="T35" s="21">
        <v>5695</v>
      </c>
      <c r="U35" s="21">
        <v>2946</v>
      </c>
      <c r="V35" s="21">
        <v>6597</v>
      </c>
      <c r="W35" s="21">
        <v>4620</v>
      </c>
      <c r="X35" s="21">
        <v>0</v>
      </c>
    </row>
    <row r="36" spans="1:24" x14ac:dyDescent="0.2">
      <c r="A36" s="20" t="s">
        <v>57</v>
      </c>
      <c r="B36" s="23">
        <v>-771596</v>
      </c>
      <c r="C36" s="23">
        <v>-22848</v>
      </c>
      <c r="D36" s="23">
        <v>-51842</v>
      </c>
      <c r="E36" s="23">
        <v>-18352</v>
      </c>
      <c r="F36" s="23">
        <v>6874</v>
      </c>
      <c r="G36" s="23">
        <v>-34097</v>
      </c>
      <c r="H36" s="23">
        <v>-24325</v>
      </c>
      <c r="I36" s="23">
        <v>7437</v>
      </c>
      <c r="J36" s="23">
        <v>-39591</v>
      </c>
      <c r="K36" s="23">
        <v>-110515</v>
      </c>
      <c r="L36" s="23">
        <v>-90488</v>
      </c>
      <c r="M36" s="23">
        <v>8503</v>
      </c>
      <c r="N36" s="23">
        <v>75994</v>
      </c>
      <c r="O36" s="23">
        <v>-110955</v>
      </c>
      <c r="P36" s="23">
        <v>-189267</v>
      </c>
      <c r="Q36" s="23">
        <v>-97357</v>
      </c>
      <c r="R36" s="23">
        <v>-64989</v>
      </c>
      <c r="S36" s="23">
        <v>-8297</v>
      </c>
      <c r="T36" s="23">
        <v>-1720</v>
      </c>
      <c r="U36" s="23">
        <v>-31202</v>
      </c>
      <c r="V36" s="23">
        <v>2955</v>
      </c>
      <c r="W36" s="23">
        <v>26243</v>
      </c>
      <c r="X36" s="23">
        <v>-3757</v>
      </c>
    </row>
    <row r="37" spans="1:24" x14ac:dyDescent="0.2">
      <c r="A37" s="20" t="s">
        <v>58</v>
      </c>
      <c r="B37" s="20" t="s">
        <v>32</v>
      </c>
      <c r="C37" s="20" t="s">
        <v>32</v>
      </c>
      <c r="D37" s="20" t="s">
        <v>32</v>
      </c>
      <c r="E37" s="20" t="s">
        <v>32</v>
      </c>
      <c r="F37" s="20" t="s">
        <v>32</v>
      </c>
      <c r="G37" s="20" t="s">
        <v>32</v>
      </c>
      <c r="H37" s="20" t="s">
        <v>32</v>
      </c>
      <c r="I37" s="20" t="s">
        <v>32</v>
      </c>
      <c r="J37" s="20" t="s">
        <v>32</v>
      </c>
      <c r="K37" s="20" t="s">
        <v>32</v>
      </c>
      <c r="L37" s="20" t="s">
        <v>32</v>
      </c>
      <c r="M37" s="20" t="s">
        <v>32</v>
      </c>
      <c r="N37" s="20" t="s">
        <v>32</v>
      </c>
      <c r="O37" s="20" t="s">
        <v>32</v>
      </c>
      <c r="P37" s="20" t="s">
        <v>32</v>
      </c>
      <c r="Q37" s="20" t="s">
        <v>32</v>
      </c>
      <c r="R37" s="20" t="s">
        <v>32</v>
      </c>
      <c r="S37" s="20" t="s">
        <v>32</v>
      </c>
      <c r="T37" s="20" t="s">
        <v>32</v>
      </c>
      <c r="U37" s="20" t="s">
        <v>32</v>
      </c>
      <c r="V37" s="20" t="s">
        <v>32</v>
      </c>
      <c r="W37" s="20" t="s">
        <v>32</v>
      </c>
      <c r="X37" s="20" t="s">
        <v>32</v>
      </c>
    </row>
    <row r="38" spans="1:24" x14ac:dyDescent="0.2">
      <c r="A38" s="20" t="s">
        <v>59</v>
      </c>
      <c r="B38" s="21">
        <v>423</v>
      </c>
      <c r="C38" s="21">
        <v>0</v>
      </c>
      <c r="D38" s="21">
        <v>47</v>
      </c>
      <c r="E38" s="21">
        <v>0</v>
      </c>
      <c r="F38" s="21">
        <v>1</v>
      </c>
      <c r="G38" s="21">
        <v>162</v>
      </c>
      <c r="H38" s="21">
        <v>10</v>
      </c>
      <c r="I38" s="21">
        <v>2</v>
      </c>
      <c r="J38" s="21">
        <v>0</v>
      </c>
      <c r="K38" s="21">
        <v>0</v>
      </c>
      <c r="L38" s="21">
        <v>47</v>
      </c>
      <c r="M38" s="21">
        <v>143</v>
      </c>
      <c r="N38" s="21">
        <v>0</v>
      </c>
      <c r="O38" s="21">
        <v>0</v>
      </c>
      <c r="P38" s="21">
        <v>11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</row>
    <row r="39" spans="1:24" x14ac:dyDescent="0.2">
      <c r="A39" s="20" t="s">
        <v>60</v>
      </c>
      <c r="B39" s="21">
        <v>7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6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</row>
    <row r="40" spans="1:24" x14ac:dyDescent="0.2">
      <c r="A40" s="20" t="s">
        <v>61</v>
      </c>
      <c r="B40" s="21">
        <v>27046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22821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200</v>
      </c>
      <c r="V40" s="21">
        <v>4026</v>
      </c>
      <c r="W40" s="21">
        <v>0</v>
      </c>
      <c r="X40" s="21">
        <v>0</v>
      </c>
    </row>
    <row r="41" spans="1:24" x14ac:dyDescent="0.2">
      <c r="A41" s="20" t="s">
        <v>62</v>
      </c>
      <c r="B41" s="21">
        <v>535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319</v>
      </c>
      <c r="W41" s="21">
        <v>215</v>
      </c>
      <c r="X41" s="21">
        <v>0</v>
      </c>
    </row>
    <row r="42" spans="1:24" x14ac:dyDescent="0.2">
      <c r="A42" s="20" t="s">
        <v>63</v>
      </c>
      <c r="B42" s="21">
        <v>276</v>
      </c>
      <c r="C42" s="21">
        <v>0</v>
      </c>
      <c r="D42" s="21">
        <v>132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48</v>
      </c>
      <c r="Q42" s="21">
        <v>0</v>
      </c>
      <c r="R42" s="21">
        <v>96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</row>
    <row r="43" spans="1:24" x14ac:dyDescent="0.2">
      <c r="A43" s="20" t="s">
        <v>64</v>
      </c>
      <c r="B43" s="21">
        <v>2550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750</v>
      </c>
      <c r="V43" s="21">
        <v>1800</v>
      </c>
      <c r="W43" s="21">
        <v>0</v>
      </c>
      <c r="X43" s="21">
        <v>0</v>
      </c>
    </row>
    <row r="44" spans="1:24" x14ac:dyDescent="0.2">
      <c r="A44" s="20" t="s">
        <v>65</v>
      </c>
      <c r="B44" s="21">
        <v>1200</v>
      </c>
      <c r="C44" s="21">
        <v>0</v>
      </c>
      <c r="D44" s="21">
        <v>1200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</row>
    <row r="45" spans="1:24" x14ac:dyDescent="0.2">
      <c r="A45" s="20" t="s">
        <v>66</v>
      </c>
      <c r="B45" s="21">
        <v>57225</v>
      </c>
      <c r="C45" s="21">
        <v>0</v>
      </c>
      <c r="D45" s="21">
        <v>4126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7355</v>
      </c>
      <c r="K45" s="21">
        <v>6773</v>
      </c>
      <c r="L45" s="21">
        <v>3093</v>
      </c>
      <c r="M45" s="21">
        <v>4243</v>
      </c>
      <c r="N45" s="21">
        <v>22643</v>
      </c>
      <c r="O45" s="21">
        <v>3054</v>
      </c>
      <c r="P45" s="21">
        <v>0</v>
      </c>
      <c r="Q45" s="21">
        <v>0</v>
      </c>
      <c r="R45" s="21">
        <v>5939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</row>
    <row r="46" spans="1:24" x14ac:dyDescent="0.2">
      <c r="A46" s="20" t="s">
        <v>67</v>
      </c>
      <c r="B46" s="21">
        <v>150305</v>
      </c>
      <c r="C46" s="21">
        <v>7640</v>
      </c>
      <c r="D46" s="21">
        <v>5010</v>
      </c>
      <c r="E46" s="21">
        <v>13747</v>
      </c>
      <c r="F46" s="21">
        <v>8581</v>
      </c>
      <c r="G46" s="21">
        <v>10465</v>
      </c>
      <c r="H46" s="21">
        <v>7735</v>
      </c>
      <c r="I46" s="21">
        <v>3881</v>
      </c>
      <c r="J46" s="21">
        <v>7815</v>
      </c>
      <c r="K46" s="21">
        <v>6700</v>
      </c>
      <c r="L46" s="21">
        <v>7892</v>
      </c>
      <c r="M46" s="21">
        <v>9077</v>
      </c>
      <c r="N46" s="21">
        <v>26382</v>
      </c>
      <c r="O46" s="21">
        <v>10878</v>
      </c>
      <c r="P46" s="21">
        <v>11164</v>
      </c>
      <c r="Q46" s="21">
        <v>6810</v>
      </c>
      <c r="R46" s="21">
        <v>6526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</row>
    <row r="47" spans="1:24" x14ac:dyDescent="0.2">
      <c r="A47" s="20" t="s">
        <v>68</v>
      </c>
      <c r="B47" s="23">
        <v>239567</v>
      </c>
      <c r="C47" s="23">
        <v>7640</v>
      </c>
      <c r="D47" s="23">
        <v>10515</v>
      </c>
      <c r="E47" s="23">
        <v>13747</v>
      </c>
      <c r="F47" s="23">
        <v>8582</v>
      </c>
      <c r="G47" s="23">
        <v>10627</v>
      </c>
      <c r="H47" s="23">
        <v>7745</v>
      </c>
      <c r="I47" s="23">
        <v>3883</v>
      </c>
      <c r="J47" s="23">
        <v>15170</v>
      </c>
      <c r="K47" s="23">
        <v>13473</v>
      </c>
      <c r="L47" s="23">
        <v>33853</v>
      </c>
      <c r="M47" s="23">
        <v>13463</v>
      </c>
      <c r="N47" s="23">
        <v>49025</v>
      </c>
      <c r="O47" s="23">
        <v>13932</v>
      </c>
      <c r="P47" s="23">
        <v>11229</v>
      </c>
      <c r="Q47" s="23">
        <v>6810</v>
      </c>
      <c r="R47" s="23">
        <v>12561</v>
      </c>
      <c r="S47" s="23">
        <v>0</v>
      </c>
      <c r="T47" s="23">
        <v>0</v>
      </c>
      <c r="U47" s="23">
        <v>950</v>
      </c>
      <c r="V47" s="23">
        <v>6145</v>
      </c>
      <c r="W47" s="23">
        <v>215</v>
      </c>
      <c r="X47" s="23">
        <v>0</v>
      </c>
    </row>
    <row r="48" spans="1:24" x14ac:dyDescent="0.2">
      <c r="A48" s="20" t="s">
        <v>69</v>
      </c>
      <c r="B48" s="40">
        <v>-532029</v>
      </c>
      <c r="C48" s="40">
        <v>-15208</v>
      </c>
      <c r="D48" s="40">
        <v>-41327</v>
      </c>
      <c r="E48" s="40">
        <v>-4605</v>
      </c>
      <c r="F48" s="40">
        <v>15456</v>
      </c>
      <c r="G48" s="40">
        <v>-23470</v>
      </c>
      <c r="H48" s="40">
        <v>-16580</v>
      </c>
      <c r="I48" s="40">
        <v>11320</v>
      </c>
      <c r="J48" s="40">
        <v>-24421</v>
      </c>
      <c r="K48" s="40">
        <v>-97042</v>
      </c>
      <c r="L48" s="40">
        <v>-56635</v>
      </c>
      <c r="M48" s="40">
        <v>21966</v>
      </c>
      <c r="N48" s="40">
        <v>125019</v>
      </c>
      <c r="O48" s="40">
        <v>-97023</v>
      </c>
      <c r="P48" s="40">
        <v>-178038</v>
      </c>
      <c r="Q48" s="40">
        <v>-90547</v>
      </c>
      <c r="R48" s="40">
        <v>-52428</v>
      </c>
      <c r="S48" s="40">
        <v>-8297</v>
      </c>
      <c r="T48" s="40">
        <v>-1720</v>
      </c>
      <c r="U48" s="40">
        <v>-30252</v>
      </c>
      <c r="V48" s="40">
        <v>9100</v>
      </c>
      <c r="W48" s="40">
        <v>26458</v>
      </c>
      <c r="X48" s="40">
        <v>-3757</v>
      </c>
    </row>
    <row r="49" spans="1:24" x14ac:dyDescent="0.2">
      <c r="A49" s="20" t="s">
        <v>70</v>
      </c>
      <c r="B49" s="41">
        <v>-532029</v>
      </c>
      <c r="C49" s="41">
        <v>-15208</v>
      </c>
      <c r="D49" s="41">
        <v>-41327</v>
      </c>
      <c r="E49" s="41">
        <v>-4605</v>
      </c>
      <c r="F49" s="41">
        <v>15456</v>
      </c>
      <c r="G49" s="41">
        <v>-23470</v>
      </c>
      <c r="H49" s="41">
        <v>-16580</v>
      </c>
      <c r="I49" s="41">
        <v>11320</v>
      </c>
      <c r="J49" s="41">
        <v>-24421</v>
      </c>
      <c r="K49" s="41">
        <v>-97042</v>
      </c>
      <c r="L49" s="41">
        <v>-56635</v>
      </c>
      <c r="M49" s="41">
        <v>21966</v>
      </c>
      <c r="N49" s="41">
        <v>125019</v>
      </c>
      <c r="O49" s="41">
        <v>-97023</v>
      </c>
      <c r="P49" s="41">
        <v>-178038</v>
      </c>
      <c r="Q49" s="41">
        <v>-90547</v>
      </c>
      <c r="R49" s="41">
        <v>-52428</v>
      </c>
      <c r="S49" s="41">
        <v>-8297</v>
      </c>
      <c r="T49" s="41">
        <v>-1720</v>
      </c>
      <c r="U49" s="41">
        <v>-30252</v>
      </c>
      <c r="V49" s="41">
        <v>9100</v>
      </c>
      <c r="W49" s="41">
        <v>26458</v>
      </c>
      <c r="X49" s="41">
        <v>-3757</v>
      </c>
    </row>
    <row r="50" spans="1:24" x14ac:dyDescent="0.2">
      <c r="A50" s="36" t="s">
        <v>6</v>
      </c>
    </row>
    <row r="51" spans="1:24" x14ac:dyDescent="0.2">
      <c r="A51" s="36" t="s">
        <v>397</v>
      </c>
      <c r="B51" s="42">
        <f>B49+B32+B31+B30+B29+B27</f>
        <v>44093</v>
      </c>
      <c r="C51" s="42">
        <f t="shared" ref="C51:V51" si="0">C49+C32+C31+C30+C29+C27</f>
        <v>21306</v>
      </c>
      <c r="D51" s="42">
        <f t="shared" si="0"/>
        <v>-20358</v>
      </c>
      <c r="E51" s="42">
        <f t="shared" si="0"/>
        <v>16472</v>
      </c>
      <c r="F51" s="42">
        <f t="shared" si="0"/>
        <v>35963</v>
      </c>
      <c r="G51" s="42">
        <f t="shared" si="0"/>
        <v>9525</v>
      </c>
      <c r="H51" s="42">
        <f t="shared" si="0"/>
        <v>5564</v>
      </c>
      <c r="I51" s="42">
        <f t="shared" si="0"/>
        <v>31682</v>
      </c>
      <c r="J51" s="42">
        <f t="shared" si="0"/>
        <v>5204</v>
      </c>
      <c r="K51" s="42">
        <f t="shared" si="0"/>
        <v>-73088</v>
      </c>
      <c r="L51" s="42">
        <f t="shared" si="0"/>
        <v>-20919</v>
      </c>
      <c r="M51" s="42">
        <f t="shared" si="0"/>
        <v>56020</v>
      </c>
      <c r="N51" s="42">
        <f t="shared" si="0"/>
        <v>196372</v>
      </c>
      <c r="O51" s="42">
        <f t="shared" si="0"/>
        <v>-47974</v>
      </c>
      <c r="P51" s="42">
        <f t="shared" si="0"/>
        <v>-132230</v>
      </c>
      <c r="Q51" s="42">
        <f t="shared" si="0"/>
        <v>-48045</v>
      </c>
      <c r="R51" s="42">
        <f t="shared" si="0"/>
        <v>-13998</v>
      </c>
      <c r="S51" s="42">
        <f t="shared" si="0"/>
        <v>-3858</v>
      </c>
      <c r="T51" s="42">
        <f t="shared" si="0"/>
        <v>4959</v>
      </c>
      <c r="U51" s="42">
        <f t="shared" si="0"/>
        <v>-24618</v>
      </c>
      <c r="V51" s="42">
        <f t="shared" si="0"/>
        <v>16478</v>
      </c>
      <c r="W51" s="42">
        <f>W49+W32+W31+W30+W29+W27</f>
        <v>33393</v>
      </c>
      <c r="X51" s="42">
        <f>X49+X32+X31+X30+X29+X27</f>
        <v>-3757</v>
      </c>
    </row>
    <row r="52" spans="1:24" x14ac:dyDescent="0.2">
      <c r="A52" s="36" t="s">
        <v>6</v>
      </c>
    </row>
    <row r="53" spans="1:24" x14ac:dyDescent="0.2">
      <c r="A53" s="43" t="s">
        <v>392</v>
      </c>
    </row>
    <row r="54" spans="1:24" x14ac:dyDescent="0.2">
      <c r="A54" s="22" t="s">
        <v>393</v>
      </c>
      <c r="B54" s="21">
        <v>96000</v>
      </c>
      <c r="C54" s="21">
        <v>2500</v>
      </c>
      <c r="D54" s="21">
        <v>2500</v>
      </c>
      <c r="E54" s="21">
        <v>2500</v>
      </c>
      <c r="F54" s="21">
        <v>2500</v>
      </c>
      <c r="G54" s="21">
        <v>2500</v>
      </c>
      <c r="H54" s="21">
        <v>2500</v>
      </c>
      <c r="I54" s="21">
        <v>5000</v>
      </c>
      <c r="J54" s="21">
        <v>10000</v>
      </c>
      <c r="K54" s="21">
        <v>10000</v>
      </c>
      <c r="L54" s="21">
        <v>10000</v>
      </c>
      <c r="M54" s="21">
        <v>10000</v>
      </c>
      <c r="N54" s="21">
        <v>10000</v>
      </c>
      <c r="O54" s="21">
        <v>10000</v>
      </c>
      <c r="P54" s="21">
        <v>10000</v>
      </c>
      <c r="Q54" s="21">
        <v>3000</v>
      </c>
      <c r="R54" s="21">
        <v>3000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</row>
    <row r="55" spans="1:24" x14ac:dyDescent="0.2">
      <c r="A55" s="22" t="s">
        <v>394</v>
      </c>
      <c r="B55" s="21">
        <v>6395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514</v>
      </c>
      <c r="K55" s="21">
        <v>408</v>
      </c>
      <c r="L55" s="21">
        <v>559</v>
      </c>
      <c r="M55" s="21">
        <v>716</v>
      </c>
      <c r="N55" s="21">
        <v>1535</v>
      </c>
      <c r="O55" s="21">
        <v>824</v>
      </c>
      <c r="P55" s="21">
        <v>754</v>
      </c>
      <c r="Q55" s="21">
        <v>606</v>
      </c>
      <c r="R55" s="21">
        <v>0</v>
      </c>
      <c r="S55" s="21">
        <v>264</v>
      </c>
      <c r="T55" s="21">
        <v>0</v>
      </c>
      <c r="U55" s="21">
        <v>216</v>
      </c>
      <c r="V55" s="21">
        <v>0</v>
      </c>
      <c r="W55" s="21">
        <v>0</v>
      </c>
      <c r="X55" s="21">
        <v>0</v>
      </c>
    </row>
    <row r="56" spans="1:24" x14ac:dyDescent="0.2">
      <c r="A56" s="22" t="s">
        <v>395</v>
      </c>
      <c r="B56" s="21">
        <v>8915</v>
      </c>
      <c r="C56" s="21">
        <v>730</v>
      </c>
      <c r="D56" s="21">
        <v>579</v>
      </c>
      <c r="E56" s="21">
        <v>634</v>
      </c>
      <c r="F56" s="21">
        <v>1735</v>
      </c>
      <c r="G56" s="21">
        <v>0</v>
      </c>
      <c r="H56" s="21">
        <v>528</v>
      </c>
      <c r="I56" s="21">
        <v>492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1089</v>
      </c>
      <c r="R56" s="21">
        <v>3131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</row>
    <row r="57" spans="1:24" s="44" customFormat="1" x14ac:dyDescent="0.2">
      <c r="A57" s="44" t="s">
        <v>396</v>
      </c>
      <c r="B57" s="45">
        <v>167000</v>
      </c>
      <c r="C57" s="45">
        <v>11000</v>
      </c>
      <c r="D57" s="45">
        <v>11000</v>
      </c>
      <c r="E57" s="45">
        <v>11000</v>
      </c>
      <c r="F57" s="45">
        <v>11000</v>
      </c>
      <c r="G57" s="45">
        <v>11000</v>
      </c>
      <c r="H57" s="45">
        <v>11000</v>
      </c>
      <c r="I57" s="45">
        <v>11000</v>
      </c>
      <c r="J57" s="45">
        <v>8000</v>
      </c>
      <c r="K57" s="45">
        <v>8000</v>
      </c>
      <c r="L57" s="45">
        <v>8000</v>
      </c>
      <c r="M57" s="45">
        <v>8000</v>
      </c>
      <c r="N57" s="45">
        <v>8000</v>
      </c>
      <c r="O57" s="45">
        <v>8000</v>
      </c>
      <c r="P57" s="45">
        <v>8000</v>
      </c>
      <c r="Q57" s="45">
        <v>11000</v>
      </c>
      <c r="R57" s="45">
        <v>11000</v>
      </c>
      <c r="S57" s="45">
        <v>2000</v>
      </c>
      <c r="T57" s="45">
        <v>2000</v>
      </c>
      <c r="U57" s="45">
        <v>2000</v>
      </c>
      <c r="V57" s="45">
        <v>2000</v>
      </c>
      <c r="W57" s="45">
        <v>2000</v>
      </c>
      <c r="X57" s="45">
        <v>2000</v>
      </c>
    </row>
    <row r="58" spans="1:24" x14ac:dyDescent="0.2">
      <c r="A58" s="46" t="s">
        <v>400</v>
      </c>
      <c r="B58" s="53">
        <v>92467</v>
      </c>
      <c r="C58" s="53">
        <v>3730</v>
      </c>
      <c r="D58" s="53">
        <v>6230</v>
      </c>
      <c r="E58" s="53">
        <v>5080</v>
      </c>
      <c r="F58" s="53">
        <v>6731</v>
      </c>
      <c r="G58" s="53">
        <v>6230</v>
      </c>
      <c r="H58" s="53">
        <v>5231</v>
      </c>
      <c r="I58" s="53">
        <v>5230</v>
      </c>
      <c r="J58" s="53">
        <v>4000</v>
      </c>
      <c r="K58" s="53">
        <v>3400</v>
      </c>
      <c r="L58" s="53">
        <v>5500</v>
      </c>
      <c r="M58" s="53">
        <v>7450</v>
      </c>
      <c r="N58" s="53">
        <v>5750</v>
      </c>
      <c r="O58" s="53">
        <v>4450</v>
      </c>
      <c r="P58" s="53">
        <v>4900</v>
      </c>
      <c r="Q58" s="53">
        <v>6750</v>
      </c>
      <c r="R58" s="53">
        <v>8305</v>
      </c>
      <c r="S58" s="53">
        <v>600</v>
      </c>
      <c r="T58" s="53">
        <v>550</v>
      </c>
      <c r="U58" s="53">
        <v>600</v>
      </c>
      <c r="V58" s="53">
        <v>650</v>
      </c>
      <c r="W58" s="53">
        <v>600</v>
      </c>
      <c r="X58" s="53">
        <v>500</v>
      </c>
    </row>
    <row r="59" spans="1:24" x14ac:dyDescent="0.2">
      <c r="A59" s="47" t="s">
        <v>398</v>
      </c>
      <c r="B59" s="48">
        <f>SUM(B54:B58)</f>
        <v>370777</v>
      </c>
      <c r="C59" s="48">
        <f>SUM(C54:C58)</f>
        <v>17960</v>
      </c>
      <c r="D59" s="48">
        <f>SUM(D54:D58)</f>
        <v>20309</v>
      </c>
      <c r="E59" s="48">
        <f t="shared" ref="E59:W59" si="1">SUM(E54:E58)</f>
        <v>19214</v>
      </c>
      <c r="F59" s="48">
        <f t="shared" si="1"/>
        <v>21966</v>
      </c>
      <c r="G59" s="48">
        <f t="shared" si="1"/>
        <v>19730</v>
      </c>
      <c r="H59" s="48">
        <f t="shared" si="1"/>
        <v>19259</v>
      </c>
      <c r="I59" s="48">
        <f t="shared" si="1"/>
        <v>21722</v>
      </c>
      <c r="J59" s="48">
        <f t="shared" si="1"/>
        <v>22514</v>
      </c>
      <c r="K59" s="48">
        <f t="shared" si="1"/>
        <v>21808</v>
      </c>
      <c r="L59" s="48">
        <f t="shared" si="1"/>
        <v>24059</v>
      </c>
      <c r="M59" s="48">
        <f t="shared" si="1"/>
        <v>26166</v>
      </c>
      <c r="N59" s="48">
        <f t="shared" si="1"/>
        <v>25285</v>
      </c>
      <c r="O59" s="48">
        <f t="shared" si="1"/>
        <v>23274</v>
      </c>
      <c r="P59" s="48">
        <f t="shared" si="1"/>
        <v>23654</v>
      </c>
      <c r="Q59" s="48">
        <f t="shared" si="1"/>
        <v>22445</v>
      </c>
      <c r="R59" s="48">
        <f t="shared" si="1"/>
        <v>25436</v>
      </c>
      <c r="S59" s="48">
        <f t="shared" si="1"/>
        <v>2864</v>
      </c>
      <c r="T59" s="48">
        <f t="shared" si="1"/>
        <v>2550</v>
      </c>
      <c r="U59" s="48">
        <f t="shared" si="1"/>
        <v>2816</v>
      </c>
      <c r="V59" s="48">
        <f t="shared" si="1"/>
        <v>2650</v>
      </c>
      <c r="W59" s="48">
        <f t="shared" si="1"/>
        <v>2600</v>
      </c>
      <c r="X59" s="48">
        <f>SUM(X54:X58)</f>
        <v>2500</v>
      </c>
    </row>
    <row r="60" spans="1:24" x14ac:dyDescent="0.2">
      <c r="A60" s="43" t="s">
        <v>399</v>
      </c>
      <c r="B60" s="42">
        <f>B59+B51</f>
        <v>414870</v>
      </c>
      <c r="C60" s="42">
        <f t="shared" ref="C60:X60" si="2">C59+C51</f>
        <v>39266</v>
      </c>
      <c r="D60" s="42">
        <f t="shared" si="2"/>
        <v>-49</v>
      </c>
      <c r="E60" s="42">
        <f t="shared" si="2"/>
        <v>35686</v>
      </c>
      <c r="F60" s="42">
        <f t="shared" si="2"/>
        <v>57929</v>
      </c>
      <c r="G60" s="42">
        <f t="shared" si="2"/>
        <v>29255</v>
      </c>
      <c r="H60" s="42">
        <f t="shared" si="2"/>
        <v>24823</v>
      </c>
      <c r="I60" s="42">
        <f t="shared" si="2"/>
        <v>53404</v>
      </c>
      <c r="J60" s="42">
        <f t="shared" si="2"/>
        <v>27718</v>
      </c>
      <c r="K60" s="42">
        <f t="shared" si="2"/>
        <v>-51280</v>
      </c>
      <c r="L60" s="42">
        <f t="shared" si="2"/>
        <v>3140</v>
      </c>
      <c r="M60" s="42">
        <f t="shared" si="2"/>
        <v>82186</v>
      </c>
      <c r="N60" s="42">
        <f t="shared" si="2"/>
        <v>221657</v>
      </c>
      <c r="O60" s="42">
        <f t="shared" si="2"/>
        <v>-24700</v>
      </c>
      <c r="P60" s="42">
        <f t="shared" si="2"/>
        <v>-108576</v>
      </c>
      <c r="Q60" s="42">
        <f t="shared" si="2"/>
        <v>-25600</v>
      </c>
      <c r="R60" s="42">
        <f t="shared" si="2"/>
        <v>11438</v>
      </c>
      <c r="S60" s="42">
        <f t="shared" si="2"/>
        <v>-994</v>
      </c>
      <c r="T60" s="42">
        <f t="shared" si="2"/>
        <v>7509</v>
      </c>
      <c r="U60" s="42">
        <f t="shared" si="2"/>
        <v>-21802</v>
      </c>
      <c r="V60" s="42">
        <f t="shared" si="2"/>
        <v>19128</v>
      </c>
      <c r="W60" s="42">
        <f t="shared" si="2"/>
        <v>35993</v>
      </c>
      <c r="X60" s="42">
        <f t="shared" si="2"/>
        <v>-1257</v>
      </c>
    </row>
  </sheetData>
  <pageMargins left="0.75" right="0.75" top="1" bottom="1" header="0.5" footer="0.5"/>
  <pageSetup orientation="portrait" horizontalDpi="300" verticalDpi="300" r:id="rId1"/>
  <ignoredErrors>
    <ignoredError sqref="A52:IV52 A61:IV65538 B53:IV53 A1:IV50 Y59:IV60 Y54:IV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3"/>
  <sheetViews>
    <sheetView topLeftCell="A71" workbookViewId="0">
      <selection activeCell="B79" sqref="B79:X79"/>
    </sheetView>
  </sheetViews>
  <sheetFormatPr defaultColWidth="9.140625" defaultRowHeight="12.75" x14ac:dyDescent="0.2"/>
  <cols>
    <col min="1" max="1" width="47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71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37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38</v>
      </c>
      <c r="B12" s="4" t="s">
        <v>72</v>
      </c>
      <c r="C12" s="4" t="s">
        <v>72</v>
      </c>
      <c r="D12" s="4" t="s">
        <v>72</v>
      </c>
      <c r="E12" s="4" t="s">
        <v>72</v>
      </c>
      <c r="F12" s="4" t="s">
        <v>72</v>
      </c>
      <c r="G12" s="4" t="s">
        <v>72</v>
      </c>
      <c r="H12" s="4" t="s">
        <v>72</v>
      </c>
      <c r="I12" s="4" t="s">
        <v>72</v>
      </c>
      <c r="J12" s="4" t="s">
        <v>72</v>
      </c>
      <c r="K12" s="4" t="s">
        <v>72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 t="s">
        <v>72</v>
      </c>
      <c r="S12" s="4" t="s">
        <v>72</v>
      </c>
      <c r="T12" s="4" t="s">
        <v>72</v>
      </c>
      <c r="U12" s="4" t="s">
        <v>72</v>
      </c>
      <c r="V12" s="4" t="s">
        <v>72</v>
      </c>
      <c r="W12" s="4" t="s">
        <v>72</v>
      </c>
      <c r="X12" s="4" t="s">
        <v>72</v>
      </c>
    </row>
    <row r="13" spans="1:24" x14ac:dyDescent="0.2">
      <c r="A13" s="4" t="s">
        <v>73</v>
      </c>
      <c r="B13" s="9">
        <v>2202444</v>
      </c>
      <c r="C13" s="9">
        <v>98011</v>
      </c>
      <c r="D13" s="9">
        <v>110474</v>
      </c>
      <c r="E13" s="9">
        <v>103216</v>
      </c>
      <c r="F13" s="9">
        <v>115019</v>
      </c>
      <c r="G13" s="9">
        <v>101566</v>
      </c>
      <c r="H13" s="9">
        <v>100921</v>
      </c>
      <c r="I13" s="9">
        <v>67794</v>
      </c>
      <c r="J13" s="9">
        <v>106204</v>
      </c>
      <c r="K13" s="9">
        <v>77072</v>
      </c>
      <c r="L13" s="9">
        <v>139241</v>
      </c>
      <c r="M13" s="9">
        <v>147374</v>
      </c>
      <c r="N13" s="9">
        <v>283176</v>
      </c>
      <c r="O13" s="9">
        <v>146983</v>
      </c>
      <c r="P13" s="9">
        <v>177297</v>
      </c>
      <c r="Q13" s="9">
        <v>148120</v>
      </c>
      <c r="R13" s="9">
        <v>124821</v>
      </c>
      <c r="S13" s="9">
        <v>47691</v>
      </c>
      <c r="T13" s="9">
        <v>35413</v>
      </c>
      <c r="U13" s="9">
        <v>22945</v>
      </c>
      <c r="V13" s="9">
        <v>37795</v>
      </c>
      <c r="W13" s="9">
        <v>11314</v>
      </c>
      <c r="X13" s="9">
        <v>0</v>
      </c>
    </row>
    <row r="14" spans="1:24" x14ac:dyDescent="0.2">
      <c r="A14" s="4" t="s">
        <v>74</v>
      </c>
      <c r="B14" s="9">
        <v>188616</v>
      </c>
      <c r="C14" s="9">
        <v>14288</v>
      </c>
      <c r="D14" s="9">
        <v>5924</v>
      </c>
      <c r="E14" s="9">
        <v>8111</v>
      </c>
      <c r="F14" s="9">
        <v>10632</v>
      </c>
      <c r="G14" s="9">
        <v>10022</v>
      </c>
      <c r="H14" s="9">
        <v>2133</v>
      </c>
      <c r="I14" s="9">
        <v>4668</v>
      </c>
      <c r="J14" s="9">
        <v>9001</v>
      </c>
      <c r="K14" s="9">
        <v>4363</v>
      </c>
      <c r="L14" s="9">
        <v>5409</v>
      </c>
      <c r="M14" s="9">
        <v>8543</v>
      </c>
      <c r="N14" s="9">
        <v>23549</v>
      </c>
      <c r="O14" s="9">
        <v>8561</v>
      </c>
      <c r="P14" s="9">
        <v>17107</v>
      </c>
      <c r="Q14" s="9">
        <v>29974</v>
      </c>
      <c r="R14" s="9">
        <v>23857</v>
      </c>
      <c r="S14" s="9">
        <v>142</v>
      </c>
      <c r="T14" s="9">
        <v>995</v>
      </c>
      <c r="U14" s="9">
        <v>415</v>
      </c>
      <c r="V14" s="9">
        <v>726</v>
      </c>
      <c r="W14" s="9">
        <v>193</v>
      </c>
      <c r="X14" s="9">
        <v>0</v>
      </c>
    </row>
    <row r="15" spans="1:24" x14ac:dyDescent="0.2">
      <c r="A15" s="4" t="s">
        <v>75</v>
      </c>
      <c r="B15" s="9">
        <v>18555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2017</v>
      </c>
      <c r="L15" s="9">
        <v>2357</v>
      </c>
      <c r="M15" s="9">
        <v>0</v>
      </c>
      <c r="N15" s="9">
        <v>3638</v>
      </c>
      <c r="O15" s="9">
        <v>2786</v>
      </c>
      <c r="P15" s="9">
        <v>7757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4" t="s">
        <v>76</v>
      </c>
      <c r="B16" s="9">
        <v>2944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625</v>
      </c>
      <c r="M16" s="9">
        <v>0</v>
      </c>
      <c r="N16" s="9">
        <v>1085</v>
      </c>
      <c r="O16" s="9">
        <v>230</v>
      </c>
      <c r="P16" s="9">
        <v>360</v>
      </c>
      <c r="Q16" s="9">
        <v>-228</v>
      </c>
      <c r="R16" s="9">
        <v>872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">
      <c r="A17" s="4" t="s">
        <v>77</v>
      </c>
      <c r="B17" s="9">
        <v>106971</v>
      </c>
      <c r="C17" s="9">
        <v>3765</v>
      </c>
      <c r="D17" s="9">
        <v>9315</v>
      </c>
      <c r="E17" s="9">
        <v>6524</v>
      </c>
      <c r="F17" s="9">
        <v>3496</v>
      </c>
      <c r="G17" s="9">
        <v>4029</v>
      </c>
      <c r="H17" s="9">
        <v>6584</v>
      </c>
      <c r="I17" s="9">
        <v>3384</v>
      </c>
      <c r="J17" s="9">
        <v>5046</v>
      </c>
      <c r="K17" s="9">
        <v>1279</v>
      </c>
      <c r="L17" s="9">
        <v>7515</v>
      </c>
      <c r="M17" s="9">
        <v>7836</v>
      </c>
      <c r="N17" s="9">
        <v>14722</v>
      </c>
      <c r="O17" s="9">
        <v>7876</v>
      </c>
      <c r="P17" s="9">
        <v>6852</v>
      </c>
      <c r="Q17" s="9">
        <v>6084</v>
      </c>
      <c r="R17" s="9">
        <v>6243</v>
      </c>
      <c r="S17" s="9">
        <v>863</v>
      </c>
      <c r="T17" s="9">
        <v>1443</v>
      </c>
      <c r="U17" s="9">
        <v>1400</v>
      </c>
      <c r="V17" s="9">
        <v>2394</v>
      </c>
      <c r="W17" s="9">
        <v>322</v>
      </c>
      <c r="X17" s="9">
        <v>0</v>
      </c>
    </row>
    <row r="18" spans="1:24" x14ac:dyDescent="0.2">
      <c r="A18" s="4" t="s">
        <v>78</v>
      </c>
      <c r="B18" s="9">
        <v>300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50</v>
      </c>
      <c r="K18" s="9">
        <v>50</v>
      </c>
      <c r="L18" s="9">
        <v>50</v>
      </c>
      <c r="M18" s="9">
        <v>50</v>
      </c>
      <c r="N18" s="9">
        <v>50</v>
      </c>
      <c r="O18" s="9">
        <v>0</v>
      </c>
      <c r="P18" s="9">
        <v>50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">
      <c r="A19" s="4" t="s">
        <v>79</v>
      </c>
      <c r="B19" s="9">
        <v>57383</v>
      </c>
      <c r="C19" s="9">
        <v>4802</v>
      </c>
      <c r="D19" s="9">
        <v>3159</v>
      </c>
      <c r="E19" s="9">
        <v>3320</v>
      </c>
      <c r="F19" s="9">
        <v>5143</v>
      </c>
      <c r="G19" s="9">
        <v>3178</v>
      </c>
      <c r="H19" s="9">
        <v>3532</v>
      </c>
      <c r="I19" s="9">
        <v>1507</v>
      </c>
      <c r="J19" s="9">
        <v>1652</v>
      </c>
      <c r="K19" s="9">
        <v>515</v>
      </c>
      <c r="L19" s="9">
        <v>3561</v>
      </c>
      <c r="M19" s="9">
        <v>3728</v>
      </c>
      <c r="N19" s="9">
        <v>4028</v>
      </c>
      <c r="O19" s="9">
        <v>3988</v>
      </c>
      <c r="P19" s="9">
        <v>6058</v>
      </c>
      <c r="Q19" s="9">
        <v>3956</v>
      </c>
      <c r="R19" s="9">
        <v>4048</v>
      </c>
      <c r="S19" s="9">
        <v>75</v>
      </c>
      <c r="T19" s="9">
        <v>371</v>
      </c>
      <c r="U19" s="9">
        <v>431</v>
      </c>
      <c r="V19" s="9">
        <v>18</v>
      </c>
      <c r="W19" s="9">
        <v>311</v>
      </c>
      <c r="X19" s="9">
        <v>0</v>
      </c>
    </row>
    <row r="20" spans="1:24" x14ac:dyDescent="0.2">
      <c r="A20" s="4" t="s">
        <v>80</v>
      </c>
      <c r="B20" s="9">
        <v>9903</v>
      </c>
      <c r="C20" s="9">
        <v>1506</v>
      </c>
      <c r="D20" s="9">
        <v>0</v>
      </c>
      <c r="E20" s="9">
        <v>547</v>
      </c>
      <c r="F20" s="9">
        <v>1309</v>
      </c>
      <c r="G20" s="9">
        <v>282</v>
      </c>
      <c r="H20" s="9">
        <v>371</v>
      </c>
      <c r="I20" s="9">
        <v>0</v>
      </c>
      <c r="J20" s="9">
        <v>666</v>
      </c>
      <c r="K20" s="9">
        <v>273</v>
      </c>
      <c r="L20" s="9">
        <v>92</v>
      </c>
      <c r="M20" s="9">
        <v>1021</v>
      </c>
      <c r="N20" s="9">
        <v>936</v>
      </c>
      <c r="O20" s="9">
        <v>0</v>
      </c>
      <c r="P20" s="9">
        <v>1472</v>
      </c>
      <c r="Q20" s="9">
        <v>97</v>
      </c>
      <c r="R20" s="9">
        <v>1271</v>
      </c>
      <c r="S20" s="9">
        <v>0</v>
      </c>
      <c r="T20" s="9">
        <v>0</v>
      </c>
      <c r="U20" s="9">
        <v>60</v>
      </c>
      <c r="V20" s="9">
        <v>0</v>
      </c>
      <c r="W20" s="9">
        <v>0</v>
      </c>
      <c r="X20" s="9">
        <v>0</v>
      </c>
    </row>
    <row r="21" spans="1:24" x14ac:dyDescent="0.2">
      <c r="A21" s="4" t="s">
        <v>81</v>
      </c>
      <c r="B21" s="9">
        <v>16749</v>
      </c>
      <c r="C21" s="9">
        <v>689</v>
      </c>
      <c r="D21" s="9">
        <v>222</v>
      </c>
      <c r="E21" s="9">
        <v>0</v>
      </c>
      <c r="F21" s="9">
        <v>0</v>
      </c>
      <c r="G21" s="9">
        <v>194</v>
      </c>
      <c r="H21" s="9">
        <v>797</v>
      </c>
      <c r="I21" s="9">
        <v>59</v>
      </c>
      <c r="J21" s="9">
        <v>811</v>
      </c>
      <c r="K21" s="9">
        <v>0</v>
      </c>
      <c r="L21" s="9">
        <v>5275</v>
      </c>
      <c r="M21" s="9">
        <v>1149</v>
      </c>
      <c r="N21" s="9">
        <v>510</v>
      </c>
      <c r="O21" s="9">
        <v>0</v>
      </c>
      <c r="P21" s="9">
        <v>1610</v>
      </c>
      <c r="Q21" s="9">
        <v>4708</v>
      </c>
      <c r="R21" s="9">
        <v>593</v>
      </c>
      <c r="S21" s="9">
        <v>0</v>
      </c>
      <c r="T21" s="9">
        <v>0</v>
      </c>
      <c r="U21" s="9">
        <v>0</v>
      </c>
      <c r="V21" s="9">
        <v>134</v>
      </c>
      <c r="W21" s="9">
        <v>0</v>
      </c>
      <c r="X21" s="9">
        <v>0</v>
      </c>
    </row>
    <row r="22" spans="1:24" x14ac:dyDescent="0.2">
      <c r="A22" s="4" t="s">
        <v>82</v>
      </c>
      <c r="B22" s="9">
        <v>-612</v>
      </c>
      <c r="C22" s="9">
        <v>28</v>
      </c>
      <c r="D22" s="9">
        <v>276</v>
      </c>
      <c r="E22" s="9">
        <v>217</v>
      </c>
      <c r="F22" s="9">
        <v>139</v>
      </c>
      <c r="G22" s="9">
        <v>58</v>
      </c>
      <c r="H22" s="9">
        <v>238</v>
      </c>
      <c r="I22" s="9">
        <v>0</v>
      </c>
      <c r="J22" s="9">
        <v>2024</v>
      </c>
      <c r="K22" s="9">
        <v>-489</v>
      </c>
      <c r="L22" s="9">
        <v>-3527</v>
      </c>
      <c r="M22" s="9">
        <v>288</v>
      </c>
      <c r="N22" s="9">
        <v>55</v>
      </c>
      <c r="O22" s="9">
        <v>23</v>
      </c>
      <c r="P22" s="9">
        <v>55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4" t="s">
        <v>83</v>
      </c>
      <c r="B23" s="9">
        <v>2618</v>
      </c>
      <c r="C23" s="9">
        <v>0</v>
      </c>
      <c r="D23" s="9">
        <v>21</v>
      </c>
      <c r="E23" s="9">
        <v>49</v>
      </c>
      <c r="F23" s="9">
        <v>0</v>
      </c>
      <c r="G23" s="9">
        <v>0</v>
      </c>
      <c r="H23" s="9">
        <v>251</v>
      </c>
      <c r="I23" s="9">
        <v>5</v>
      </c>
      <c r="J23" s="9">
        <v>64</v>
      </c>
      <c r="K23" s="9">
        <v>0</v>
      </c>
      <c r="L23" s="9">
        <v>246</v>
      </c>
      <c r="M23" s="9">
        <v>274</v>
      </c>
      <c r="N23" s="9">
        <v>109</v>
      </c>
      <c r="O23" s="9">
        <v>60</v>
      </c>
      <c r="P23" s="9">
        <v>308</v>
      </c>
      <c r="Q23" s="9">
        <v>18</v>
      </c>
      <c r="R23" s="9">
        <v>792</v>
      </c>
      <c r="S23" s="9">
        <v>0</v>
      </c>
      <c r="T23" s="9">
        <v>99</v>
      </c>
      <c r="U23" s="9">
        <v>34</v>
      </c>
      <c r="V23" s="9">
        <v>233</v>
      </c>
      <c r="W23" s="9">
        <v>55</v>
      </c>
      <c r="X23" s="9">
        <v>0</v>
      </c>
    </row>
    <row r="24" spans="1:24" x14ac:dyDescent="0.2">
      <c r="A24" s="4" t="s">
        <v>84</v>
      </c>
      <c r="B24" s="9">
        <v>4125</v>
      </c>
      <c r="C24" s="9">
        <v>615</v>
      </c>
      <c r="D24" s="9">
        <v>243</v>
      </c>
      <c r="E24" s="9">
        <v>183</v>
      </c>
      <c r="F24" s="9">
        <v>0</v>
      </c>
      <c r="G24" s="9">
        <v>357</v>
      </c>
      <c r="H24" s="9">
        <v>264</v>
      </c>
      <c r="I24" s="9">
        <v>314</v>
      </c>
      <c r="J24" s="9">
        <v>102</v>
      </c>
      <c r="K24" s="9">
        <v>191</v>
      </c>
      <c r="L24" s="9">
        <v>211</v>
      </c>
      <c r="M24" s="9">
        <v>586</v>
      </c>
      <c r="N24" s="9">
        <v>0</v>
      </c>
      <c r="O24" s="9">
        <v>426</v>
      </c>
      <c r="P24" s="9">
        <v>0</v>
      </c>
      <c r="Q24" s="9">
        <v>636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4" t="s">
        <v>85</v>
      </c>
      <c r="B25" s="9">
        <v>18552</v>
      </c>
      <c r="C25" s="9">
        <v>1663</v>
      </c>
      <c r="D25" s="9">
        <v>712</v>
      </c>
      <c r="E25" s="9">
        <v>604</v>
      </c>
      <c r="F25" s="9">
        <v>638</v>
      </c>
      <c r="G25" s="9">
        <v>1118</v>
      </c>
      <c r="H25" s="9">
        <v>225</v>
      </c>
      <c r="I25" s="9">
        <v>209</v>
      </c>
      <c r="J25" s="9">
        <v>492</v>
      </c>
      <c r="K25" s="9">
        <v>367</v>
      </c>
      <c r="L25" s="9">
        <v>545</v>
      </c>
      <c r="M25" s="9">
        <v>2136</v>
      </c>
      <c r="N25" s="9">
        <v>2216</v>
      </c>
      <c r="O25" s="9">
        <v>2205</v>
      </c>
      <c r="P25" s="9">
        <v>2581</v>
      </c>
      <c r="Q25" s="9">
        <v>2254</v>
      </c>
      <c r="R25" s="9">
        <v>587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1:24" x14ac:dyDescent="0.2">
      <c r="A26" s="4" t="s">
        <v>86</v>
      </c>
      <c r="B26" s="9">
        <v>145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145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1:24" x14ac:dyDescent="0.2">
      <c r="A27" s="4" t="s">
        <v>87</v>
      </c>
      <c r="B27" s="9">
        <v>9770</v>
      </c>
      <c r="C27" s="9">
        <v>794</v>
      </c>
      <c r="D27" s="9">
        <v>779</v>
      </c>
      <c r="E27" s="9">
        <v>0</v>
      </c>
      <c r="F27" s="9">
        <v>0</v>
      </c>
      <c r="G27" s="9">
        <v>239</v>
      </c>
      <c r="H27" s="9">
        <v>1209</v>
      </c>
      <c r="I27" s="9">
        <v>0</v>
      </c>
      <c r="J27" s="9">
        <v>62</v>
      </c>
      <c r="K27" s="9">
        <v>0</v>
      </c>
      <c r="L27" s="9">
        <v>464</v>
      </c>
      <c r="M27" s="9">
        <v>1585</v>
      </c>
      <c r="N27" s="9">
        <v>2184</v>
      </c>
      <c r="O27" s="9">
        <v>841</v>
      </c>
      <c r="P27" s="9">
        <v>470</v>
      </c>
      <c r="Q27" s="9">
        <v>639</v>
      </c>
      <c r="R27" s="9">
        <v>502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x14ac:dyDescent="0.2">
      <c r="A28" s="4" t="s">
        <v>88</v>
      </c>
      <c r="B28" s="9">
        <v>5312</v>
      </c>
      <c r="C28" s="9">
        <v>459</v>
      </c>
      <c r="D28" s="9">
        <v>247</v>
      </c>
      <c r="E28" s="9">
        <v>60</v>
      </c>
      <c r="F28" s="9">
        <v>310</v>
      </c>
      <c r="G28" s="9">
        <v>646</v>
      </c>
      <c r="H28" s="9">
        <v>168</v>
      </c>
      <c r="I28" s="9">
        <v>190</v>
      </c>
      <c r="J28" s="9">
        <v>90</v>
      </c>
      <c r="K28" s="9">
        <v>0</v>
      </c>
      <c r="L28" s="9">
        <v>480</v>
      </c>
      <c r="M28" s="9">
        <v>320</v>
      </c>
      <c r="N28" s="9">
        <v>602</v>
      </c>
      <c r="O28" s="9">
        <v>24</v>
      </c>
      <c r="P28" s="9">
        <v>205</v>
      </c>
      <c r="Q28" s="9">
        <v>60</v>
      </c>
      <c r="R28" s="9">
        <v>1192</v>
      </c>
      <c r="S28" s="9">
        <v>0</v>
      </c>
      <c r="T28" s="9">
        <v>46</v>
      </c>
      <c r="U28" s="9">
        <v>0</v>
      </c>
      <c r="V28" s="9">
        <v>215</v>
      </c>
      <c r="W28" s="9">
        <v>0</v>
      </c>
      <c r="X28" s="9">
        <v>0</v>
      </c>
    </row>
    <row r="29" spans="1:24" x14ac:dyDescent="0.2">
      <c r="A29" s="4" t="s">
        <v>89</v>
      </c>
      <c r="B29" s="9">
        <v>461</v>
      </c>
      <c r="C29" s="9">
        <v>0</v>
      </c>
      <c r="D29" s="9">
        <v>0</v>
      </c>
      <c r="E29" s="9">
        <v>0</v>
      </c>
      <c r="F29" s="9">
        <v>460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  <row r="30" spans="1:24" x14ac:dyDescent="0.2">
      <c r="A30" s="4" t="s">
        <v>90</v>
      </c>
      <c r="B30" s="9">
        <v>488108</v>
      </c>
      <c r="C30" s="9">
        <v>113914</v>
      </c>
      <c r="D30" s="9">
        <v>0</v>
      </c>
      <c r="E30" s="9">
        <v>12704</v>
      </c>
      <c r="F30" s="9">
        <v>26554</v>
      </c>
      <c r="G30" s="9">
        <v>29864</v>
      </c>
      <c r="H30" s="9">
        <v>0</v>
      </c>
      <c r="I30" s="9">
        <v>11584</v>
      </c>
      <c r="J30" s="9">
        <v>2041</v>
      </c>
      <c r="K30" s="9">
        <v>31375</v>
      </c>
      <c r="L30" s="9">
        <v>23659</v>
      </c>
      <c r="M30" s="9">
        <v>8675</v>
      </c>
      <c r="N30" s="9">
        <v>43706</v>
      </c>
      <c r="O30" s="9">
        <v>43288</v>
      </c>
      <c r="P30" s="9">
        <v>110948</v>
      </c>
      <c r="Q30" s="9">
        <v>6078</v>
      </c>
      <c r="R30" s="9">
        <v>23718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2">
      <c r="A31" s="4" t="s">
        <v>91</v>
      </c>
      <c r="B31" s="9">
        <v>317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17</v>
      </c>
      <c r="K31" s="9">
        <v>0</v>
      </c>
      <c r="L31" s="9">
        <v>100</v>
      </c>
      <c r="M31" s="9">
        <v>0</v>
      </c>
      <c r="N31" s="9">
        <v>100</v>
      </c>
      <c r="O31" s="9">
        <v>-50</v>
      </c>
      <c r="P31" s="9">
        <v>150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</row>
    <row r="32" spans="1:24" x14ac:dyDescent="0.2">
      <c r="A32" s="4" t="s">
        <v>92</v>
      </c>
      <c r="B32" s="9">
        <v>717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498</v>
      </c>
      <c r="R32" s="9">
        <v>219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2">
      <c r="A33" s="4" t="s">
        <v>93</v>
      </c>
      <c r="B33" s="9">
        <v>17100</v>
      </c>
      <c r="C33" s="9">
        <v>1300</v>
      </c>
      <c r="D33" s="9">
        <v>1300</v>
      </c>
      <c r="E33" s="9">
        <v>1000</v>
      </c>
      <c r="F33" s="9">
        <v>600</v>
      </c>
      <c r="G33" s="9">
        <v>1000</v>
      </c>
      <c r="H33" s="9">
        <v>-75</v>
      </c>
      <c r="I33" s="9">
        <v>375</v>
      </c>
      <c r="J33" s="9">
        <v>1500</v>
      </c>
      <c r="K33" s="9">
        <v>1500</v>
      </c>
      <c r="L33" s="9">
        <v>100</v>
      </c>
      <c r="M33" s="9">
        <v>1500</v>
      </c>
      <c r="N33" s="9">
        <v>1500</v>
      </c>
      <c r="O33" s="9">
        <v>1500</v>
      </c>
      <c r="P33" s="9">
        <v>1500</v>
      </c>
      <c r="Q33" s="9">
        <v>1500</v>
      </c>
      <c r="R33" s="9">
        <v>1000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</row>
    <row r="34" spans="1:24" x14ac:dyDescent="0.2">
      <c r="A34" s="4" t="s">
        <v>94</v>
      </c>
      <c r="B34" s="9">
        <v>6395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514</v>
      </c>
      <c r="K34" s="9">
        <v>408</v>
      </c>
      <c r="L34" s="9">
        <v>559</v>
      </c>
      <c r="M34" s="9">
        <v>716</v>
      </c>
      <c r="N34" s="9">
        <v>1535</v>
      </c>
      <c r="O34" s="9">
        <v>824</v>
      </c>
      <c r="P34" s="9">
        <v>754</v>
      </c>
      <c r="Q34" s="9">
        <v>606</v>
      </c>
      <c r="R34" s="9">
        <v>0</v>
      </c>
      <c r="S34" s="9">
        <v>264</v>
      </c>
      <c r="T34" s="9">
        <v>0</v>
      </c>
      <c r="U34" s="9">
        <v>216</v>
      </c>
      <c r="V34" s="9">
        <v>0</v>
      </c>
      <c r="W34" s="9">
        <v>0</v>
      </c>
      <c r="X34" s="9">
        <v>0</v>
      </c>
    </row>
    <row r="35" spans="1:24" x14ac:dyDescent="0.2">
      <c r="A35" s="4" t="s">
        <v>95</v>
      </c>
      <c r="B35" s="9">
        <v>96000</v>
      </c>
      <c r="C35" s="9">
        <v>2500</v>
      </c>
      <c r="D35" s="9">
        <v>2500</v>
      </c>
      <c r="E35" s="9">
        <v>2500</v>
      </c>
      <c r="F35" s="9">
        <v>2500</v>
      </c>
      <c r="G35" s="9">
        <v>2500</v>
      </c>
      <c r="H35" s="9">
        <v>2500</v>
      </c>
      <c r="I35" s="9">
        <v>5000</v>
      </c>
      <c r="J35" s="9">
        <v>10000</v>
      </c>
      <c r="K35" s="9">
        <v>10000</v>
      </c>
      <c r="L35" s="9">
        <v>10000</v>
      </c>
      <c r="M35" s="9">
        <v>10000</v>
      </c>
      <c r="N35" s="9">
        <v>10000</v>
      </c>
      <c r="O35" s="9">
        <v>10000</v>
      </c>
      <c r="P35" s="9">
        <v>10000</v>
      </c>
      <c r="Q35" s="9">
        <v>3000</v>
      </c>
      <c r="R35" s="9">
        <v>3000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</row>
    <row r="36" spans="1:24" x14ac:dyDescent="0.2">
      <c r="A36" s="4" t="s">
        <v>96</v>
      </c>
      <c r="B36" s="9">
        <v>5733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2236</v>
      </c>
      <c r="K36" s="9">
        <v>1178</v>
      </c>
      <c r="L36" s="9">
        <v>0</v>
      </c>
      <c r="M36" s="9">
        <v>0</v>
      </c>
      <c r="N36" s="9">
        <v>0</v>
      </c>
      <c r="O36" s="9">
        <v>2318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</row>
    <row r="37" spans="1:24" x14ac:dyDescent="0.2">
      <c r="A37" s="4" t="s">
        <v>97</v>
      </c>
      <c r="B37" s="9">
        <v>424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424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2">
      <c r="A38" s="4" t="s">
        <v>98</v>
      </c>
      <c r="B38" s="11">
        <v>3259030</v>
      </c>
      <c r="C38" s="11">
        <v>244334</v>
      </c>
      <c r="D38" s="11">
        <v>135172</v>
      </c>
      <c r="E38" s="11">
        <v>139035</v>
      </c>
      <c r="F38" s="11">
        <v>166800</v>
      </c>
      <c r="G38" s="11">
        <v>155053</v>
      </c>
      <c r="H38" s="11">
        <v>119118</v>
      </c>
      <c r="I38" s="11">
        <v>95089</v>
      </c>
      <c r="J38" s="11">
        <v>142572</v>
      </c>
      <c r="K38" s="11">
        <v>130099</v>
      </c>
      <c r="L38" s="11">
        <v>196962</v>
      </c>
      <c r="M38" s="11">
        <v>195781</v>
      </c>
      <c r="N38" s="11">
        <v>393701</v>
      </c>
      <c r="O38" s="11">
        <v>231883</v>
      </c>
      <c r="P38" s="11">
        <v>345534</v>
      </c>
      <c r="Q38" s="11">
        <v>208000</v>
      </c>
      <c r="R38" s="11">
        <v>193139</v>
      </c>
      <c r="S38" s="11">
        <v>49180</v>
      </c>
      <c r="T38" s="11">
        <v>38367</v>
      </c>
      <c r="U38" s="11">
        <v>25501</v>
      </c>
      <c r="V38" s="11">
        <v>41515</v>
      </c>
      <c r="W38" s="11">
        <v>12195</v>
      </c>
      <c r="X38" s="11">
        <v>0</v>
      </c>
    </row>
    <row r="39" spans="1:24" x14ac:dyDescent="0.2">
      <c r="A39" s="4" t="s">
        <v>39</v>
      </c>
      <c r="B39" s="13" t="s">
        <v>72</v>
      </c>
      <c r="C39" s="13" t="s">
        <v>72</v>
      </c>
      <c r="D39" s="13" t="s">
        <v>72</v>
      </c>
      <c r="E39" s="13" t="s">
        <v>72</v>
      </c>
      <c r="F39" s="13" t="s">
        <v>72</v>
      </c>
      <c r="G39" s="13" t="s">
        <v>72</v>
      </c>
      <c r="H39" s="13" t="s">
        <v>72</v>
      </c>
      <c r="I39" s="13" t="s">
        <v>72</v>
      </c>
      <c r="J39" s="13" t="s">
        <v>72</v>
      </c>
      <c r="K39" s="13" t="s">
        <v>72</v>
      </c>
      <c r="L39" s="13" t="s">
        <v>72</v>
      </c>
      <c r="M39" s="13" t="s">
        <v>72</v>
      </c>
      <c r="N39" s="13" t="s">
        <v>72</v>
      </c>
      <c r="O39" s="13" t="s">
        <v>72</v>
      </c>
      <c r="P39" s="13" t="s">
        <v>72</v>
      </c>
      <c r="Q39" s="13" t="s">
        <v>72</v>
      </c>
      <c r="R39" s="13" t="s">
        <v>72</v>
      </c>
      <c r="S39" s="13" t="s">
        <v>72</v>
      </c>
      <c r="T39" s="13" t="s">
        <v>72</v>
      </c>
      <c r="U39" s="13" t="s">
        <v>72</v>
      </c>
      <c r="V39" s="13" t="s">
        <v>72</v>
      </c>
      <c r="W39" s="13" t="s">
        <v>72</v>
      </c>
      <c r="X39" s="13" t="s">
        <v>72</v>
      </c>
    </row>
    <row r="40" spans="1:24" x14ac:dyDescent="0.2">
      <c r="A40" s="4" t="s">
        <v>73</v>
      </c>
      <c r="B40" s="9">
        <v>206056</v>
      </c>
      <c r="C40" s="9">
        <v>13311</v>
      </c>
      <c r="D40" s="9">
        <v>14251</v>
      </c>
      <c r="E40" s="9">
        <v>12443</v>
      </c>
      <c r="F40" s="9">
        <v>13194</v>
      </c>
      <c r="G40" s="9">
        <v>9411</v>
      </c>
      <c r="H40" s="9">
        <v>13415</v>
      </c>
      <c r="I40" s="9">
        <v>7082</v>
      </c>
      <c r="J40" s="9">
        <v>7802</v>
      </c>
      <c r="K40" s="9">
        <v>7141</v>
      </c>
      <c r="L40" s="9">
        <v>10048</v>
      </c>
      <c r="M40" s="9">
        <v>10912</v>
      </c>
      <c r="N40" s="9">
        <v>27231</v>
      </c>
      <c r="O40" s="9">
        <v>9785</v>
      </c>
      <c r="P40" s="9">
        <v>14391</v>
      </c>
      <c r="Q40" s="9">
        <v>13792</v>
      </c>
      <c r="R40" s="9">
        <v>17727</v>
      </c>
      <c r="S40" s="9">
        <v>1344</v>
      </c>
      <c r="T40" s="9">
        <v>1121</v>
      </c>
      <c r="U40" s="9">
        <v>1229</v>
      </c>
      <c r="V40" s="9">
        <v>0</v>
      </c>
      <c r="W40" s="9">
        <v>425</v>
      </c>
      <c r="X40" s="9">
        <v>0</v>
      </c>
    </row>
    <row r="41" spans="1:24" x14ac:dyDescent="0.2">
      <c r="A41" s="4" t="s">
        <v>74</v>
      </c>
      <c r="B41" s="9">
        <v>4847</v>
      </c>
      <c r="C41" s="9">
        <v>985</v>
      </c>
      <c r="D41" s="9">
        <v>66</v>
      </c>
      <c r="E41" s="9">
        <v>222</v>
      </c>
      <c r="F41" s="9">
        <v>11</v>
      </c>
      <c r="G41" s="9">
        <v>295</v>
      </c>
      <c r="H41" s="9">
        <v>0</v>
      </c>
      <c r="I41" s="9">
        <v>246</v>
      </c>
      <c r="J41" s="9">
        <v>170</v>
      </c>
      <c r="K41" s="9">
        <v>652</v>
      </c>
      <c r="L41" s="9">
        <v>290</v>
      </c>
      <c r="M41" s="9">
        <v>1576</v>
      </c>
      <c r="N41" s="9">
        <v>212</v>
      </c>
      <c r="O41" s="9">
        <v>0</v>
      </c>
      <c r="P41" s="9">
        <v>21</v>
      </c>
      <c r="Q41" s="9">
        <v>100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2">
      <c r="A42" s="4" t="s">
        <v>76</v>
      </c>
      <c r="B42" s="9">
        <v>30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30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">
      <c r="A43" s="4" t="s">
        <v>77</v>
      </c>
      <c r="B43" s="9">
        <v>10443</v>
      </c>
      <c r="C43" s="9">
        <v>981</v>
      </c>
      <c r="D43" s="9">
        <v>774</v>
      </c>
      <c r="E43" s="9">
        <v>540</v>
      </c>
      <c r="F43" s="9">
        <v>1088</v>
      </c>
      <c r="G43" s="9">
        <v>441</v>
      </c>
      <c r="H43" s="9">
        <v>919</v>
      </c>
      <c r="I43" s="9">
        <v>34</v>
      </c>
      <c r="J43" s="9">
        <v>389</v>
      </c>
      <c r="K43" s="9">
        <v>145</v>
      </c>
      <c r="L43" s="9">
        <v>-16</v>
      </c>
      <c r="M43" s="9">
        <v>68</v>
      </c>
      <c r="N43" s="9">
        <v>1501</v>
      </c>
      <c r="O43" s="9">
        <v>406</v>
      </c>
      <c r="P43" s="9">
        <v>989</v>
      </c>
      <c r="Q43" s="9">
        <v>1039</v>
      </c>
      <c r="R43" s="9">
        <v>1029</v>
      </c>
      <c r="S43" s="9">
        <v>283</v>
      </c>
      <c r="T43" s="9">
        <v>-220</v>
      </c>
      <c r="U43" s="9">
        <v>4</v>
      </c>
      <c r="V43" s="9">
        <v>-28</v>
      </c>
      <c r="W43" s="9">
        <v>76</v>
      </c>
      <c r="X43" s="9">
        <v>0</v>
      </c>
    </row>
    <row r="44" spans="1:24" x14ac:dyDescent="0.2">
      <c r="A44" s="4" t="s">
        <v>99</v>
      </c>
      <c r="B44" s="9">
        <v>20776</v>
      </c>
      <c r="C44" s="9">
        <v>1161</v>
      </c>
      <c r="D44" s="9">
        <v>849</v>
      </c>
      <c r="E44" s="9">
        <v>1085</v>
      </c>
      <c r="F44" s="9">
        <v>749</v>
      </c>
      <c r="G44" s="9">
        <v>1122</v>
      </c>
      <c r="H44" s="9">
        <v>273</v>
      </c>
      <c r="I44" s="9">
        <v>961</v>
      </c>
      <c r="J44" s="9">
        <v>1261</v>
      </c>
      <c r="K44" s="9">
        <v>1118</v>
      </c>
      <c r="L44" s="9">
        <v>969</v>
      </c>
      <c r="M44" s="9">
        <v>1227</v>
      </c>
      <c r="N44" s="9">
        <v>2474</v>
      </c>
      <c r="O44" s="9">
        <v>2132</v>
      </c>
      <c r="P44" s="9">
        <v>1182</v>
      </c>
      <c r="Q44" s="9">
        <v>1745</v>
      </c>
      <c r="R44" s="9">
        <v>947</v>
      </c>
      <c r="S44" s="9">
        <v>246</v>
      </c>
      <c r="T44" s="9">
        <v>349</v>
      </c>
      <c r="U44" s="9">
        <v>669</v>
      </c>
      <c r="V44" s="9">
        <v>27</v>
      </c>
      <c r="W44" s="9">
        <v>235</v>
      </c>
      <c r="X44" s="9">
        <v>0</v>
      </c>
    </row>
    <row r="45" spans="1:24" x14ac:dyDescent="0.2">
      <c r="A45" s="4" t="s">
        <v>100</v>
      </c>
      <c r="B45" s="11">
        <v>242152</v>
      </c>
      <c r="C45" s="11">
        <v>16438</v>
      </c>
      <c r="D45" s="11">
        <v>15940</v>
      </c>
      <c r="E45" s="11">
        <v>14290</v>
      </c>
      <c r="F45" s="11">
        <v>15042</v>
      </c>
      <c r="G45" s="11">
        <v>11269</v>
      </c>
      <c r="H45" s="11">
        <v>14607</v>
      </c>
      <c r="I45" s="11">
        <v>8323</v>
      </c>
      <c r="J45" s="11">
        <v>9622</v>
      </c>
      <c r="K45" s="11">
        <v>9056</v>
      </c>
      <c r="L45" s="11">
        <v>11291</v>
      </c>
      <c r="M45" s="11">
        <v>13783</v>
      </c>
      <c r="N45" s="11">
        <v>31418</v>
      </c>
      <c r="O45" s="11">
        <v>12353</v>
      </c>
      <c r="P45" s="11">
        <v>16583</v>
      </c>
      <c r="Q45" s="11">
        <v>16676</v>
      </c>
      <c r="R45" s="11">
        <v>19703</v>
      </c>
      <c r="S45" s="11">
        <v>1873</v>
      </c>
      <c r="T45" s="11">
        <v>1250</v>
      </c>
      <c r="U45" s="11">
        <v>1902</v>
      </c>
      <c r="V45" s="11">
        <v>-1</v>
      </c>
      <c r="W45" s="11">
        <v>736</v>
      </c>
      <c r="X45" s="11">
        <v>0</v>
      </c>
    </row>
    <row r="46" spans="1:24" x14ac:dyDescent="0.2">
      <c r="A46" s="4" t="s">
        <v>40</v>
      </c>
      <c r="B46" s="13" t="s">
        <v>72</v>
      </c>
      <c r="C46" s="13" t="s">
        <v>72</v>
      </c>
      <c r="D46" s="13" t="s">
        <v>72</v>
      </c>
      <c r="E46" s="13" t="s">
        <v>72</v>
      </c>
      <c r="F46" s="13" t="s">
        <v>72</v>
      </c>
      <c r="G46" s="13" t="s">
        <v>72</v>
      </c>
      <c r="H46" s="13" t="s">
        <v>72</v>
      </c>
      <c r="I46" s="13" t="s">
        <v>72</v>
      </c>
      <c r="J46" s="13" t="s">
        <v>72</v>
      </c>
      <c r="K46" s="13" t="s">
        <v>72</v>
      </c>
      <c r="L46" s="13" t="s">
        <v>72</v>
      </c>
      <c r="M46" s="13" t="s">
        <v>72</v>
      </c>
      <c r="N46" s="13" t="s">
        <v>72</v>
      </c>
      <c r="O46" s="13" t="s">
        <v>72</v>
      </c>
      <c r="P46" s="13" t="s">
        <v>72</v>
      </c>
      <c r="Q46" s="13" t="s">
        <v>72</v>
      </c>
      <c r="R46" s="13" t="s">
        <v>72</v>
      </c>
      <c r="S46" s="13" t="s">
        <v>72</v>
      </c>
      <c r="T46" s="13" t="s">
        <v>72</v>
      </c>
      <c r="U46" s="13" t="s">
        <v>72</v>
      </c>
      <c r="V46" s="13" t="s">
        <v>72</v>
      </c>
      <c r="W46" s="13" t="s">
        <v>72</v>
      </c>
      <c r="X46" s="13" t="s">
        <v>72</v>
      </c>
    </row>
    <row r="47" spans="1:24" x14ac:dyDescent="0.2">
      <c r="A47" s="4" t="s">
        <v>73</v>
      </c>
      <c r="B47" s="9">
        <v>78517</v>
      </c>
      <c r="C47" s="9">
        <v>2820</v>
      </c>
      <c r="D47" s="9">
        <v>3129</v>
      </c>
      <c r="E47" s="9">
        <v>3525</v>
      </c>
      <c r="F47" s="9">
        <v>3335</v>
      </c>
      <c r="G47" s="9">
        <v>2722</v>
      </c>
      <c r="H47" s="9">
        <v>3459</v>
      </c>
      <c r="I47" s="9">
        <v>3143</v>
      </c>
      <c r="J47" s="9">
        <v>1775</v>
      </c>
      <c r="K47" s="9">
        <v>3943</v>
      </c>
      <c r="L47" s="9">
        <v>4115</v>
      </c>
      <c r="M47" s="9">
        <v>3429</v>
      </c>
      <c r="N47" s="9">
        <v>6505</v>
      </c>
      <c r="O47" s="9">
        <v>6909</v>
      </c>
      <c r="P47" s="9">
        <v>7425</v>
      </c>
      <c r="Q47" s="9">
        <v>6862</v>
      </c>
      <c r="R47" s="9">
        <v>4285</v>
      </c>
      <c r="S47" s="9">
        <v>3436</v>
      </c>
      <c r="T47" s="9">
        <v>2717</v>
      </c>
      <c r="U47" s="9">
        <v>2267</v>
      </c>
      <c r="V47" s="9">
        <v>2715</v>
      </c>
      <c r="W47" s="9">
        <v>0</v>
      </c>
      <c r="X47" s="9">
        <v>0</v>
      </c>
    </row>
    <row r="48" spans="1:24" x14ac:dyDescent="0.2">
      <c r="A48" s="4" t="s">
        <v>74</v>
      </c>
      <c r="B48" s="9">
        <v>2468</v>
      </c>
      <c r="C48" s="9">
        <v>42</v>
      </c>
      <c r="D48" s="9">
        <v>18</v>
      </c>
      <c r="E48" s="9">
        <v>334</v>
      </c>
      <c r="F48" s="9">
        <v>3</v>
      </c>
      <c r="G48" s="9">
        <v>30</v>
      </c>
      <c r="H48" s="9">
        <v>0</v>
      </c>
      <c r="I48" s="9">
        <v>235</v>
      </c>
      <c r="J48" s="9">
        <v>23</v>
      </c>
      <c r="K48" s="9">
        <v>34</v>
      </c>
      <c r="L48" s="9">
        <v>0</v>
      </c>
      <c r="M48" s="9">
        <v>710</v>
      </c>
      <c r="N48" s="9">
        <v>61</v>
      </c>
      <c r="O48" s="9">
        <v>117</v>
      </c>
      <c r="P48" s="9">
        <v>653</v>
      </c>
      <c r="Q48" s="9">
        <v>-2</v>
      </c>
      <c r="R48" s="9">
        <v>0</v>
      </c>
      <c r="S48" s="9">
        <v>175</v>
      </c>
      <c r="T48" s="9">
        <v>7</v>
      </c>
      <c r="U48" s="9">
        <v>0</v>
      </c>
      <c r="V48" s="9">
        <v>26</v>
      </c>
      <c r="W48" s="9">
        <v>0</v>
      </c>
      <c r="X48" s="9">
        <v>0</v>
      </c>
    </row>
    <row r="49" spans="1:24" x14ac:dyDescent="0.2">
      <c r="A49" s="4" t="s">
        <v>76</v>
      </c>
      <c r="B49" s="9">
        <v>118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118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</row>
    <row r="50" spans="1:24" x14ac:dyDescent="0.2">
      <c r="A50" s="4" t="s">
        <v>77</v>
      </c>
      <c r="B50" s="9">
        <v>3989</v>
      </c>
      <c r="C50" s="9">
        <v>187</v>
      </c>
      <c r="D50" s="9">
        <v>281</v>
      </c>
      <c r="E50" s="9">
        <v>424</v>
      </c>
      <c r="F50" s="9">
        <v>0</v>
      </c>
      <c r="G50" s="9">
        <v>-113</v>
      </c>
      <c r="H50" s="9">
        <v>78</v>
      </c>
      <c r="I50" s="9">
        <v>-3</v>
      </c>
      <c r="J50" s="9">
        <v>676</v>
      </c>
      <c r="K50" s="9">
        <v>142</v>
      </c>
      <c r="L50" s="9">
        <v>0</v>
      </c>
      <c r="M50" s="9">
        <v>62</v>
      </c>
      <c r="N50" s="9">
        <v>743</v>
      </c>
      <c r="O50" s="9">
        <v>339</v>
      </c>
      <c r="P50" s="9">
        <v>135</v>
      </c>
      <c r="Q50" s="9">
        <v>198</v>
      </c>
      <c r="R50" s="9">
        <v>154</v>
      </c>
      <c r="S50" s="9">
        <v>203</v>
      </c>
      <c r="T50" s="9">
        <v>361</v>
      </c>
      <c r="U50" s="9">
        <v>191</v>
      </c>
      <c r="V50" s="9">
        <v>-70</v>
      </c>
      <c r="W50" s="9">
        <v>0</v>
      </c>
      <c r="X50" s="9">
        <v>0</v>
      </c>
    </row>
    <row r="51" spans="1:24" x14ac:dyDescent="0.2">
      <c r="A51" s="4" t="s">
        <v>101</v>
      </c>
      <c r="B51" s="9">
        <v>2169</v>
      </c>
      <c r="C51" s="9">
        <v>20</v>
      </c>
      <c r="D51" s="9">
        <v>27</v>
      </c>
      <c r="E51" s="9">
        <v>825</v>
      </c>
      <c r="F51" s="9">
        <v>0</v>
      </c>
      <c r="G51" s="9">
        <v>86</v>
      </c>
      <c r="H51" s="9">
        <v>0</v>
      </c>
      <c r="I51" s="9">
        <v>0</v>
      </c>
      <c r="J51" s="9">
        <v>0</v>
      </c>
      <c r="K51" s="9">
        <v>875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112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225</v>
      </c>
    </row>
    <row r="52" spans="1:24" x14ac:dyDescent="0.2">
      <c r="A52" s="4" t="s">
        <v>102</v>
      </c>
      <c r="B52" s="9">
        <v>578</v>
      </c>
      <c r="C52" s="9">
        <v>0</v>
      </c>
      <c r="D52" s="9">
        <v>0</v>
      </c>
      <c r="E52" s="9">
        <v>52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159</v>
      </c>
      <c r="V52" s="9">
        <v>368</v>
      </c>
      <c r="W52" s="9">
        <v>0</v>
      </c>
      <c r="X52" s="9">
        <v>0</v>
      </c>
    </row>
    <row r="53" spans="1:24" x14ac:dyDescent="0.2">
      <c r="A53" s="4" t="s">
        <v>103</v>
      </c>
      <c r="B53" s="9">
        <v>10081</v>
      </c>
      <c r="C53" s="9">
        <v>0</v>
      </c>
      <c r="D53" s="9">
        <v>0</v>
      </c>
      <c r="E53" s="9">
        <v>0</v>
      </c>
      <c r="F53" s="9">
        <v>184</v>
      </c>
      <c r="G53" s="9">
        <v>0</v>
      </c>
      <c r="H53" s="9">
        <v>1588</v>
      </c>
      <c r="I53" s="9">
        <v>948</v>
      </c>
      <c r="J53" s="9">
        <v>3889</v>
      </c>
      <c r="K53" s="9">
        <v>663</v>
      </c>
      <c r="L53" s="9">
        <v>778</v>
      </c>
      <c r="M53" s="9">
        <v>0</v>
      </c>
      <c r="N53" s="9">
        <v>0</v>
      </c>
      <c r="O53" s="9">
        <v>0</v>
      </c>
      <c r="P53" s="9">
        <v>-3636</v>
      </c>
      <c r="Q53" s="9">
        <v>0</v>
      </c>
      <c r="R53" s="9">
        <v>0</v>
      </c>
      <c r="S53" s="9">
        <v>37</v>
      </c>
      <c r="T53" s="9">
        <v>0</v>
      </c>
      <c r="U53" s="9">
        <v>0</v>
      </c>
      <c r="V53" s="9">
        <v>5630</v>
      </c>
      <c r="W53" s="9">
        <v>0</v>
      </c>
      <c r="X53" s="9">
        <v>0</v>
      </c>
    </row>
    <row r="54" spans="1:24" x14ac:dyDescent="0.2">
      <c r="A54" s="4" t="s">
        <v>104</v>
      </c>
      <c r="B54" s="9">
        <v>33301</v>
      </c>
      <c r="C54" s="9">
        <v>1378</v>
      </c>
      <c r="D54" s="9">
        <v>993</v>
      </c>
      <c r="E54" s="9">
        <v>1318</v>
      </c>
      <c r="F54" s="9">
        <v>156</v>
      </c>
      <c r="G54" s="9">
        <v>794</v>
      </c>
      <c r="H54" s="9">
        <v>103</v>
      </c>
      <c r="I54" s="9">
        <v>619</v>
      </c>
      <c r="J54" s="9">
        <v>6188</v>
      </c>
      <c r="K54" s="9">
        <v>300</v>
      </c>
      <c r="L54" s="9">
        <v>3053</v>
      </c>
      <c r="M54" s="9">
        <v>4092</v>
      </c>
      <c r="N54" s="9">
        <v>541</v>
      </c>
      <c r="O54" s="9">
        <v>1055</v>
      </c>
      <c r="P54" s="9">
        <v>4018</v>
      </c>
      <c r="Q54" s="9">
        <v>2856</v>
      </c>
      <c r="R54" s="9">
        <v>3972</v>
      </c>
      <c r="S54" s="9">
        <v>152</v>
      </c>
      <c r="T54" s="9">
        <v>105</v>
      </c>
      <c r="U54" s="9">
        <v>1423</v>
      </c>
      <c r="V54" s="9">
        <v>0</v>
      </c>
      <c r="W54" s="9">
        <v>185</v>
      </c>
      <c r="X54" s="9">
        <v>0</v>
      </c>
    </row>
    <row r="55" spans="1:24" x14ac:dyDescent="0.2">
      <c r="A55" s="4" t="s">
        <v>105</v>
      </c>
      <c r="B55" s="9">
        <v>47558</v>
      </c>
      <c r="C55" s="9">
        <v>1593</v>
      </c>
      <c r="D55" s="9">
        <v>940</v>
      </c>
      <c r="E55" s="9">
        <v>592</v>
      </c>
      <c r="F55" s="9">
        <v>2578</v>
      </c>
      <c r="G55" s="9">
        <v>2557</v>
      </c>
      <c r="H55" s="9">
        <v>9</v>
      </c>
      <c r="I55" s="9">
        <v>2417</v>
      </c>
      <c r="J55" s="9">
        <v>2696</v>
      </c>
      <c r="K55" s="9">
        <v>1114</v>
      </c>
      <c r="L55" s="9">
        <v>7065</v>
      </c>
      <c r="M55" s="9">
        <v>2678</v>
      </c>
      <c r="N55" s="9">
        <v>5072</v>
      </c>
      <c r="O55" s="9">
        <v>8464</v>
      </c>
      <c r="P55" s="9">
        <v>2171</v>
      </c>
      <c r="Q55" s="9">
        <v>3065</v>
      </c>
      <c r="R55" s="9">
        <v>2203</v>
      </c>
      <c r="S55" s="9">
        <v>333</v>
      </c>
      <c r="T55" s="9">
        <v>269</v>
      </c>
      <c r="U55" s="9">
        <v>847</v>
      </c>
      <c r="V55" s="9">
        <v>275</v>
      </c>
      <c r="W55" s="9">
        <v>622</v>
      </c>
      <c r="X55" s="9">
        <v>0</v>
      </c>
    </row>
    <row r="56" spans="1:24" x14ac:dyDescent="0.2">
      <c r="A56" s="4" t="s">
        <v>106</v>
      </c>
      <c r="B56" s="9">
        <v>4250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900</v>
      </c>
      <c r="N56" s="9">
        <v>900</v>
      </c>
      <c r="O56" s="9">
        <v>0</v>
      </c>
      <c r="P56" s="9">
        <v>0</v>
      </c>
      <c r="Q56" s="9">
        <v>0</v>
      </c>
      <c r="R56" s="9">
        <v>1200</v>
      </c>
      <c r="S56" s="9">
        <v>0</v>
      </c>
      <c r="T56" s="9">
        <v>0</v>
      </c>
      <c r="U56" s="9">
        <v>350</v>
      </c>
      <c r="V56" s="9">
        <v>0</v>
      </c>
      <c r="W56" s="9">
        <v>900</v>
      </c>
      <c r="X56" s="9">
        <v>0</v>
      </c>
    </row>
    <row r="57" spans="1:24" x14ac:dyDescent="0.2">
      <c r="A57" s="4" t="s">
        <v>107</v>
      </c>
      <c r="B57" s="9">
        <v>3466</v>
      </c>
      <c r="C57" s="9">
        <v>134</v>
      </c>
      <c r="D57" s="9">
        <v>114</v>
      </c>
      <c r="E57" s="9">
        <v>134</v>
      </c>
      <c r="F57" s="9">
        <v>108</v>
      </c>
      <c r="G57" s="9">
        <v>202</v>
      </c>
      <c r="H57" s="9">
        <v>20</v>
      </c>
      <c r="I57" s="9">
        <v>134</v>
      </c>
      <c r="J57" s="9">
        <v>150</v>
      </c>
      <c r="K57" s="9">
        <v>150</v>
      </c>
      <c r="L57" s="9">
        <v>150</v>
      </c>
      <c r="M57" s="9">
        <v>150</v>
      </c>
      <c r="N57" s="9">
        <v>150</v>
      </c>
      <c r="O57" s="9">
        <v>150</v>
      </c>
      <c r="P57" s="9">
        <v>520</v>
      </c>
      <c r="Q57" s="9">
        <v>150</v>
      </c>
      <c r="R57" s="9">
        <v>150</v>
      </c>
      <c r="S57" s="9">
        <v>450</v>
      </c>
      <c r="T57" s="9">
        <v>0</v>
      </c>
      <c r="U57" s="9">
        <v>150</v>
      </c>
      <c r="V57" s="9">
        <v>150</v>
      </c>
      <c r="W57" s="9">
        <v>150</v>
      </c>
      <c r="X57" s="9">
        <v>0</v>
      </c>
    </row>
    <row r="58" spans="1:24" x14ac:dyDescent="0.2">
      <c r="A58" s="4" t="s">
        <v>108</v>
      </c>
      <c r="B58" s="9">
        <v>38378</v>
      </c>
      <c r="C58" s="9">
        <v>0</v>
      </c>
      <c r="D58" s="9">
        <v>200</v>
      </c>
      <c r="E58" s="9">
        <v>1240</v>
      </c>
      <c r="F58" s="9">
        <v>2769</v>
      </c>
      <c r="G58" s="9">
        <v>655</v>
      </c>
      <c r="H58" s="9">
        <v>5001</v>
      </c>
      <c r="I58" s="9">
        <v>0</v>
      </c>
      <c r="J58" s="9">
        <v>2928</v>
      </c>
      <c r="K58" s="9">
        <v>1353</v>
      </c>
      <c r="L58" s="9">
        <v>2271</v>
      </c>
      <c r="M58" s="9">
        <v>522</v>
      </c>
      <c r="N58" s="9">
        <v>0</v>
      </c>
      <c r="O58" s="9">
        <v>15348</v>
      </c>
      <c r="P58" s="9">
        <v>534</v>
      </c>
      <c r="Q58" s="9">
        <v>295</v>
      </c>
      <c r="R58" s="9">
        <v>0</v>
      </c>
      <c r="S58" s="9">
        <v>0</v>
      </c>
      <c r="T58" s="9">
        <v>5262</v>
      </c>
      <c r="U58" s="9">
        <v>0</v>
      </c>
      <c r="V58" s="9">
        <v>0</v>
      </c>
      <c r="W58" s="9">
        <v>0</v>
      </c>
      <c r="X58" s="9">
        <v>0</v>
      </c>
    </row>
    <row r="59" spans="1:24" x14ac:dyDescent="0.2">
      <c r="A59" s="4" t="s">
        <v>109</v>
      </c>
      <c r="B59" s="9">
        <v>14140</v>
      </c>
      <c r="C59" s="9">
        <v>411</v>
      </c>
      <c r="D59" s="9">
        <v>513</v>
      </c>
      <c r="E59" s="9">
        <v>735</v>
      </c>
      <c r="F59" s="9">
        <v>565</v>
      </c>
      <c r="G59" s="9">
        <v>683</v>
      </c>
      <c r="H59" s="9">
        <v>800</v>
      </c>
      <c r="I59" s="9">
        <v>525</v>
      </c>
      <c r="J59" s="9">
        <v>743</v>
      </c>
      <c r="K59" s="9">
        <v>565</v>
      </c>
      <c r="L59" s="9">
        <v>695</v>
      </c>
      <c r="M59" s="9">
        <v>675</v>
      </c>
      <c r="N59" s="9">
        <v>1195</v>
      </c>
      <c r="O59" s="9">
        <v>960</v>
      </c>
      <c r="P59" s="9">
        <v>1520</v>
      </c>
      <c r="Q59" s="9">
        <v>735</v>
      </c>
      <c r="R59" s="9">
        <v>520</v>
      </c>
      <c r="S59" s="9">
        <v>620</v>
      </c>
      <c r="T59" s="9">
        <v>574</v>
      </c>
      <c r="U59" s="9">
        <v>400</v>
      </c>
      <c r="V59" s="9">
        <v>396</v>
      </c>
      <c r="W59" s="9">
        <v>310</v>
      </c>
      <c r="X59" s="9">
        <v>0</v>
      </c>
    </row>
    <row r="60" spans="1:24" x14ac:dyDescent="0.2">
      <c r="A60" s="4" t="s">
        <v>110</v>
      </c>
      <c r="B60" s="9">
        <v>2225</v>
      </c>
      <c r="C60" s="9">
        <v>225</v>
      </c>
      <c r="D60" s="9">
        <v>75</v>
      </c>
      <c r="E60" s="9">
        <v>150</v>
      </c>
      <c r="F60" s="9">
        <v>150</v>
      </c>
      <c r="G60" s="9">
        <v>75</v>
      </c>
      <c r="H60" s="9">
        <v>75</v>
      </c>
      <c r="I60" s="9">
        <v>0</v>
      </c>
      <c r="J60" s="9">
        <v>75</v>
      </c>
      <c r="K60" s="9">
        <v>75</v>
      </c>
      <c r="L60" s="9">
        <v>75</v>
      </c>
      <c r="M60" s="9">
        <v>0</v>
      </c>
      <c r="N60" s="9">
        <v>225</v>
      </c>
      <c r="O60" s="9">
        <v>125</v>
      </c>
      <c r="P60" s="9">
        <v>225</v>
      </c>
      <c r="Q60" s="9">
        <v>75</v>
      </c>
      <c r="R60" s="9">
        <v>225</v>
      </c>
      <c r="S60" s="9">
        <v>150</v>
      </c>
      <c r="T60" s="9">
        <v>0</v>
      </c>
      <c r="U60" s="9">
        <v>75</v>
      </c>
      <c r="V60" s="9">
        <v>75</v>
      </c>
      <c r="W60" s="9">
        <v>75</v>
      </c>
      <c r="X60" s="9">
        <v>0</v>
      </c>
    </row>
    <row r="61" spans="1:24" x14ac:dyDescent="0.2">
      <c r="A61" s="4" t="s">
        <v>111</v>
      </c>
      <c r="B61" s="9">
        <v>1860</v>
      </c>
      <c r="C61" s="9">
        <v>0</v>
      </c>
      <c r="D61" s="9">
        <v>0</v>
      </c>
      <c r="E61" s="9">
        <v>0</v>
      </c>
      <c r="F61" s="9">
        <v>1860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</row>
    <row r="62" spans="1:24" x14ac:dyDescent="0.2">
      <c r="A62" s="4" t="s">
        <v>112</v>
      </c>
      <c r="B62" s="9">
        <v>71557</v>
      </c>
      <c r="C62" s="9">
        <v>4060</v>
      </c>
      <c r="D62" s="9">
        <v>2627</v>
      </c>
      <c r="E62" s="9">
        <v>4621</v>
      </c>
      <c r="F62" s="9">
        <v>2629</v>
      </c>
      <c r="G62" s="9">
        <v>2761</v>
      </c>
      <c r="H62" s="9">
        <v>494</v>
      </c>
      <c r="I62" s="9">
        <v>2029</v>
      </c>
      <c r="J62" s="9">
        <v>2060</v>
      </c>
      <c r="K62" s="9">
        <v>727</v>
      </c>
      <c r="L62" s="9">
        <v>4711</v>
      </c>
      <c r="M62" s="9">
        <v>4854</v>
      </c>
      <c r="N62" s="9">
        <v>4206</v>
      </c>
      <c r="O62" s="9">
        <v>4801</v>
      </c>
      <c r="P62" s="9">
        <v>9103</v>
      </c>
      <c r="Q62" s="9">
        <v>4564</v>
      </c>
      <c r="R62" s="9">
        <v>5013</v>
      </c>
      <c r="S62" s="9">
        <v>1092</v>
      </c>
      <c r="T62" s="9">
        <v>2506</v>
      </c>
      <c r="U62" s="9">
        <v>3222</v>
      </c>
      <c r="V62" s="9">
        <v>4429</v>
      </c>
      <c r="W62" s="9">
        <v>1045</v>
      </c>
      <c r="X62" s="9">
        <v>0</v>
      </c>
    </row>
    <row r="63" spans="1:24" x14ac:dyDescent="0.2">
      <c r="A63" s="4" t="s">
        <v>113</v>
      </c>
      <c r="B63" s="9">
        <v>23731</v>
      </c>
      <c r="C63" s="9">
        <v>542</v>
      </c>
      <c r="D63" s="9">
        <v>919</v>
      </c>
      <c r="E63" s="9">
        <v>1200</v>
      </c>
      <c r="F63" s="9">
        <v>2049</v>
      </c>
      <c r="G63" s="9">
        <v>914</v>
      </c>
      <c r="H63" s="9">
        <v>554</v>
      </c>
      <c r="I63" s="9">
        <v>237</v>
      </c>
      <c r="J63" s="9">
        <v>615</v>
      </c>
      <c r="K63" s="9">
        <v>791</v>
      </c>
      <c r="L63" s="9">
        <v>844</v>
      </c>
      <c r="M63" s="9">
        <v>3044</v>
      </c>
      <c r="N63" s="9">
        <v>2685</v>
      </c>
      <c r="O63" s="9">
        <v>2141</v>
      </c>
      <c r="P63" s="9">
        <v>461</v>
      </c>
      <c r="Q63" s="9">
        <v>2296</v>
      </c>
      <c r="R63" s="9">
        <v>1029</v>
      </c>
      <c r="S63" s="9">
        <v>343</v>
      </c>
      <c r="T63" s="9">
        <v>414</v>
      </c>
      <c r="U63" s="9">
        <v>590</v>
      </c>
      <c r="V63" s="9">
        <v>1688</v>
      </c>
      <c r="W63" s="9">
        <v>378</v>
      </c>
      <c r="X63" s="9">
        <v>0</v>
      </c>
    </row>
    <row r="64" spans="1:24" x14ac:dyDescent="0.2">
      <c r="A64" s="4" t="s">
        <v>114</v>
      </c>
      <c r="B64" s="9">
        <v>39561</v>
      </c>
      <c r="C64" s="9">
        <v>2584</v>
      </c>
      <c r="D64" s="9">
        <v>3063</v>
      </c>
      <c r="E64" s="9">
        <v>2057</v>
      </c>
      <c r="F64" s="9">
        <v>4371</v>
      </c>
      <c r="G64" s="9">
        <v>1863</v>
      </c>
      <c r="H64" s="9">
        <v>6615</v>
      </c>
      <c r="I64" s="9">
        <v>1341</v>
      </c>
      <c r="J64" s="9">
        <v>1026</v>
      </c>
      <c r="K64" s="9">
        <v>3664</v>
      </c>
      <c r="L64" s="9">
        <v>811</v>
      </c>
      <c r="M64" s="9">
        <v>2483</v>
      </c>
      <c r="N64" s="9">
        <v>5802</v>
      </c>
      <c r="O64" s="9">
        <v>-7396</v>
      </c>
      <c r="P64" s="9">
        <v>1017</v>
      </c>
      <c r="Q64" s="9">
        <v>5773</v>
      </c>
      <c r="R64" s="9">
        <v>868</v>
      </c>
      <c r="S64" s="9">
        <v>328</v>
      </c>
      <c r="T64" s="9">
        <v>521</v>
      </c>
      <c r="U64" s="9">
        <v>738</v>
      </c>
      <c r="V64" s="9">
        <v>1230</v>
      </c>
      <c r="W64" s="9">
        <v>801</v>
      </c>
      <c r="X64" s="9">
        <v>0</v>
      </c>
    </row>
    <row r="65" spans="1:24" x14ac:dyDescent="0.2">
      <c r="A65" s="4" t="s">
        <v>115</v>
      </c>
      <c r="B65" s="11">
        <v>377947</v>
      </c>
      <c r="C65" s="11">
        <v>13996</v>
      </c>
      <c r="D65" s="11">
        <v>12899</v>
      </c>
      <c r="E65" s="11">
        <v>17207</v>
      </c>
      <c r="F65" s="11">
        <v>20757</v>
      </c>
      <c r="G65" s="11">
        <v>13229</v>
      </c>
      <c r="H65" s="11">
        <v>18796</v>
      </c>
      <c r="I65" s="11">
        <v>11625</v>
      </c>
      <c r="J65" s="11">
        <v>22844</v>
      </c>
      <c r="K65" s="11">
        <v>14396</v>
      </c>
      <c r="L65" s="11">
        <v>24568</v>
      </c>
      <c r="M65" s="11">
        <v>23599</v>
      </c>
      <c r="N65" s="11">
        <v>28085</v>
      </c>
      <c r="O65" s="11">
        <v>33131</v>
      </c>
      <c r="P65" s="11">
        <v>24146</v>
      </c>
      <c r="Q65" s="11">
        <v>26867</v>
      </c>
      <c r="R65" s="11">
        <v>19731</v>
      </c>
      <c r="S65" s="11">
        <v>7319</v>
      </c>
      <c r="T65" s="11">
        <v>12736</v>
      </c>
      <c r="U65" s="11">
        <v>10412</v>
      </c>
      <c r="V65" s="11">
        <v>16912</v>
      </c>
      <c r="W65" s="11">
        <v>4466</v>
      </c>
      <c r="X65" s="11">
        <v>225</v>
      </c>
    </row>
    <row r="66" spans="1:24" x14ac:dyDescent="0.2">
      <c r="A66" s="4" t="s">
        <v>41</v>
      </c>
      <c r="B66" s="13" t="s">
        <v>72</v>
      </c>
      <c r="C66" s="13" t="s">
        <v>72</v>
      </c>
      <c r="D66" s="13" t="s">
        <v>72</v>
      </c>
      <c r="E66" s="13" t="s">
        <v>72</v>
      </c>
      <c r="F66" s="13" t="s">
        <v>72</v>
      </c>
      <c r="G66" s="13" t="s">
        <v>72</v>
      </c>
      <c r="H66" s="13" t="s">
        <v>72</v>
      </c>
      <c r="I66" s="13" t="s">
        <v>72</v>
      </c>
      <c r="J66" s="13" t="s">
        <v>72</v>
      </c>
      <c r="K66" s="13" t="s">
        <v>72</v>
      </c>
      <c r="L66" s="13" t="s">
        <v>72</v>
      </c>
      <c r="M66" s="13" t="s">
        <v>72</v>
      </c>
      <c r="N66" s="13" t="s">
        <v>72</v>
      </c>
      <c r="O66" s="13" t="s">
        <v>72</v>
      </c>
      <c r="P66" s="13" t="s">
        <v>72</v>
      </c>
      <c r="Q66" s="13" t="s">
        <v>72</v>
      </c>
      <c r="R66" s="13" t="s">
        <v>72</v>
      </c>
      <c r="S66" s="13" t="s">
        <v>72</v>
      </c>
      <c r="T66" s="13" t="s">
        <v>72</v>
      </c>
      <c r="U66" s="13" t="s">
        <v>72</v>
      </c>
      <c r="V66" s="13" t="s">
        <v>72</v>
      </c>
      <c r="W66" s="13" t="s">
        <v>72</v>
      </c>
      <c r="X66" s="13" t="s">
        <v>72</v>
      </c>
    </row>
    <row r="67" spans="1:24" x14ac:dyDescent="0.2">
      <c r="A67" s="4" t="s">
        <v>73</v>
      </c>
      <c r="B67" s="9">
        <v>297501</v>
      </c>
      <c r="C67" s="9">
        <v>14590</v>
      </c>
      <c r="D67" s="9">
        <v>14818</v>
      </c>
      <c r="E67" s="9">
        <v>14812</v>
      </c>
      <c r="F67" s="9">
        <v>15603</v>
      </c>
      <c r="G67" s="9">
        <v>13551</v>
      </c>
      <c r="H67" s="9">
        <v>14032</v>
      </c>
      <c r="I67" s="9">
        <v>10580</v>
      </c>
      <c r="J67" s="9">
        <v>15914</v>
      </c>
      <c r="K67" s="9">
        <v>13379</v>
      </c>
      <c r="L67" s="9">
        <v>18782</v>
      </c>
      <c r="M67" s="9">
        <v>18173</v>
      </c>
      <c r="N67" s="9">
        <v>32025</v>
      </c>
      <c r="O67" s="9">
        <v>19512</v>
      </c>
      <c r="P67" s="9">
        <v>17567</v>
      </c>
      <c r="Q67" s="9">
        <v>16519</v>
      </c>
      <c r="R67" s="9">
        <v>17753</v>
      </c>
      <c r="S67" s="9">
        <v>0</v>
      </c>
      <c r="T67" s="9">
        <v>8877</v>
      </c>
      <c r="U67" s="9">
        <v>5686</v>
      </c>
      <c r="V67" s="9">
        <v>9291</v>
      </c>
      <c r="W67" s="9">
        <v>6037</v>
      </c>
      <c r="X67" s="9">
        <v>0</v>
      </c>
    </row>
    <row r="68" spans="1:24" x14ac:dyDescent="0.2">
      <c r="A68" s="4" t="s">
        <v>74</v>
      </c>
      <c r="B68" s="9">
        <v>10817</v>
      </c>
      <c r="C68" s="9">
        <v>428</v>
      </c>
      <c r="D68" s="9">
        <v>159</v>
      </c>
      <c r="E68" s="9">
        <v>490</v>
      </c>
      <c r="F68" s="9">
        <v>655</v>
      </c>
      <c r="G68" s="9">
        <v>2038</v>
      </c>
      <c r="H68" s="9">
        <v>193</v>
      </c>
      <c r="I68" s="9">
        <v>627</v>
      </c>
      <c r="J68" s="9">
        <v>51</v>
      </c>
      <c r="K68" s="9">
        <v>344</v>
      </c>
      <c r="L68" s="9">
        <v>118</v>
      </c>
      <c r="M68" s="9">
        <v>1938</v>
      </c>
      <c r="N68" s="9">
        <v>463</v>
      </c>
      <c r="O68" s="9">
        <v>68</v>
      </c>
      <c r="P68" s="9">
        <v>400</v>
      </c>
      <c r="Q68" s="9">
        <v>594</v>
      </c>
      <c r="R68" s="9">
        <v>107</v>
      </c>
      <c r="S68" s="9">
        <v>0</v>
      </c>
      <c r="T68" s="9">
        <v>1704</v>
      </c>
      <c r="U68" s="9">
        <v>0</v>
      </c>
      <c r="V68" s="9">
        <v>441</v>
      </c>
      <c r="W68" s="9">
        <v>0</v>
      </c>
      <c r="X68" s="9">
        <v>0</v>
      </c>
    </row>
    <row r="69" spans="1:24" x14ac:dyDescent="0.2">
      <c r="A69" s="4" t="s">
        <v>76</v>
      </c>
      <c r="B69" s="9">
        <v>39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39</v>
      </c>
      <c r="W69" s="9">
        <v>0</v>
      </c>
      <c r="X69" s="9">
        <v>0</v>
      </c>
    </row>
    <row r="70" spans="1:24" x14ac:dyDescent="0.2">
      <c r="A70" s="4" t="s">
        <v>77</v>
      </c>
      <c r="B70" s="9">
        <v>9371</v>
      </c>
      <c r="C70" s="9">
        <v>933</v>
      </c>
      <c r="D70" s="9">
        <v>903</v>
      </c>
      <c r="E70" s="9">
        <v>-482</v>
      </c>
      <c r="F70" s="9">
        <v>-614</v>
      </c>
      <c r="G70" s="9">
        <v>-84</v>
      </c>
      <c r="H70" s="9">
        <v>767</v>
      </c>
      <c r="I70" s="9">
        <v>229</v>
      </c>
      <c r="J70" s="9">
        <v>339</v>
      </c>
      <c r="K70" s="9">
        <v>126</v>
      </c>
      <c r="L70" s="9">
        <v>661</v>
      </c>
      <c r="M70" s="9">
        <v>551</v>
      </c>
      <c r="N70" s="9">
        <v>1336</v>
      </c>
      <c r="O70" s="9">
        <v>927</v>
      </c>
      <c r="P70" s="9">
        <v>196</v>
      </c>
      <c r="Q70" s="9">
        <v>1415</v>
      </c>
      <c r="R70" s="9">
        <v>1072</v>
      </c>
      <c r="S70" s="9">
        <v>0</v>
      </c>
      <c r="T70" s="9">
        <v>532</v>
      </c>
      <c r="U70" s="9">
        <v>238</v>
      </c>
      <c r="V70" s="9">
        <v>-141</v>
      </c>
      <c r="W70" s="9">
        <v>465</v>
      </c>
      <c r="X70" s="9">
        <v>0</v>
      </c>
    </row>
    <row r="71" spans="1:24" x14ac:dyDescent="0.2">
      <c r="A71" s="4" t="s">
        <v>116</v>
      </c>
      <c r="B71" s="9">
        <v>210475</v>
      </c>
      <c r="C71" s="9">
        <v>13033</v>
      </c>
      <c r="D71" s="9">
        <v>8260</v>
      </c>
      <c r="E71" s="9">
        <v>8993</v>
      </c>
      <c r="F71" s="9">
        <v>10264</v>
      </c>
      <c r="G71" s="9">
        <v>9500</v>
      </c>
      <c r="H71" s="9">
        <v>7047</v>
      </c>
      <c r="I71" s="9">
        <v>6999</v>
      </c>
      <c r="J71" s="9">
        <v>9866</v>
      </c>
      <c r="K71" s="9">
        <v>8001</v>
      </c>
      <c r="L71" s="9">
        <v>12093</v>
      </c>
      <c r="M71" s="9">
        <v>15324</v>
      </c>
      <c r="N71" s="9">
        <v>30041</v>
      </c>
      <c r="O71" s="9">
        <v>13185</v>
      </c>
      <c r="P71" s="9">
        <v>14713</v>
      </c>
      <c r="Q71" s="9">
        <v>11373</v>
      </c>
      <c r="R71" s="9">
        <v>9212</v>
      </c>
      <c r="S71" s="9">
        <v>45</v>
      </c>
      <c r="T71" s="9">
        <v>7078</v>
      </c>
      <c r="U71" s="9">
        <v>4628</v>
      </c>
      <c r="V71" s="9">
        <v>5168</v>
      </c>
      <c r="W71" s="9">
        <v>5653</v>
      </c>
      <c r="X71" s="9">
        <v>0</v>
      </c>
    </row>
    <row r="72" spans="1:24" x14ac:dyDescent="0.2">
      <c r="A72" s="4" t="s">
        <v>117</v>
      </c>
      <c r="B72" s="9">
        <v>14467</v>
      </c>
      <c r="C72" s="9">
        <v>1106</v>
      </c>
      <c r="D72" s="9">
        <v>955</v>
      </c>
      <c r="E72" s="9">
        <v>376</v>
      </c>
      <c r="F72" s="9">
        <v>1755</v>
      </c>
      <c r="G72" s="9">
        <v>471</v>
      </c>
      <c r="H72" s="9">
        <v>412</v>
      </c>
      <c r="I72" s="9">
        <v>409</v>
      </c>
      <c r="J72" s="9">
        <v>547</v>
      </c>
      <c r="K72" s="9">
        <v>470</v>
      </c>
      <c r="L72" s="9">
        <v>607</v>
      </c>
      <c r="M72" s="9">
        <v>376</v>
      </c>
      <c r="N72" s="9">
        <v>2739</v>
      </c>
      <c r="O72" s="9">
        <v>1801</v>
      </c>
      <c r="P72" s="9">
        <v>264</v>
      </c>
      <c r="Q72" s="9">
        <v>794</v>
      </c>
      <c r="R72" s="9">
        <v>1385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</row>
    <row r="73" spans="1:24" x14ac:dyDescent="0.2">
      <c r="A73" s="4" t="s">
        <v>118</v>
      </c>
      <c r="B73" s="9">
        <v>956</v>
      </c>
      <c r="C73" s="9">
        <v>0</v>
      </c>
      <c r="D73" s="9">
        <v>0</v>
      </c>
      <c r="E73" s="9">
        <v>0</v>
      </c>
      <c r="F73" s="9">
        <v>16</v>
      </c>
      <c r="G73" s="9">
        <v>79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621</v>
      </c>
      <c r="R73" s="9">
        <v>239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</row>
    <row r="74" spans="1:24" x14ac:dyDescent="0.2">
      <c r="A74" s="4" t="s">
        <v>119</v>
      </c>
      <c r="B74" s="9">
        <v>16115</v>
      </c>
      <c r="C74" s="9">
        <v>1308</v>
      </c>
      <c r="D74" s="9">
        <v>239</v>
      </c>
      <c r="E74" s="9">
        <v>616</v>
      </c>
      <c r="F74" s="9">
        <v>1232</v>
      </c>
      <c r="G74" s="9">
        <v>589</v>
      </c>
      <c r="H74" s="9">
        <v>496</v>
      </c>
      <c r="I74" s="9">
        <v>523</v>
      </c>
      <c r="J74" s="9">
        <v>725</v>
      </c>
      <c r="K74" s="9">
        <v>338</v>
      </c>
      <c r="L74" s="9">
        <v>879</v>
      </c>
      <c r="M74" s="9">
        <v>964</v>
      </c>
      <c r="N74" s="9">
        <v>3616</v>
      </c>
      <c r="O74" s="9">
        <v>951</v>
      </c>
      <c r="P74" s="9">
        <v>630</v>
      </c>
      <c r="Q74" s="9">
        <v>970</v>
      </c>
      <c r="R74" s="9">
        <v>141</v>
      </c>
      <c r="S74" s="9">
        <v>52</v>
      </c>
      <c r="T74" s="9">
        <v>467</v>
      </c>
      <c r="U74" s="9">
        <v>450</v>
      </c>
      <c r="V74" s="9">
        <v>694</v>
      </c>
      <c r="W74" s="9">
        <v>234</v>
      </c>
      <c r="X74" s="9">
        <v>0</v>
      </c>
    </row>
    <row r="75" spans="1:24" x14ac:dyDescent="0.2">
      <c r="A75" s="4" t="s">
        <v>120</v>
      </c>
      <c r="B75" s="9">
        <v>210</v>
      </c>
      <c r="C75" s="9">
        <v>0</v>
      </c>
      <c r="D75" s="9">
        <v>41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59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18</v>
      </c>
      <c r="Q75" s="9">
        <v>0</v>
      </c>
      <c r="R75" s="9">
        <v>0</v>
      </c>
      <c r="S75" s="9">
        <v>0</v>
      </c>
      <c r="T75" s="9">
        <v>22</v>
      </c>
      <c r="U75" s="9">
        <v>0</v>
      </c>
      <c r="V75" s="9">
        <v>14</v>
      </c>
      <c r="W75" s="9">
        <v>55</v>
      </c>
      <c r="X75" s="9">
        <v>0</v>
      </c>
    </row>
    <row r="76" spans="1:24" x14ac:dyDescent="0.2">
      <c r="A76" s="4" t="s">
        <v>121</v>
      </c>
      <c r="B76" s="9">
        <v>7640</v>
      </c>
      <c r="C76" s="9">
        <v>168</v>
      </c>
      <c r="D76" s="9">
        <v>449</v>
      </c>
      <c r="E76" s="9">
        <v>236</v>
      </c>
      <c r="F76" s="9">
        <v>447</v>
      </c>
      <c r="G76" s="9">
        <v>599</v>
      </c>
      <c r="H76" s="9">
        <v>316</v>
      </c>
      <c r="I76" s="9">
        <v>245</v>
      </c>
      <c r="J76" s="9">
        <v>188</v>
      </c>
      <c r="K76" s="9">
        <v>248</v>
      </c>
      <c r="L76" s="9">
        <v>493</v>
      </c>
      <c r="M76" s="9">
        <v>804</v>
      </c>
      <c r="N76" s="9">
        <v>525</v>
      </c>
      <c r="O76" s="9">
        <v>513</v>
      </c>
      <c r="P76" s="9">
        <v>1133</v>
      </c>
      <c r="Q76" s="9">
        <v>609</v>
      </c>
      <c r="R76" s="9">
        <v>274</v>
      </c>
      <c r="S76" s="9">
        <v>70</v>
      </c>
      <c r="T76" s="9">
        <v>0</v>
      </c>
      <c r="U76" s="9">
        <v>78</v>
      </c>
      <c r="V76" s="9">
        <v>211</v>
      </c>
      <c r="W76" s="9">
        <v>37</v>
      </c>
      <c r="X76" s="9">
        <v>0</v>
      </c>
    </row>
    <row r="77" spans="1:24" x14ac:dyDescent="0.2">
      <c r="A77" s="4" t="s">
        <v>122</v>
      </c>
      <c r="B77" s="9">
        <v>929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700</v>
      </c>
      <c r="M77" s="9">
        <v>660</v>
      </c>
      <c r="N77" s="9">
        <v>0</v>
      </c>
      <c r="O77" s="9">
        <v>0</v>
      </c>
      <c r="P77" s="9">
        <v>0</v>
      </c>
      <c r="Q77" s="9">
        <v>0</v>
      </c>
      <c r="R77" s="9">
        <v>-956</v>
      </c>
      <c r="S77" s="9">
        <v>0</v>
      </c>
      <c r="T77" s="9">
        <v>525</v>
      </c>
      <c r="U77" s="9">
        <v>0</v>
      </c>
      <c r="V77" s="9">
        <v>0</v>
      </c>
      <c r="W77" s="9">
        <v>0</v>
      </c>
      <c r="X77" s="9">
        <v>0</v>
      </c>
    </row>
    <row r="78" spans="1:24" x14ac:dyDescent="0.2">
      <c r="A78" s="4" t="s">
        <v>123</v>
      </c>
      <c r="B78" s="9">
        <v>488</v>
      </c>
      <c r="C78" s="9">
        <v>0</v>
      </c>
      <c r="D78" s="9">
        <v>0</v>
      </c>
      <c r="E78" s="9">
        <v>487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</row>
    <row r="79" spans="1:24" x14ac:dyDescent="0.2">
      <c r="A79" s="4" t="s">
        <v>124</v>
      </c>
      <c r="B79" s="9">
        <v>8915</v>
      </c>
      <c r="C79" s="9">
        <v>730</v>
      </c>
      <c r="D79" s="9">
        <v>579</v>
      </c>
      <c r="E79" s="9">
        <v>634</v>
      </c>
      <c r="F79" s="9">
        <v>1735</v>
      </c>
      <c r="G79" s="9">
        <v>0</v>
      </c>
      <c r="H79" s="9">
        <v>528</v>
      </c>
      <c r="I79" s="9">
        <v>492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1089</v>
      </c>
      <c r="R79" s="9">
        <v>3131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</row>
    <row r="80" spans="1:24" x14ac:dyDescent="0.2">
      <c r="A80" s="4" t="s">
        <v>125</v>
      </c>
      <c r="B80" s="11">
        <v>577923</v>
      </c>
      <c r="C80" s="11">
        <v>32296</v>
      </c>
      <c r="D80" s="11">
        <v>26403</v>
      </c>
      <c r="E80" s="11">
        <v>26162</v>
      </c>
      <c r="F80" s="11">
        <v>31093</v>
      </c>
      <c r="G80" s="11">
        <v>26743</v>
      </c>
      <c r="H80" s="11">
        <v>23791</v>
      </c>
      <c r="I80" s="11">
        <v>20104</v>
      </c>
      <c r="J80" s="11">
        <v>27689</v>
      </c>
      <c r="K80" s="11">
        <v>22906</v>
      </c>
      <c r="L80" s="11">
        <v>34333</v>
      </c>
      <c r="M80" s="11">
        <v>38790</v>
      </c>
      <c r="N80" s="11">
        <v>70745</v>
      </c>
      <c r="O80" s="11">
        <v>36957</v>
      </c>
      <c r="P80" s="11">
        <v>34921</v>
      </c>
      <c r="Q80" s="11">
        <v>33984</v>
      </c>
      <c r="R80" s="11">
        <v>32358</v>
      </c>
      <c r="S80" s="11">
        <v>167</v>
      </c>
      <c r="T80" s="11">
        <v>19205</v>
      </c>
      <c r="U80" s="11">
        <v>11080</v>
      </c>
      <c r="V80" s="11">
        <v>15717</v>
      </c>
      <c r="W80" s="11">
        <v>12481</v>
      </c>
      <c r="X80" s="11">
        <v>0</v>
      </c>
    </row>
    <row r="81" spans="1:24" x14ac:dyDescent="0.2">
      <c r="A81" s="4" t="s">
        <v>42</v>
      </c>
      <c r="B81" s="13" t="s">
        <v>72</v>
      </c>
      <c r="C81" s="13" t="s">
        <v>72</v>
      </c>
      <c r="D81" s="13" t="s">
        <v>72</v>
      </c>
      <c r="E81" s="13" t="s">
        <v>72</v>
      </c>
      <c r="F81" s="13" t="s">
        <v>72</v>
      </c>
      <c r="G81" s="13" t="s">
        <v>72</v>
      </c>
      <c r="H81" s="13" t="s">
        <v>72</v>
      </c>
      <c r="I81" s="13" t="s">
        <v>72</v>
      </c>
      <c r="J81" s="13" t="s">
        <v>72</v>
      </c>
      <c r="K81" s="13" t="s">
        <v>72</v>
      </c>
      <c r="L81" s="13" t="s">
        <v>72</v>
      </c>
      <c r="M81" s="13" t="s">
        <v>72</v>
      </c>
      <c r="N81" s="13" t="s">
        <v>72</v>
      </c>
      <c r="O81" s="13" t="s">
        <v>72</v>
      </c>
      <c r="P81" s="13" t="s">
        <v>72</v>
      </c>
      <c r="Q81" s="13" t="s">
        <v>72</v>
      </c>
      <c r="R81" s="13" t="s">
        <v>72</v>
      </c>
      <c r="S81" s="13" t="s">
        <v>72</v>
      </c>
      <c r="T81" s="13" t="s">
        <v>72</v>
      </c>
      <c r="U81" s="13" t="s">
        <v>72</v>
      </c>
      <c r="V81" s="13" t="s">
        <v>72</v>
      </c>
      <c r="W81" s="13" t="s">
        <v>72</v>
      </c>
      <c r="X81" s="13" t="s">
        <v>72</v>
      </c>
    </row>
    <row r="82" spans="1:24" x14ac:dyDescent="0.2">
      <c r="A82" s="4" t="s">
        <v>126</v>
      </c>
      <c r="B82" s="9">
        <v>254540</v>
      </c>
      <c r="C82" s="9">
        <v>12313</v>
      </c>
      <c r="D82" s="9">
        <v>12345</v>
      </c>
      <c r="E82" s="9">
        <v>12225</v>
      </c>
      <c r="F82" s="9">
        <v>13335</v>
      </c>
      <c r="G82" s="9">
        <v>12093</v>
      </c>
      <c r="H82" s="9">
        <v>11369</v>
      </c>
      <c r="I82" s="9">
        <v>8027</v>
      </c>
      <c r="J82" s="9">
        <v>12129</v>
      </c>
      <c r="K82" s="9">
        <v>8896</v>
      </c>
      <c r="L82" s="9">
        <v>15692</v>
      </c>
      <c r="M82" s="9">
        <v>15697</v>
      </c>
      <c r="N82" s="9">
        <v>30953</v>
      </c>
      <c r="O82" s="9">
        <v>16752</v>
      </c>
      <c r="P82" s="9">
        <v>20285</v>
      </c>
      <c r="Q82" s="9">
        <v>19105</v>
      </c>
      <c r="R82" s="9">
        <v>15632</v>
      </c>
      <c r="S82" s="9">
        <v>4679</v>
      </c>
      <c r="T82" s="9">
        <v>4237</v>
      </c>
      <c r="U82" s="9">
        <v>2780</v>
      </c>
      <c r="V82" s="9">
        <v>4601</v>
      </c>
      <c r="W82" s="9">
        <v>1394</v>
      </c>
      <c r="X82" s="9">
        <v>0</v>
      </c>
    </row>
    <row r="83" spans="1:24" x14ac:dyDescent="0.2">
      <c r="A83" s="4" t="s">
        <v>127</v>
      </c>
      <c r="B83" s="9">
        <v>66966</v>
      </c>
      <c r="C83" s="9">
        <v>2985</v>
      </c>
      <c r="D83" s="9">
        <v>3383</v>
      </c>
      <c r="E83" s="9">
        <v>3871</v>
      </c>
      <c r="F83" s="9">
        <v>833</v>
      </c>
      <c r="G83" s="9">
        <v>3525</v>
      </c>
      <c r="H83" s="9">
        <v>3133</v>
      </c>
      <c r="I83" s="9">
        <v>2306</v>
      </c>
      <c r="J83" s="9">
        <v>3947</v>
      </c>
      <c r="K83" s="9">
        <v>3257</v>
      </c>
      <c r="L83" s="9">
        <v>4008</v>
      </c>
      <c r="M83" s="9">
        <v>4843</v>
      </c>
      <c r="N83" s="9">
        <v>8778</v>
      </c>
      <c r="O83" s="9">
        <v>4413</v>
      </c>
      <c r="P83" s="9">
        <v>5552</v>
      </c>
      <c r="Q83" s="9">
        <v>5117</v>
      </c>
      <c r="R83" s="9">
        <v>3419</v>
      </c>
      <c r="S83" s="9">
        <v>381</v>
      </c>
      <c r="T83" s="9">
        <v>324</v>
      </c>
      <c r="U83" s="9">
        <v>1042</v>
      </c>
      <c r="V83" s="9">
        <v>1161</v>
      </c>
      <c r="W83" s="9">
        <v>687</v>
      </c>
      <c r="X83" s="9">
        <v>0</v>
      </c>
    </row>
    <row r="84" spans="1:24" x14ac:dyDescent="0.2">
      <c r="A84" s="4" t="s">
        <v>128</v>
      </c>
      <c r="B84" s="9">
        <v>4093</v>
      </c>
      <c r="C84" s="9">
        <v>199</v>
      </c>
      <c r="D84" s="9">
        <v>206</v>
      </c>
      <c r="E84" s="9">
        <v>217</v>
      </c>
      <c r="F84" s="9">
        <v>233</v>
      </c>
      <c r="G84" s="9">
        <v>253</v>
      </c>
      <c r="H84" s="9">
        <v>161</v>
      </c>
      <c r="I84" s="9">
        <v>105</v>
      </c>
      <c r="J84" s="9">
        <v>167</v>
      </c>
      <c r="K84" s="9">
        <v>276</v>
      </c>
      <c r="L84" s="9">
        <v>257</v>
      </c>
      <c r="M84" s="9">
        <v>258</v>
      </c>
      <c r="N84" s="9">
        <v>402</v>
      </c>
      <c r="O84" s="9">
        <v>173</v>
      </c>
      <c r="P84" s="9">
        <v>290</v>
      </c>
      <c r="Q84" s="9">
        <v>271</v>
      </c>
      <c r="R84" s="9">
        <v>222</v>
      </c>
      <c r="S84" s="9">
        <v>45</v>
      </c>
      <c r="T84" s="9">
        <v>128</v>
      </c>
      <c r="U84" s="9">
        <v>94</v>
      </c>
      <c r="V84" s="9">
        <v>76</v>
      </c>
      <c r="W84" s="9">
        <v>59</v>
      </c>
      <c r="X84" s="9">
        <v>0</v>
      </c>
    </row>
    <row r="85" spans="1:24" x14ac:dyDescent="0.2">
      <c r="A85" s="4" t="s">
        <v>129</v>
      </c>
      <c r="B85" s="9">
        <v>37767</v>
      </c>
      <c r="C85" s="9">
        <v>2734</v>
      </c>
      <c r="D85" s="9">
        <v>2221</v>
      </c>
      <c r="E85" s="9">
        <v>2520</v>
      </c>
      <c r="F85" s="9">
        <v>2244</v>
      </c>
      <c r="G85" s="9">
        <v>2178</v>
      </c>
      <c r="H85" s="9">
        <v>2044</v>
      </c>
      <c r="I85" s="9">
        <v>1657</v>
      </c>
      <c r="J85" s="9">
        <v>4524</v>
      </c>
      <c r="K85" s="9">
        <v>749</v>
      </c>
      <c r="L85" s="9">
        <v>2444</v>
      </c>
      <c r="M85" s="9">
        <v>1110</v>
      </c>
      <c r="N85" s="9">
        <v>2384</v>
      </c>
      <c r="O85" s="9">
        <v>1972</v>
      </c>
      <c r="P85" s="9">
        <v>1916</v>
      </c>
      <c r="Q85" s="9">
        <v>1830</v>
      </c>
      <c r="R85" s="9">
        <v>1063</v>
      </c>
      <c r="S85" s="9">
        <v>916</v>
      </c>
      <c r="T85" s="9">
        <v>948</v>
      </c>
      <c r="U85" s="9">
        <v>748</v>
      </c>
      <c r="V85" s="9">
        <v>1206</v>
      </c>
      <c r="W85" s="9">
        <v>359</v>
      </c>
      <c r="X85" s="9">
        <v>0</v>
      </c>
    </row>
    <row r="86" spans="1:24" x14ac:dyDescent="0.2">
      <c r="A86" s="4" t="s">
        <v>130</v>
      </c>
      <c r="B86" s="9">
        <v>89514</v>
      </c>
      <c r="C86" s="9">
        <v>7266</v>
      </c>
      <c r="D86" s="9">
        <v>7735</v>
      </c>
      <c r="E86" s="9">
        <v>2170</v>
      </c>
      <c r="F86" s="9">
        <v>2044</v>
      </c>
      <c r="G86" s="9">
        <v>2696</v>
      </c>
      <c r="H86" s="9">
        <v>2744</v>
      </c>
      <c r="I86" s="9">
        <v>7019</v>
      </c>
      <c r="J86" s="9">
        <v>3970</v>
      </c>
      <c r="K86" s="9">
        <v>2857</v>
      </c>
      <c r="L86" s="9">
        <v>31086</v>
      </c>
      <c r="M86" s="9">
        <v>2803</v>
      </c>
      <c r="N86" s="9">
        <v>7875</v>
      </c>
      <c r="O86" s="9">
        <v>1505</v>
      </c>
      <c r="P86" s="9">
        <v>-4305</v>
      </c>
      <c r="Q86" s="9">
        <v>1294</v>
      </c>
      <c r="R86" s="9">
        <v>446</v>
      </c>
      <c r="S86" s="9">
        <v>1260</v>
      </c>
      <c r="T86" s="9">
        <v>4791</v>
      </c>
      <c r="U86" s="9">
        <v>4018</v>
      </c>
      <c r="V86" s="9">
        <v>132</v>
      </c>
      <c r="W86" s="9">
        <v>260</v>
      </c>
      <c r="X86" s="9">
        <v>-153</v>
      </c>
    </row>
    <row r="87" spans="1:24" x14ac:dyDescent="0.2">
      <c r="A87" s="4" t="s">
        <v>131</v>
      </c>
      <c r="B87" s="9">
        <v>1318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96</v>
      </c>
      <c r="K87" s="9">
        <v>29</v>
      </c>
      <c r="L87" s="9">
        <v>74</v>
      </c>
      <c r="M87" s="9">
        <v>562</v>
      </c>
      <c r="N87" s="9">
        <v>116</v>
      </c>
      <c r="O87" s="9">
        <v>228</v>
      </c>
      <c r="P87" s="9">
        <v>91</v>
      </c>
      <c r="Q87" s="9">
        <v>0</v>
      </c>
      <c r="R87" s="9">
        <v>0</v>
      </c>
      <c r="S87" s="9">
        <v>22</v>
      </c>
      <c r="T87" s="9">
        <v>29</v>
      </c>
      <c r="U87" s="9">
        <v>38</v>
      </c>
      <c r="V87" s="9">
        <v>31</v>
      </c>
      <c r="W87" s="9">
        <v>3</v>
      </c>
      <c r="X87" s="9">
        <v>0</v>
      </c>
    </row>
    <row r="88" spans="1:24" x14ac:dyDescent="0.2">
      <c r="A88" s="4" t="s">
        <v>132</v>
      </c>
      <c r="B88" s="9">
        <v>2561</v>
      </c>
      <c r="C88" s="9">
        <v>201</v>
      </c>
      <c r="D88" s="9">
        <v>0</v>
      </c>
      <c r="E88" s="9">
        <v>201</v>
      </c>
      <c r="F88" s="9">
        <v>112</v>
      </c>
      <c r="G88" s="9">
        <v>135</v>
      </c>
      <c r="H88" s="9">
        <v>0</v>
      </c>
      <c r="I88" s="9">
        <v>45</v>
      </c>
      <c r="J88" s="9">
        <v>487</v>
      </c>
      <c r="K88" s="9">
        <v>0</v>
      </c>
      <c r="L88" s="9">
        <v>526</v>
      </c>
      <c r="M88" s="9">
        <v>382</v>
      </c>
      <c r="N88" s="9">
        <v>20</v>
      </c>
      <c r="O88" s="9">
        <v>100</v>
      </c>
      <c r="P88" s="9">
        <v>262</v>
      </c>
      <c r="Q88" s="9">
        <v>45</v>
      </c>
      <c r="R88" s="9">
        <v>0</v>
      </c>
      <c r="S88" s="9">
        <v>45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</row>
    <row r="89" spans="1:24" x14ac:dyDescent="0.2">
      <c r="A89" s="4" t="s">
        <v>133</v>
      </c>
      <c r="B89" s="9">
        <v>15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15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</row>
    <row r="90" spans="1:24" x14ac:dyDescent="0.2">
      <c r="A90" s="4" t="s">
        <v>134</v>
      </c>
      <c r="B90" s="9">
        <v>46485</v>
      </c>
      <c r="C90" s="9">
        <v>0</v>
      </c>
      <c r="D90" s="9">
        <v>100</v>
      </c>
      <c r="E90" s="9">
        <v>100</v>
      </c>
      <c r="F90" s="9">
        <v>200</v>
      </c>
      <c r="G90" s="9">
        <v>128</v>
      </c>
      <c r="H90" s="9">
        <v>100</v>
      </c>
      <c r="I90" s="9">
        <v>100</v>
      </c>
      <c r="J90" s="9">
        <v>0</v>
      </c>
      <c r="K90" s="9">
        <v>37</v>
      </c>
      <c r="L90" s="9">
        <v>0</v>
      </c>
      <c r="M90" s="9">
        <v>0</v>
      </c>
      <c r="N90" s="9">
        <v>0</v>
      </c>
      <c r="O90" s="9">
        <v>19500</v>
      </c>
      <c r="P90" s="9">
        <v>18750</v>
      </c>
      <c r="Q90" s="9">
        <v>7313</v>
      </c>
      <c r="R90" s="9">
        <v>0</v>
      </c>
      <c r="S90" s="9">
        <v>0</v>
      </c>
      <c r="T90" s="9">
        <v>0</v>
      </c>
      <c r="U90" s="9">
        <v>70</v>
      </c>
      <c r="V90" s="9">
        <v>87</v>
      </c>
      <c r="W90" s="9">
        <v>0</v>
      </c>
      <c r="X90" s="9">
        <v>0</v>
      </c>
    </row>
    <row r="91" spans="1:24" x14ac:dyDescent="0.2">
      <c r="A91" s="4" t="s">
        <v>135</v>
      </c>
      <c r="B91" s="9">
        <v>2068</v>
      </c>
      <c r="C91" s="9">
        <v>0</v>
      </c>
      <c r="D91" s="9">
        <v>59</v>
      </c>
      <c r="E91" s="9">
        <v>0</v>
      </c>
      <c r="F91" s="9">
        <v>0</v>
      </c>
      <c r="G91" s="9">
        <v>0</v>
      </c>
      <c r="H91" s="9">
        <v>8</v>
      </c>
      <c r="I91" s="9">
        <v>0</v>
      </c>
      <c r="J91" s="9">
        <v>149</v>
      </c>
      <c r="K91" s="9">
        <v>0</v>
      </c>
      <c r="L91" s="9">
        <v>629</v>
      </c>
      <c r="M91" s="9">
        <v>0</v>
      </c>
      <c r="N91" s="9">
        <v>368</v>
      </c>
      <c r="O91" s="9">
        <v>55</v>
      </c>
      <c r="P91" s="9">
        <v>270</v>
      </c>
      <c r="Q91" s="9">
        <v>159</v>
      </c>
      <c r="R91" s="9">
        <v>0</v>
      </c>
      <c r="S91" s="9">
        <v>116</v>
      </c>
      <c r="T91" s="9">
        <v>0</v>
      </c>
      <c r="U91" s="9">
        <v>45</v>
      </c>
      <c r="V91" s="9">
        <v>195</v>
      </c>
      <c r="W91" s="9">
        <v>13</v>
      </c>
      <c r="X91" s="9">
        <v>0</v>
      </c>
    </row>
    <row r="92" spans="1:24" x14ac:dyDescent="0.2">
      <c r="A92" s="4" t="s">
        <v>136</v>
      </c>
      <c r="B92" s="9">
        <v>-57</v>
      </c>
      <c r="C92" s="9">
        <v>-83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57</v>
      </c>
      <c r="Q92" s="9">
        <v>0</v>
      </c>
      <c r="R92" s="9">
        <v>0</v>
      </c>
      <c r="S92" s="9">
        <v>0</v>
      </c>
      <c r="T92" s="9">
        <v>0</v>
      </c>
      <c r="U92" s="9">
        <v>-31</v>
      </c>
      <c r="V92" s="9">
        <v>0</v>
      </c>
      <c r="W92" s="9">
        <v>0</v>
      </c>
      <c r="X92" s="9">
        <v>0</v>
      </c>
    </row>
    <row r="93" spans="1:24" x14ac:dyDescent="0.2">
      <c r="A93" s="4" t="s">
        <v>137</v>
      </c>
      <c r="B93" s="11">
        <v>505270</v>
      </c>
      <c r="C93" s="11">
        <v>25615</v>
      </c>
      <c r="D93" s="11">
        <v>26049</v>
      </c>
      <c r="E93" s="11">
        <v>21304</v>
      </c>
      <c r="F93" s="11">
        <v>19001</v>
      </c>
      <c r="G93" s="11">
        <v>21008</v>
      </c>
      <c r="H93" s="11">
        <v>19559</v>
      </c>
      <c r="I93" s="11">
        <v>19259</v>
      </c>
      <c r="J93" s="11">
        <v>25469</v>
      </c>
      <c r="K93" s="11">
        <v>16101</v>
      </c>
      <c r="L93" s="11">
        <v>54716</v>
      </c>
      <c r="M93" s="11">
        <v>25655</v>
      </c>
      <c r="N93" s="11">
        <v>50896</v>
      </c>
      <c r="O93" s="11">
        <v>44698</v>
      </c>
      <c r="P93" s="11">
        <v>43168</v>
      </c>
      <c r="Q93" s="11">
        <v>35134</v>
      </c>
      <c r="R93" s="11">
        <v>20797</v>
      </c>
      <c r="S93" s="11">
        <v>7464</v>
      </c>
      <c r="T93" s="11">
        <v>10457</v>
      </c>
      <c r="U93" s="11">
        <v>8804</v>
      </c>
      <c r="V93" s="11">
        <v>7489</v>
      </c>
      <c r="W93" s="11">
        <v>2775</v>
      </c>
      <c r="X93" s="11">
        <v>-153</v>
      </c>
    </row>
    <row r="94" spans="1:24" x14ac:dyDescent="0.2">
      <c r="A94" s="4" t="s">
        <v>43</v>
      </c>
      <c r="B94" s="13" t="s">
        <v>72</v>
      </c>
      <c r="C94" s="13" t="s">
        <v>72</v>
      </c>
      <c r="D94" s="13" t="s">
        <v>72</v>
      </c>
      <c r="E94" s="13" t="s">
        <v>72</v>
      </c>
      <c r="F94" s="13" t="s">
        <v>72</v>
      </c>
      <c r="G94" s="13" t="s">
        <v>72</v>
      </c>
      <c r="H94" s="13" t="s">
        <v>72</v>
      </c>
      <c r="I94" s="13" t="s">
        <v>72</v>
      </c>
      <c r="J94" s="13" t="s">
        <v>72</v>
      </c>
      <c r="K94" s="13" t="s">
        <v>72</v>
      </c>
      <c r="L94" s="13" t="s">
        <v>72</v>
      </c>
      <c r="M94" s="13" t="s">
        <v>72</v>
      </c>
      <c r="N94" s="13" t="s">
        <v>72</v>
      </c>
      <c r="O94" s="13" t="s">
        <v>72</v>
      </c>
      <c r="P94" s="13" t="s">
        <v>72</v>
      </c>
      <c r="Q94" s="13" t="s">
        <v>72</v>
      </c>
      <c r="R94" s="13" t="s">
        <v>72</v>
      </c>
      <c r="S94" s="13" t="s">
        <v>72</v>
      </c>
      <c r="T94" s="13" t="s">
        <v>72</v>
      </c>
      <c r="U94" s="13" t="s">
        <v>72</v>
      </c>
      <c r="V94" s="13" t="s">
        <v>72</v>
      </c>
      <c r="W94" s="13" t="s">
        <v>72</v>
      </c>
      <c r="X94" s="13" t="s">
        <v>72</v>
      </c>
    </row>
    <row r="95" spans="1:24" x14ac:dyDescent="0.2">
      <c r="A95" s="4" t="s">
        <v>73</v>
      </c>
      <c r="B95" s="9">
        <v>40076</v>
      </c>
      <c r="C95" s="9">
        <v>0</v>
      </c>
      <c r="D95" s="9">
        <v>0</v>
      </c>
      <c r="E95" s="9">
        <v>3860</v>
      </c>
      <c r="F95" s="9">
        <v>0</v>
      </c>
      <c r="G95" s="9">
        <v>2292</v>
      </c>
      <c r="H95" s="9">
        <v>1281</v>
      </c>
      <c r="I95" s="9">
        <v>0</v>
      </c>
      <c r="J95" s="9">
        <v>5011</v>
      </c>
      <c r="K95" s="9">
        <v>1437</v>
      </c>
      <c r="L95" s="9">
        <v>4089</v>
      </c>
      <c r="M95" s="9">
        <v>3302</v>
      </c>
      <c r="N95" s="9">
        <v>5855</v>
      </c>
      <c r="O95" s="9">
        <v>6965</v>
      </c>
      <c r="P95" s="9">
        <v>1353</v>
      </c>
      <c r="Q95" s="9">
        <v>4634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</row>
    <row r="96" spans="1:24" x14ac:dyDescent="0.2">
      <c r="A96" s="4" t="s">
        <v>74</v>
      </c>
      <c r="B96" s="9">
        <v>375</v>
      </c>
      <c r="C96" s="9">
        <v>0</v>
      </c>
      <c r="D96" s="9">
        <v>0</v>
      </c>
      <c r="E96" s="9">
        <v>73</v>
      </c>
      <c r="F96" s="9">
        <v>0</v>
      </c>
      <c r="G96" s="9">
        <v>39</v>
      </c>
      <c r="H96" s="9">
        <v>0</v>
      </c>
      <c r="I96" s="9">
        <v>0</v>
      </c>
      <c r="J96" s="9">
        <v>41</v>
      </c>
      <c r="K96" s="9">
        <v>0</v>
      </c>
      <c r="L96" s="9">
        <v>75</v>
      </c>
      <c r="M96" s="9">
        <v>26</v>
      </c>
      <c r="N96" s="9">
        <v>0</v>
      </c>
      <c r="O96" s="9">
        <v>120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</row>
    <row r="97" spans="1:24" x14ac:dyDescent="0.2">
      <c r="A97" s="4" t="s">
        <v>77</v>
      </c>
      <c r="B97" s="9">
        <v>2645</v>
      </c>
      <c r="C97" s="9">
        <v>0</v>
      </c>
      <c r="D97" s="9">
        <v>0</v>
      </c>
      <c r="E97" s="9">
        <v>74</v>
      </c>
      <c r="F97" s="9">
        <v>0</v>
      </c>
      <c r="G97" s="9">
        <v>179</v>
      </c>
      <c r="H97" s="9">
        <v>46</v>
      </c>
      <c r="I97" s="9">
        <v>0</v>
      </c>
      <c r="J97" s="9">
        <v>584</v>
      </c>
      <c r="K97" s="9">
        <v>108</v>
      </c>
      <c r="L97" s="9">
        <v>301</v>
      </c>
      <c r="M97" s="9">
        <v>118</v>
      </c>
      <c r="N97" s="9">
        <v>408</v>
      </c>
      <c r="O97" s="9">
        <v>443</v>
      </c>
      <c r="P97" s="9">
        <v>175</v>
      </c>
      <c r="Q97" s="9">
        <v>210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</row>
    <row r="98" spans="1:24" x14ac:dyDescent="0.2">
      <c r="A98" s="4" t="s">
        <v>138</v>
      </c>
      <c r="B98" s="9">
        <v>7253</v>
      </c>
      <c r="C98" s="9">
        <v>257</v>
      </c>
      <c r="D98" s="9">
        <v>473</v>
      </c>
      <c r="E98" s="9">
        <v>0</v>
      </c>
      <c r="F98" s="9">
        <v>469</v>
      </c>
      <c r="G98" s="9">
        <v>389</v>
      </c>
      <c r="H98" s="9">
        <v>0</v>
      </c>
      <c r="I98" s="9">
        <v>382</v>
      </c>
      <c r="J98" s="9">
        <v>433</v>
      </c>
      <c r="K98" s="9">
        <v>524</v>
      </c>
      <c r="L98" s="9">
        <v>336</v>
      </c>
      <c r="M98" s="9">
        <v>503</v>
      </c>
      <c r="N98" s="9">
        <v>590</v>
      </c>
      <c r="O98" s="9">
        <v>1098</v>
      </c>
      <c r="P98" s="9">
        <v>463</v>
      </c>
      <c r="Q98" s="9">
        <v>550</v>
      </c>
      <c r="R98" s="9">
        <v>386</v>
      </c>
      <c r="S98" s="9">
        <v>66</v>
      </c>
      <c r="T98" s="9">
        <v>65</v>
      </c>
      <c r="U98" s="9">
        <v>131</v>
      </c>
      <c r="V98" s="9">
        <v>89</v>
      </c>
      <c r="W98" s="9">
        <v>51</v>
      </c>
      <c r="X98" s="9">
        <v>0</v>
      </c>
    </row>
    <row r="99" spans="1:24" x14ac:dyDescent="0.2">
      <c r="A99" s="4" t="s">
        <v>139</v>
      </c>
      <c r="B99" s="9">
        <v>3160</v>
      </c>
      <c r="C99" s="9">
        <v>327</v>
      </c>
      <c r="D99" s="9">
        <v>23</v>
      </c>
      <c r="E99" s="9">
        <v>58</v>
      </c>
      <c r="F99" s="9">
        <v>252</v>
      </c>
      <c r="G99" s="9">
        <v>130</v>
      </c>
      <c r="H99" s="9">
        <v>0</v>
      </c>
      <c r="I99" s="9">
        <v>67</v>
      </c>
      <c r="J99" s="9">
        <v>0</v>
      </c>
      <c r="K99" s="9">
        <v>0</v>
      </c>
      <c r="L99" s="9">
        <v>251</v>
      </c>
      <c r="M99" s="9">
        <v>137</v>
      </c>
      <c r="N99" s="9">
        <v>1249</v>
      </c>
      <c r="O99" s="9">
        <v>0</v>
      </c>
      <c r="P99" s="9">
        <v>319</v>
      </c>
      <c r="Q99" s="9">
        <v>345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</row>
    <row r="100" spans="1:24" x14ac:dyDescent="0.2">
      <c r="A100" s="4" t="s">
        <v>140</v>
      </c>
      <c r="B100" s="11">
        <v>53509</v>
      </c>
      <c r="C100" s="11">
        <v>584</v>
      </c>
      <c r="D100" s="11">
        <v>496</v>
      </c>
      <c r="E100" s="11">
        <v>4065</v>
      </c>
      <c r="F100" s="11">
        <v>721</v>
      </c>
      <c r="G100" s="11">
        <v>3029</v>
      </c>
      <c r="H100" s="11">
        <v>1327</v>
      </c>
      <c r="I100" s="11">
        <v>449</v>
      </c>
      <c r="J100" s="11">
        <v>6069</v>
      </c>
      <c r="K100" s="11">
        <v>2069</v>
      </c>
      <c r="L100" s="11">
        <v>5052</v>
      </c>
      <c r="M100" s="11">
        <v>4086</v>
      </c>
      <c r="N100" s="11">
        <v>8102</v>
      </c>
      <c r="O100" s="11">
        <v>8626</v>
      </c>
      <c r="P100" s="11">
        <v>2310</v>
      </c>
      <c r="Q100" s="11">
        <v>5739</v>
      </c>
      <c r="R100" s="11">
        <v>386</v>
      </c>
      <c r="S100" s="11">
        <v>66</v>
      </c>
      <c r="T100" s="11">
        <v>65</v>
      </c>
      <c r="U100" s="11">
        <v>131</v>
      </c>
      <c r="V100" s="11">
        <v>89</v>
      </c>
      <c r="W100" s="11">
        <v>51</v>
      </c>
      <c r="X100" s="11">
        <v>0</v>
      </c>
    </row>
    <row r="101" spans="1:24" x14ac:dyDescent="0.2">
      <c r="A101" s="4" t="s">
        <v>44</v>
      </c>
      <c r="B101" s="12">
        <v>5015831</v>
      </c>
      <c r="C101" s="12">
        <v>333263</v>
      </c>
      <c r="D101" s="12">
        <v>216959</v>
      </c>
      <c r="E101" s="12">
        <v>222063</v>
      </c>
      <c r="F101" s="12">
        <v>253414</v>
      </c>
      <c r="G101" s="12">
        <v>230331</v>
      </c>
      <c r="H101" s="12">
        <v>197198</v>
      </c>
      <c r="I101" s="12">
        <v>154849</v>
      </c>
      <c r="J101" s="12">
        <v>234265</v>
      </c>
      <c r="K101" s="12">
        <v>194627</v>
      </c>
      <c r="L101" s="12">
        <v>326922</v>
      </c>
      <c r="M101" s="12">
        <v>301694</v>
      </c>
      <c r="N101" s="12">
        <v>582947</v>
      </c>
      <c r="O101" s="12">
        <v>367648</v>
      </c>
      <c r="P101" s="12">
        <v>466662</v>
      </c>
      <c r="Q101" s="12">
        <v>326400</v>
      </c>
      <c r="R101" s="12">
        <v>286114</v>
      </c>
      <c r="S101" s="12">
        <v>66069</v>
      </c>
      <c r="T101" s="12">
        <v>82080</v>
      </c>
      <c r="U101" s="12">
        <v>57830</v>
      </c>
      <c r="V101" s="12">
        <v>81721</v>
      </c>
      <c r="W101" s="12">
        <v>32704</v>
      </c>
      <c r="X101" s="12">
        <v>72</v>
      </c>
    </row>
    <row r="102" spans="1:24" x14ac:dyDescent="0.2">
      <c r="A102" s="2" t="s">
        <v>6</v>
      </c>
    </row>
    <row r="103" spans="1:24" x14ac:dyDescent="0.2">
      <c r="A103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"/>
  <sheetViews>
    <sheetView topLeftCell="A23" workbookViewId="0">
      <selection activeCell="L45" sqref="L45"/>
    </sheetView>
  </sheetViews>
  <sheetFormatPr defaultColWidth="9.140625" defaultRowHeight="12.75" x14ac:dyDescent="0.2"/>
  <cols>
    <col min="1" max="1" width="47.710937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141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46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142</v>
      </c>
      <c r="B12" s="4" t="s">
        <v>72</v>
      </c>
      <c r="C12" s="4" t="s">
        <v>72</v>
      </c>
      <c r="D12" s="4" t="s">
        <v>72</v>
      </c>
      <c r="E12" s="4" t="s">
        <v>72</v>
      </c>
      <c r="F12" s="4" t="s">
        <v>72</v>
      </c>
      <c r="G12" s="4" t="s">
        <v>72</v>
      </c>
      <c r="H12" s="4" t="s">
        <v>72</v>
      </c>
      <c r="I12" s="4" t="s">
        <v>72</v>
      </c>
      <c r="J12" s="4" t="s">
        <v>72</v>
      </c>
      <c r="K12" s="4" t="s">
        <v>72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 t="s">
        <v>72</v>
      </c>
      <c r="S12" s="4" t="s">
        <v>72</v>
      </c>
      <c r="T12" s="4" t="s">
        <v>72</v>
      </c>
      <c r="U12" s="4" t="s">
        <v>72</v>
      </c>
      <c r="V12" s="4" t="s">
        <v>72</v>
      </c>
      <c r="W12" s="4" t="s">
        <v>72</v>
      </c>
      <c r="X12" s="4" t="s">
        <v>72</v>
      </c>
    </row>
    <row r="13" spans="1:24" x14ac:dyDescent="0.2">
      <c r="A13" s="4" t="s">
        <v>143</v>
      </c>
      <c r="B13" s="9">
        <v>6819</v>
      </c>
      <c r="C13" s="9">
        <v>239</v>
      </c>
      <c r="D13" s="9">
        <v>47</v>
      </c>
      <c r="E13" s="9">
        <v>0</v>
      </c>
      <c r="F13" s="9">
        <v>132</v>
      </c>
      <c r="G13" s="9">
        <v>0</v>
      </c>
      <c r="H13" s="9">
        <v>91</v>
      </c>
      <c r="I13" s="9">
        <v>271</v>
      </c>
      <c r="J13" s="9">
        <v>0</v>
      </c>
      <c r="K13" s="9">
        <v>1028</v>
      </c>
      <c r="L13" s="9">
        <v>908</v>
      </c>
      <c r="M13" s="9">
        <v>148</v>
      </c>
      <c r="N13" s="9">
        <v>52</v>
      </c>
      <c r="O13" s="9">
        <v>27</v>
      </c>
      <c r="P13" s="9">
        <v>899</v>
      </c>
      <c r="Q13" s="9">
        <v>463</v>
      </c>
      <c r="R13" s="9">
        <v>503</v>
      </c>
      <c r="S13" s="9">
        <v>0</v>
      </c>
      <c r="T13" s="9">
        <v>0</v>
      </c>
      <c r="U13" s="9">
        <v>671</v>
      </c>
      <c r="V13" s="9">
        <v>1043</v>
      </c>
      <c r="W13" s="9">
        <v>296</v>
      </c>
      <c r="X13" s="9">
        <v>0</v>
      </c>
    </row>
    <row r="14" spans="1:24" x14ac:dyDescent="0.2">
      <c r="A14" s="4" t="s">
        <v>144</v>
      </c>
      <c r="B14" s="9">
        <v>1487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385</v>
      </c>
      <c r="I14" s="9">
        <v>0</v>
      </c>
      <c r="J14" s="9">
        <v>143</v>
      </c>
      <c r="K14" s="9">
        <v>176</v>
      </c>
      <c r="L14" s="9">
        <v>212</v>
      </c>
      <c r="M14" s="9">
        <v>147</v>
      </c>
      <c r="N14" s="9">
        <v>0</v>
      </c>
      <c r="O14" s="9">
        <v>0</v>
      </c>
      <c r="P14" s="9">
        <v>227</v>
      </c>
      <c r="Q14" s="9">
        <v>0</v>
      </c>
      <c r="R14" s="9">
        <v>0</v>
      </c>
      <c r="S14" s="9">
        <v>0</v>
      </c>
      <c r="T14" s="9">
        <v>0</v>
      </c>
      <c r="U14" s="9">
        <v>33</v>
      </c>
      <c r="V14" s="9">
        <v>163</v>
      </c>
      <c r="W14" s="9">
        <v>0</v>
      </c>
      <c r="X14" s="9">
        <v>0</v>
      </c>
    </row>
    <row r="15" spans="1:24" x14ac:dyDescent="0.2">
      <c r="A15" s="4" t="s">
        <v>145</v>
      </c>
      <c r="B15" s="11">
        <v>8306</v>
      </c>
      <c r="C15" s="11">
        <v>239</v>
      </c>
      <c r="D15" s="11">
        <v>47</v>
      </c>
      <c r="E15" s="11">
        <v>0</v>
      </c>
      <c r="F15" s="11">
        <v>132</v>
      </c>
      <c r="G15" s="11">
        <v>0</v>
      </c>
      <c r="H15" s="11">
        <v>476</v>
      </c>
      <c r="I15" s="11">
        <v>271</v>
      </c>
      <c r="J15" s="11">
        <v>143</v>
      </c>
      <c r="K15" s="11">
        <v>1204</v>
      </c>
      <c r="L15" s="11">
        <v>1120</v>
      </c>
      <c r="M15" s="11">
        <v>295</v>
      </c>
      <c r="N15" s="11">
        <v>52</v>
      </c>
      <c r="O15" s="11">
        <v>27</v>
      </c>
      <c r="P15" s="11">
        <v>1126</v>
      </c>
      <c r="Q15" s="11">
        <v>463</v>
      </c>
      <c r="R15" s="11">
        <v>503</v>
      </c>
      <c r="S15" s="11">
        <v>0</v>
      </c>
      <c r="T15" s="11">
        <v>0</v>
      </c>
      <c r="U15" s="11">
        <v>704</v>
      </c>
      <c r="V15" s="11">
        <v>1206</v>
      </c>
      <c r="W15" s="11">
        <v>296</v>
      </c>
      <c r="X15" s="11">
        <v>0</v>
      </c>
    </row>
    <row r="16" spans="1:24" x14ac:dyDescent="0.2">
      <c r="A16" s="4" t="s">
        <v>146</v>
      </c>
      <c r="B16" s="13" t="s">
        <v>72</v>
      </c>
      <c r="C16" s="13" t="s">
        <v>72</v>
      </c>
      <c r="D16" s="13" t="s">
        <v>72</v>
      </c>
      <c r="E16" s="13" t="s">
        <v>72</v>
      </c>
      <c r="F16" s="13" t="s">
        <v>72</v>
      </c>
      <c r="G16" s="13" t="s">
        <v>72</v>
      </c>
      <c r="H16" s="13" t="s">
        <v>72</v>
      </c>
      <c r="I16" s="13" t="s">
        <v>72</v>
      </c>
      <c r="J16" s="13" t="s">
        <v>72</v>
      </c>
      <c r="K16" s="13" t="s">
        <v>72</v>
      </c>
      <c r="L16" s="13" t="s">
        <v>72</v>
      </c>
      <c r="M16" s="13" t="s">
        <v>72</v>
      </c>
      <c r="N16" s="13" t="s">
        <v>72</v>
      </c>
      <c r="O16" s="13" t="s">
        <v>72</v>
      </c>
      <c r="P16" s="13" t="s">
        <v>72</v>
      </c>
      <c r="Q16" s="13" t="s">
        <v>72</v>
      </c>
      <c r="R16" s="13" t="s">
        <v>72</v>
      </c>
      <c r="S16" s="13" t="s">
        <v>72</v>
      </c>
      <c r="T16" s="13" t="s">
        <v>72</v>
      </c>
      <c r="U16" s="13" t="s">
        <v>72</v>
      </c>
      <c r="V16" s="13" t="s">
        <v>72</v>
      </c>
      <c r="W16" s="13" t="s">
        <v>72</v>
      </c>
      <c r="X16" s="13" t="s">
        <v>72</v>
      </c>
    </row>
    <row r="17" spans="1:24" x14ac:dyDescent="0.2">
      <c r="A17" s="4" t="s">
        <v>73</v>
      </c>
      <c r="B17" s="9">
        <v>223282</v>
      </c>
      <c r="C17" s="9">
        <v>13002</v>
      </c>
      <c r="D17" s="9">
        <v>7389</v>
      </c>
      <c r="E17" s="9">
        <v>7693</v>
      </c>
      <c r="F17" s="9">
        <v>12979</v>
      </c>
      <c r="G17" s="9">
        <v>13879</v>
      </c>
      <c r="H17" s="9">
        <v>6960</v>
      </c>
      <c r="I17" s="9">
        <v>9187</v>
      </c>
      <c r="J17" s="9">
        <v>9892</v>
      </c>
      <c r="K17" s="9">
        <v>3235</v>
      </c>
      <c r="L17" s="9">
        <v>17525</v>
      </c>
      <c r="M17" s="9">
        <v>9609</v>
      </c>
      <c r="N17" s="9">
        <v>18513</v>
      </c>
      <c r="O17" s="9">
        <v>14143</v>
      </c>
      <c r="P17" s="9">
        <v>20023</v>
      </c>
      <c r="Q17" s="9">
        <v>21329</v>
      </c>
      <c r="R17" s="9">
        <v>12103</v>
      </c>
      <c r="S17" s="9">
        <v>8793</v>
      </c>
      <c r="T17" s="9">
        <v>4080</v>
      </c>
      <c r="U17" s="9">
        <v>2440</v>
      </c>
      <c r="V17" s="9">
        <v>10513</v>
      </c>
      <c r="W17" s="9">
        <v>0</v>
      </c>
      <c r="X17" s="9">
        <v>0</v>
      </c>
    </row>
    <row r="18" spans="1:24" x14ac:dyDescent="0.2">
      <c r="A18" s="4" t="s">
        <v>74</v>
      </c>
      <c r="B18" s="9">
        <v>3225</v>
      </c>
      <c r="C18" s="9">
        <v>1135</v>
      </c>
      <c r="D18" s="9">
        <v>0</v>
      </c>
      <c r="E18" s="9">
        <v>0</v>
      </c>
      <c r="F18" s="9">
        <v>19</v>
      </c>
      <c r="G18" s="9">
        <v>51</v>
      </c>
      <c r="H18" s="9">
        <v>34</v>
      </c>
      <c r="I18" s="9">
        <v>239</v>
      </c>
      <c r="J18" s="9">
        <v>406</v>
      </c>
      <c r="K18" s="9">
        <v>37</v>
      </c>
      <c r="L18" s="9">
        <v>0</v>
      </c>
      <c r="M18" s="9">
        <v>0</v>
      </c>
      <c r="N18" s="9">
        <v>1289</v>
      </c>
      <c r="O18" s="9">
        <v>0</v>
      </c>
      <c r="P18" s="9">
        <v>0</v>
      </c>
      <c r="Q18" s="9">
        <v>12</v>
      </c>
      <c r="R18" s="9">
        <v>0</v>
      </c>
      <c r="S18" s="9">
        <v>3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">
      <c r="A19" s="4" t="s">
        <v>75</v>
      </c>
      <c r="B19" s="9">
        <v>589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590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1:24" x14ac:dyDescent="0.2">
      <c r="A20" s="4" t="s">
        <v>76</v>
      </c>
      <c r="B20" s="9">
        <v>200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200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1:24" x14ac:dyDescent="0.2">
      <c r="A21" s="4" t="s">
        <v>77</v>
      </c>
      <c r="B21" s="9">
        <v>12330</v>
      </c>
      <c r="C21" s="9">
        <v>517</v>
      </c>
      <c r="D21" s="9">
        <v>1384</v>
      </c>
      <c r="E21" s="9">
        <v>272</v>
      </c>
      <c r="F21" s="9">
        <v>-6</v>
      </c>
      <c r="G21" s="9">
        <v>671</v>
      </c>
      <c r="H21" s="9">
        <v>357</v>
      </c>
      <c r="I21" s="9">
        <v>1590</v>
      </c>
      <c r="J21" s="9">
        <v>490</v>
      </c>
      <c r="K21" s="9">
        <v>329</v>
      </c>
      <c r="L21" s="9">
        <v>75</v>
      </c>
      <c r="M21" s="9">
        <v>282</v>
      </c>
      <c r="N21" s="9">
        <v>2174</v>
      </c>
      <c r="O21" s="9">
        <v>184</v>
      </c>
      <c r="P21" s="9">
        <v>1382</v>
      </c>
      <c r="Q21" s="9">
        <v>1792</v>
      </c>
      <c r="R21" s="9">
        <v>-627</v>
      </c>
      <c r="S21" s="9">
        <v>684</v>
      </c>
      <c r="T21" s="9">
        <v>-42</v>
      </c>
      <c r="U21" s="9">
        <v>475</v>
      </c>
      <c r="V21" s="9">
        <v>341</v>
      </c>
      <c r="W21" s="9">
        <v>0</v>
      </c>
      <c r="X21" s="9">
        <v>0</v>
      </c>
    </row>
    <row r="22" spans="1:24" x14ac:dyDescent="0.2">
      <c r="A22" s="4" t="s">
        <v>78</v>
      </c>
      <c r="B22" s="9">
        <v>250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50</v>
      </c>
      <c r="K22" s="9">
        <v>0</v>
      </c>
      <c r="L22" s="9">
        <v>50</v>
      </c>
      <c r="M22" s="9">
        <v>50</v>
      </c>
      <c r="N22" s="9">
        <v>50</v>
      </c>
      <c r="O22" s="9">
        <v>0</v>
      </c>
      <c r="P22" s="9">
        <v>50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4" t="s">
        <v>147</v>
      </c>
      <c r="B23" s="9">
        <v>7000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3500</v>
      </c>
      <c r="R23" s="9">
        <v>3500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2">
      <c r="A24" s="4" t="s">
        <v>148</v>
      </c>
      <c r="B24" s="9">
        <v>2730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68</v>
      </c>
      <c r="I24" s="9">
        <v>0</v>
      </c>
      <c r="J24" s="9">
        <v>277</v>
      </c>
      <c r="K24" s="9">
        <v>0</v>
      </c>
      <c r="L24" s="9">
        <v>863</v>
      </c>
      <c r="M24" s="9">
        <v>0</v>
      </c>
      <c r="N24" s="9">
        <v>1284</v>
      </c>
      <c r="O24" s="9">
        <v>44</v>
      </c>
      <c r="P24" s="9">
        <v>0</v>
      </c>
      <c r="Q24" s="9">
        <v>150</v>
      </c>
      <c r="R24" s="9">
        <v>45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4" t="s">
        <v>149</v>
      </c>
      <c r="B25" s="9">
        <v>14209</v>
      </c>
      <c r="C25" s="9">
        <v>494</v>
      </c>
      <c r="D25" s="9">
        <v>873</v>
      </c>
      <c r="E25" s="9">
        <v>871</v>
      </c>
      <c r="F25" s="9">
        <v>1425</v>
      </c>
      <c r="G25" s="9">
        <v>1035</v>
      </c>
      <c r="H25" s="9">
        <v>495</v>
      </c>
      <c r="I25" s="9">
        <v>742</v>
      </c>
      <c r="J25" s="9">
        <v>472</v>
      </c>
      <c r="K25" s="9">
        <v>472</v>
      </c>
      <c r="L25" s="9">
        <v>593</v>
      </c>
      <c r="M25" s="9">
        <v>690</v>
      </c>
      <c r="N25" s="9">
        <v>1781</v>
      </c>
      <c r="O25" s="9">
        <v>639</v>
      </c>
      <c r="P25" s="9">
        <v>577</v>
      </c>
      <c r="Q25" s="9">
        <v>886</v>
      </c>
      <c r="R25" s="9">
        <v>1546</v>
      </c>
      <c r="S25" s="9">
        <v>114</v>
      </c>
      <c r="T25" s="9">
        <v>124</v>
      </c>
      <c r="U25" s="9">
        <v>114</v>
      </c>
      <c r="V25" s="9">
        <v>115</v>
      </c>
      <c r="W25" s="9">
        <v>119</v>
      </c>
      <c r="X25" s="9">
        <v>33</v>
      </c>
    </row>
    <row r="26" spans="1:24" x14ac:dyDescent="0.2">
      <c r="A26" s="4" t="s">
        <v>150</v>
      </c>
      <c r="B26" s="9">
        <v>9330</v>
      </c>
      <c r="C26" s="9">
        <v>179</v>
      </c>
      <c r="D26" s="9">
        <v>188</v>
      </c>
      <c r="E26" s="9">
        <v>50</v>
      </c>
      <c r="F26" s="9">
        <v>72</v>
      </c>
      <c r="G26" s="9">
        <v>173</v>
      </c>
      <c r="H26" s="9">
        <v>230</v>
      </c>
      <c r="I26" s="9">
        <v>184</v>
      </c>
      <c r="J26" s="9">
        <v>335</v>
      </c>
      <c r="K26" s="9">
        <v>720</v>
      </c>
      <c r="L26" s="9">
        <v>628</v>
      </c>
      <c r="M26" s="9">
        <v>1702</v>
      </c>
      <c r="N26" s="9">
        <v>516</v>
      </c>
      <c r="O26" s="9">
        <v>792</v>
      </c>
      <c r="P26" s="9">
        <v>430</v>
      </c>
      <c r="Q26" s="9">
        <v>522</v>
      </c>
      <c r="R26" s="9">
        <v>356</v>
      </c>
      <c r="S26" s="9">
        <v>400</v>
      </c>
      <c r="T26" s="9">
        <v>139</v>
      </c>
      <c r="U26" s="9">
        <v>707</v>
      </c>
      <c r="V26" s="9">
        <v>597</v>
      </c>
      <c r="W26" s="9">
        <v>246</v>
      </c>
      <c r="X26" s="9">
        <v>166</v>
      </c>
    </row>
    <row r="27" spans="1:24" x14ac:dyDescent="0.2">
      <c r="A27" s="4" t="s">
        <v>151</v>
      </c>
      <c r="B27" s="9">
        <v>132973</v>
      </c>
      <c r="C27" s="9">
        <v>5736</v>
      </c>
      <c r="D27" s="9">
        <v>3913</v>
      </c>
      <c r="E27" s="9">
        <v>4450</v>
      </c>
      <c r="F27" s="9">
        <v>6973</v>
      </c>
      <c r="G27" s="9">
        <v>3976</v>
      </c>
      <c r="H27" s="9">
        <v>3619</v>
      </c>
      <c r="I27" s="9">
        <v>4518</v>
      </c>
      <c r="J27" s="9">
        <v>6897</v>
      </c>
      <c r="K27" s="9">
        <v>7307</v>
      </c>
      <c r="L27" s="9">
        <v>7839</v>
      </c>
      <c r="M27" s="9">
        <v>7276</v>
      </c>
      <c r="N27" s="9">
        <v>12946</v>
      </c>
      <c r="O27" s="9">
        <v>10468</v>
      </c>
      <c r="P27" s="9">
        <v>10158</v>
      </c>
      <c r="Q27" s="9">
        <v>14973</v>
      </c>
      <c r="R27" s="9">
        <v>14423</v>
      </c>
      <c r="S27" s="9">
        <v>1537</v>
      </c>
      <c r="T27" s="9">
        <v>1637</v>
      </c>
      <c r="U27" s="9">
        <v>1736</v>
      </c>
      <c r="V27" s="9">
        <v>1756</v>
      </c>
      <c r="W27" s="9">
        <v>1608</v>
      </c>
      <c r="X27" s="9">
        <v>-776</v>
      </c>
    </row>
    <row r="28" spans="1:24" x14ac:dyDescent="0.2">
      <c r="A28" s="4" t="s">
        <v>152</v>
      </c>
      <c r="B28" s="9">
        <v>9251</v>
      </c>
      <c r="C28" s="9">
        <v>754</v>
      </c>
      <c r="D28" s="9">
        <v>717</v>
      </c>
      <c r="E28" s="9">
        <v>497</v>
      </c>
      <c r="F28" s="9">
        <v>388</v>
      </c>
      <c r="G28" s="9">
        <v>461</v>
      </c>
      <c r="H28" s="9">
        <v>0</v>
      </c>
      <c r="I28" s="9">
        <v>420</v>
      </c>
      <c r="J28" s="9">
        <v>626</v>
      </c>
      <c r="K28" s="9">
        <v>471</v>
      </c>
      <c r="L28" s="9">
        <v>461</v>
      </c>
      <c r="M28" s="9">
        <v>334</v>
      </c>
      <c r="N28" s="9">
        <v>-30</v>
      </c>
      <c r="O28" s="9">
        <v>604</v>
      </c>
      <c r="P28" s="9">
        <v>484</v>
      </c>
      <c r="Q28" s="9">
        <v>450</v>
      </c>
      <c r="R28" s="9">
        <v>474</v>
      </c>
      <c r="S28" s="9">
        <v>343</v>
      </c>
      <c r="T28" s="9">
        <v>381</v>
      </c>
      <c r="U28" s="9">
        <v>426</v>
      </c>
      <c r="V28" s="9">
        <v>471</v>
      </c>
      <c r="W28" s="9">
        <v>518</v>
      </c>
      <c r="X28" s="9">
        <v>0</v>
      </c>
    </row>
    <row r="29" spans="1:24" x14ac:dyDescent="0.2">
      <c r="A29" s="4" t="s">
        <v>153</v>
      </c>
      <c r="B29" s="9">
        <v>1948</v>
      </c>
      <c r="C29" s="9">
        <v>5</v>
      </c>
      <c r="D29" s="9">
        <v>5</v>
      </c>
      <c r="E29" s="9">
        <v>5</v>
      </c>
      <c r="F29" s="9">
        <v>5</v>
      </c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9">
        <v>5</v>
      </c>
      <c r="M29" s="9">
        <v>5</v>
      </c>
      <c r="N29" s="9">
        <v>5</v>
      </c>
      <c r="O29" s="9">
        <v>5</v>
      </c>
      <c r="P29" s="9">
        <v>5</v>
      </c>
      <c r="Q29" s="9">
        <v>936</v>
      </c>
      <c r="R29" s="9">
        <v>945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  <row r="30" spans="1:24" x14ac:dyDescent="0.2">
      <c r="A30" s="4" t="s">
        <v>154</v>
      </c>
      <c r="B30" s="9">
        <v>1909</v>
      </c>
      <c r="C30" s="9">
        <v>0</v>
      </c>
      <c r="D30" s="9">
        <v>155</v>
      </c>
      <c r="E30" s="9">
        <v>0</v>
      </c>
      <c r="F30" s="9">
        <v>0</v>
      </c>
      <c r="G30" s="9">
        <v>345</v>
      </c>
      <c r="H30" s="9">
        <v>0</v>
      </c>
      <c r="I30" s="9">
        <v>375</v>
      </c>
      <c r="J30" s="9">
        <v>200</v>
      </c>
      <c r="K30" s="9">
        <v>0</v>
      </c>
      <c r="L30" s="9">
        <v>142</v>
      </c>
      <c r="M30" s="9">
        <v>0</v>
      </c>
      <c r="N30" s="9">
        <v>127</v>
      </c>
      <c r="O30" s="9">
        <v>29</v>
      </c>
      <c r="P30" s="9">
        <v>182</v>
      </c>
      <c r="Q30" s="9">
        <v>30</v>
      </c>
      <c r="R30" s="9">
        <v>325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2">
      <c r="A31" s="4" t="s">
        <v>155</v>
      </c>
      <c r="B31" s="9">
        <v>165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21</v>
      </c>
      <c r="P31" s="9">
        <v>0</v>
      </c>
      <c r="Q31" s="9">
        <v>0</v>
      </c>
      <c r="R31" s="9">
        <v>0</v>
      </c>
      <c r="S31" s="9">
        <v>69</v>
      </c>
      <c r="T31" s="9">
        <v>0</v>
      </c>
      <c r="U31" s="9">
        <v>0</v>
      </c>
      <c r="V31" s="9">
        <v>0</v>
      </c>
      <c r="W31" s="9">
        <v>75</v>
      </c>
      <c r="X31" s="9">
        <v>0</v>
      </c>
    </row>
    <row r="32" spans="1:24" x14ac:dyDescent="0.2">
      <c r="A32" s="4" t="s">
        <v>156</v>
      </c>
      <c r="B32" s="9">
        <v>215</v>
      </c>
      <c r="C32" s="9">
        <v>0</v>
      </c>
      <c r="D32" s="9">
        <v>0</v>
      </c>
      <c r="E32" s="9">
        <v>73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108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34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2">
      <c r="A33" s="4" t="s">
        <v>157</v>
      </c>
      <c r="B33" s="9">
        <v>1896</v>
      </c>
      <c r="C33" s="9">
        <v>167</v>
      </c>
      <c r="D33" s="9">
        <v>42</v>
      </c>
      <c r="E33" s="9">
        <v>107</v>
      </c>
      <c r="F33" s="9">
        <v>88</v>
      </c>
      <c r="G33" s="9">
        <v>64</v>
      </c>
      <c r="H33" s="9">
        <v>0</v>
      </c>
      <c r="I33" s="9">
        <v>119</v>
      </c>
      <c r="J33" s="9">
        <v>52</v>
      </c>
      <c r="K33" s="9">
        <v>0</v>
      </c>
      <c r="L33" s="9">
        <v>61</v>
      </c>
      <c r="M33" s="9">
        <v>21</v>
      </c>
      <c r="N33" s="9">
        <v>267</v>
      </c>
      <c r="O33" s="9">
        <v>11</v>
      </c>
      <c r="P33" s="9">
        <v>201</v>
      </c>
      <c r="Q33" s="9">
        <v>404</v>
      </c>
      <c r="R33" s="9">
        <v>88</v>
      </c>
      <c r="S33" s="9">
        <v>10</v>
      </c>
      <c r="T33" s="9">
        <v>90</v>
      </c>
      <c r="U33" s="9">
        <v>61</v>
      </c>
      <c r="V33" s="9">
        <v>31</v>
      </c>
      <c r="W33" s="9">
        <v>10</v>
      </c>
      <c r="X33" s="9">
        <v>0</v>
      </c>
    </row>
    <row r="34" spans="1:24" x14ac:dyDescent="0.2">
      <c r="A34" s="4" t="s">
        <v>158</v>
      </c>
      <c r="B34" s="9">
        <v>83391</v>
      </c>
      <c r="C34" s="9">
        <v>4610</v>
      </c>
      <c r="D34" s="9">
        <v>3755</v>
      </c>
      <c r="E34" s="9">
        <v>3943</v>
      </c>
      <c r="F34" s="9">
        <v>3939</v>
      </c>
      <c r="G34" s="9">
        <v>3261</v>
      </c>
      <c r="H34" s="9">
        <v>2502</v>
      </c>
      <c r="I34" s="9">
        <v>3064</v>
      </c>
      <c r="J34" s="9">
        <v>4004</v>
      </c>
      <c r="K34" s="9">
        <v>2715</v>
      </c>
      <c r="L34" s="9">
        <v>4003</v>
      </c>
      <c r="M34" s="9">
        <v>3405</v>
      </c>
      <c r="N34" s="9">
        <v>7835</v>
      </c>
      <c r="O34" s="9">
        <v>5910</v>
      </c>
      <c r="P34" s="9">
        <v>5330</v>
      </c>
      <c r="Q34" s="9">
        <v>5608</v>
      </c>
      <c r="R34" s="9">
        <v>6109</v>
      </c>
      <c r="S34" s="9">
        <v>2200</v>
      </c>
      <c r="T34" s="9">
        <v>2464</v>
      </c>
      <c r="U34" s="9">
        <v>2453</v>
      </c>
      <c r="V34" s="9">
        <v>3380</v>
      </c>
      <c r="W34" s="9">
        <v>2899</v>
      </c>
      <c r="X34" s="9">
        <v>0</v>
      </c>
    </row>
    <row r="35" spans="1:24" x14ac:dyDescent="0.2">
      <c r="A35" s="4" t="s">
        <v>159</v>
      </c>
      <c r="B35" s="9">
        <v>167000</v>
      </c>
      <c r="C35" s="9">
        <v>11000</v>
      </c>
      <c r="D35" s="9">
        <v>11000</v>
      </c>
      <c r="E35" s="9">
        <v>11000</v>
      </c>
      <c r="F35" s="9">
        <v>11000</v>
      </c>
      <c r="G35" s="9">
        <v>11000</v>
      </c>
      <c r="H35" s="9">
        <v>11000</v>
      </c>
      <c r="I35" s="9">
        <v>11000</v>
      </c>
      <c r="J35" s="9">
        <v>8000</v>
      </c>
      <c r="K35" s="9">
        <v>8000</v>
      </c>
      <c r="L35" s="9">
        <v>8000</v>
      </c>
      <c r="M35" s="9">
        <v>8000</v>
      </c>
      <c r="N35" s="9">
        <v>8000</v>
      </c>
      <c r="O35" s="9">
        <v>8000</v>
      </c>
      <c r="P35" s="9">
        <v>8000</v>
      </c>
      <c r="Q35" s="9">
        <v>11000</v>
      </c>
      <c r="R35" s="9">
        <v>11000</v>
      </c>
      <c r="S35" s="9">
        <v>2000</v>
      </c>
      <c r="T35" s="9">
        <v>2000</v>
      </c>
      <c r="U35" s="9">
        <v>2000</v>
      </c>
      <c r="V35" s="9">
        <v>2000</v>
      </c>
      <c r="W35" s="9">
        <v>2000</v>
      </c>
      <c r="X35" s="9">
        <v>2000</v>
      </c>
    </row>
    <row r="36" spans="1:24" x14ac:dyDescent="0.2">
      <c r="A36" s="4" t="s">
        <v>160</v>
      </c>
      <c r="B36" s="9">
        <v>8089</v>
      </c>
      <c r="C36" s="9">
        <v>1382</v>
      </c>
      <c r="D36" s="9">
        <v>216</v>
      </c>
      <c r="E36" s="9">
        <v>796</v>
      </c>
      <c r="F36" s="9">
        <v>275</v>
      </c>
      <c r="G36" s="9">
        <v>701</v>
      </c>
      <c r="H36" s="9">
        <v>135</v>
      </c>
      <c r="I36" s="9">
        <v>275</v>
      </c>
      <c r="J36" s="9">
        <v>275</v>
      </c>
      <c r="K36" s="9">
        <v>645</v>
      </c>
      <c r="L36" s="9">
        <v>300</v>
      </c>
      <c r="M36" s="9">
        <v>131</v>
      </c>
      <c r="N36" s="9">
        <v>131</v>
      </c>
      <c r="O36" s="9">
        <v>275</v>
      </c>
      <c r="P36" s="9">
        <v>843</v>
      </c>
      <c r="Q36" s="9">
        <v>132</v>
      </c>
      <c r="R36" s="9">
        <v>275</v>
      </c>
      <c r="S36" s="9">
        <v>131</v>
      </c>
      <c r="T36" s="9">
        <v>144</v>
      </c>
      <c r="U36" s="9">
        <v>345</v>
      </c>
      <c r="V36" s="9">
        <v>552</v>
      </c>
      <c r="W36" s="9">
        <v>131</v>
      </c>
      <c r="X36" s="9">
        <v>0</v>
      </c>
    </row>
    <row r="37" spans="1:24" x14ac:dyDescent="0.2">
      <c r="A37" s="4" t="s">
        <v>161</v>
      </c>
      <c r="B37" s="9">
        <v>24425</v>
      </c>
      <c r="C37" s="9">
        <v>248</v>
      </c>
      <c r="D37" s="9">
        <v>248</v>
      </c>
      <c r="E37" s="9">
        <v>248</v>
      </c>
      <c r="F37" s="9">
        <v>248</v>
      </c>
      <c r="G37" s="9">
        <v>259</v>
      </c>
      <c r="H37" s="9">
        <v>0</v>
      </c>
      <c r="I37" s="9">
        <v>248</v>
      </c>
      <c r="J37" s="9">
        <v>248</v>
      </c>
      <c r="K37" s="9">
        <v>248</v>
      </c>
      <c r="L37" s="9">
        <v>248</v>
      </c>
      <c r="M37" s="9">
        <v>248</v>
      </c>
      <c r="N37" s="9">
        <v>248</v>
      </c>
      <c r="O37" s="9">
        <v>248</v>
      </c>
      <c r="P37" s="9">
        <v>248</v>
      </c>
      <c r="Q37" s="9">
        <v>248</v>
      </c>
      <c r="R37" s="9">
        <v>248</v>
      </c>
      <c r="S37" s="9">
        <v>3990</v>
      </c>
      <c r="T37" s="9">
        <v>4238</v>
      </c>
      <c r="U37" s="9">
        <v>4238</v>
      </c>
      <c r="V37" s="9">
        <v>4238</v>
      </c>
      <c r="W37" s="9">
        <v>3990</v>
      </c>
      <c r="X37" s="9">
        <v>0</v>
      </c>
    </row>
    <row r="38" spans="1:24" x14ac:dyDescent="0.2">
      <c r="A38" s="4" t="s">
        <v>162</v>
      </c>
      <c r="B38" s="9">
        <v>10199</v>
      </c>
      <c r="C38" s="9">
        <v>390</v>
      </c>
      <c r="D38" s="9">
        <v>285</v>
      </c>
      <c r="E38" s="9">
        <v>710</v>
      </c>
      <c r="F38" s="9">
        <v>354</v>
      </c>
      <c r="G38" s="9">
        <v>871</v>
      </c>
      <c r="H38" s="9">
        <v>132</v>
      </c>
      <c r="I38" s="9">
        <v>229</v>
      </c>
      <c r="J38" s="9">
        <v>206</v>
      </c>
      <c r="K38" s="9">
        <v>221</v>
      </c>
      <c r="L38" s="9">
        <v>647</v>
      </c>
      <c r="M38" s="9">
        <v>639</v>
      </c>
      <c r="N38" s="9">
        <v>1063</v>
      </c>
      <c r="O38" s="9">
        <v>590</v>
      </c>
      <c r="P38" s="9">
        <v>928</v>
      </c>
      <c r="Q38" s="9">
        <v>959</v>
      </c>
      <c r="R38" s="9">
        <v>749</v>
      </c>
      <c r="S38" s="9">
        <v>238</v>
      </c>
      <c r="T38" s="9">
        <v>160</v>
      </c>
      <c r="U38" s="9">
        <v>493</v>
      </c>
      <c r="V38" s="9">
        <v>209</v>
      </c>
      <c r="W38" s="9">
        <v>128</v>
      </c>
      <c r="X38" s="9">
        <v>0</v>
      </c>
    </row>
    <row r="39" spans="1:24" x14ac:dyDescent="0.2">
      <c r="A39" s="4" t="s">
        <v>163</v>
      </c>
      <c r="B39" s="9">
        <v>4238</v>
      </c>
      <c r="C39" s="9">
        <v>211</v>
      </c>
      <c r="D39" s="9">
        <v>198</v>
      </c>
      <c r="E39" s="9">
        <v>358</v>
      </c>
      <c r="F39" s="9">
        <v>209</v>
      </c>
      <c r="G39" s="9">
        <v>254</v>
      </c>
      <c r="H39" s="9">
        <v>264</v>
      </c>
      <c r="I39" s="9">
        <v>158</v>
      </c>
      <c r="J39" s="9">
        <v>0</v>
      </c>
      <c r="K39" s="9">
        <v>192</v>
      </c>
      <c r="L39" s="9">
        <v>286</v>
      </c>
      <c r="M39" s="9">
        <v>211</v>
      </c>
      <c r="N39" s="9">
        <v>269</v>
      </c>
      <c r="O39" s="9">
        <v>163</v>
      </c>
      <c r="P39" s="9">
        <v>533</v>
      </c>
      <c r="Q39" s="9">
        <v>159</v>
      </c>
      <c r="R39" s="9">
        <v>157</v>
      </c>
      <c r="S39" s="9">
        <v>157</v>
      </c>
      <c r="T39" s="9">
        <v>0</v>
      </c>
      <c r="U39" s="9">
        <v>146</v>
      </c>
      <c r="V39" s="9">
        <v>155</v>
      </c>
      <c r="W39" s="9">
        <v>157</v>
      </c>
      <c r="X39" s="9">
        <v>0</v>
      </c>
    </row>
    <row r="40" spans="1:24" x14ac:dyDescent="0.2">
      <c r="A40" s="4" t="s">
        <v>164</v>
      </c>
      <c r="B40" s="9">
        <v>270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52</v>
      </c>
      <c r="M40" s="9">
        <v>0</v>
      </c>
      <c r="N40" s="9">
        <v>0</v>
      </c>
      <c r="O40" s="9">
        <v>0</v>
      </c>
      <c r="P40" s="9">
        <v>218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">
      <c r="A41" s="4" t="s">
        <v>165</v>
      </c>
      <c r="B41" s="9">
        <v>93</v>
      </c>
      <c r="C41" s="9">
        <v>0</v>
      </c>
      <c r="D41" s="9">
        <v>0</v>
      </c>
      <c r="E41" s="9">
        <v>93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2">
      <c r="A42" s="4" t="s">
        <v>166</v>
      </c>
      <c r="B42" s="9">
        <v>206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128</v>
      </c>
      <c r="W42" s="9">
        <v>78</v>
      </c>
      <c r="X42" s="9">
        <v>0</v>
      </c>
    </row>
    <row r="43" spans="1:24" x14ac:dyDescent="0.2">
      <c r="A43" s="4" t="s">
        <v>167</v>
      </c>
      <c r="B43" s="9">
        <v>21093</v>
      </c>
      <c r="C43" s="9">
        <v>1181</v>
      </c>
      <c r="D43" s="9">
        <v>1099</v>
      </c>
      <c r="E43" s="9">
        <v>1187</v>
      </c>
      <c r="F43" s="9">
        <v>1012</v>
      </c>
      <c r="G43" s="9">
        <v>1064</v>
      </c>
      <c r="H43" s="9">
        <v>1099</v>
      </c>
      <c r="I43" s="9">
        <v>749</v>
      </c>
      <c r="J43" s="9">
        <v>1021</v>
      </c>
      <c r="K43" s="9">
        <v>902</v>
      </c>
      <c r="L43" s="9">
        <v>1118</v>
      </c>
      <c r="M43" s="9">
        <v>1228</v>
      </c>
      <c r="N43" s="9">
        <v>2163</v>
      </c>
      <c r="O43" s="9">
        <v>1108</v>
      </c>
      <c r="P43" s="9">
        <v>1294</v>
      </c>
      <c r="Q43" s="9">
        <v>1123</v>
      </c>
      <c r="R43" s="9">
        <v>1174</v>
      </c>
      <c r="S43" s="9">
        <v>646</v>
      </c>
      <c r="T43" s="9">
        <v>548</v>
      </c>
      <c r="U43" s="9">
        <v>460</v>
      </c>
      <c r="V43" s="9">
        <v>597</v>
      </c>
      <c r="W43" s="9">
        <v>322</v>
      </c>
      <c r="X43" s="9">
        <v>0</v>
      </c>
    </row>
    <row r="44" spans="1:24" x14ac:dyDescent="0.2">
      <c r="A44" s="4" t="s">
        <v>168</v>
      </c>
      <c r="B44" s="9">
        <v>4156</v>
      </c>
      <c r="C44" s="9">
        <v>282</v>
      </c>
      <c r="D44" s="9">
        <v>200</v>
      </c>
      <c r="E44" s="9">
        <v>70</v>
      </c>
      <c r="F44" s="9">
        <v>205</v>
      </c>
      <c r="G44" s="9">
        <v>250</v>
      </c>
      <c r="H44" s="9">
        <v>190</v>
      </c>
      <c r="I44" s="9">
        <v>130</v>
      </c>
      <c r="J44" s="9">
        <v>81</v>
      </c>
      <c r="K44" s="9">
        <v>112</v>
      </c>
      <c r="L44" s="9">
        <v>513</v>
      </c>
      <c r="M44" s="9">
        <v>556</v>
      </c>
      <c r="N44" s="9">
        <v>188</v>
      </c>
      <c r="O44" s="9">
        <v>246</v>
      </c>
      <c r="P44" s="9">
        <v>153</v>
      </c>
      <c r="Q44" s="9">
        <v>119</v>
      </c>
      <c r="R44" s="9">
        <v>160</v>
      </c>
      <c r="S44" s="9">
        <v>20</v>
      </c>
      <c r="T44" s="9">
        <v>201</v>
      </c>
      <c r="U44" s="9">
        <v>119</v>
      </c>
      <c r="V44" s="9">
        <v>205</v>
      </c>
      <c r="W44" s="9">
        <v>142</v>
      </c>
      <c r="X44" s="9">
        <v>11</v>
      </c>
    </row>
    <row r="45" spans="1:24" x14ac:dyDescent="0.2">
      <c r="A45" s="4" t="s">
        <v>169</v>
      </c>
      <c r="B45" s="9">
        <v>4215</v>
      </c>
      <c r="C45" s="9">
        <v>133</v>
      </c>
      <c r="D45" s="9">
        <v>171</v>
      </c>
      <c r="E45" s="9">
        <v>204</v>
      </c>
      <c r="F45" s="9">
        <v>144</v>
      </c>
      <c r="G45" s="9">
        <v>138</v>
      </c>
      <c r="H45" s="9">
        <v>373</v>
      </c>
      <c r="I45" s="9">
        <v>140</v>
      </c>
      <c r="J45" s="9">
        <v>195</v>
      </c>
      <c r="K45" s="9">
        <v>171</v>
      </c>
      <c r="L45" s="9">
        <v>440</v>
      </c>
      <c r="M45" s="9">
        <v>176</v>
      </c>
      <c r="N45" s="9">
        <v>306</v>
      </c>
      <c r="O45" s="9">
        <v>231</v>
      </c>
      <c r="P45" s="9">
        <v>268</v>
      </c>
      <c r="Q45" s="9">
        <v>181</v>
      </c>
      <c r="R45" s="9">
        <v>136</v>
      </c>
      <c r="S45" s="9">
        <v>105</v>
      </c>
      <c r="T45" s="9">
        <v>99</v>
      </c>
      <c r="U45" s="9">
        <v>105</v>
      </c>
      <c r="V45" s="9">
        <v>329</v>
      </c>
      <c r="W45" s="9">
        <v>174</v>
      </c>
      <c r="X45" s="9">
        <v>0</v>
      </c>
    </row>
    <row r="46" spans="1:24" x14ac:dyDescent="0.2">
      <c r="A46" s="4" t="s">
        <v>170</v>
      </c>
      <c r="B46" s="9">
        <v>250</v>
      </c>
      <c r="C46" s="9">
        <v>250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4" t="s">
        <v>171</v>
      </c>
      <c r="B47" s="9">
        <v>154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66</v>
      </c>
      <c r="Q47" s="9">
        <v>0</v>
      </c>
      <c r="R47" s="9">
        <v>19</v>
      </c>
      <c r="S47" s="9">
        <v>0</v>
      </c>
      <c r="T47" s="9">
        <v>0</v>
      </c>
      <c r="U47" s="9">
        <v>0</v>
      </c>
      <c r="V47" s="9">
        <v>41</v>
      </c>
      <c r="W47" s="9">
        <v>27</v>
      </c>
      <c r="X47" s="9">
        <v>0</v>
      </c>
    </row>
    <row r="48" spans="1:24" x14ac:dyDescent="0.2">
      <c r="A48" s="4" t="s">
        <v>172</v>
      </c>
      <c r="B48" s="9">
        <v>5264</v>
      </c>
      <c r="C48" s="9">
        <v>0</v>
      </c>
      <c r="D48" s="9">
        <v>0</v>
      </c>
      <c r="E48" s="9">
        <v>0</v>
      </c>
      <c r="F48" s="9">
        <v>258</v>
      </c>
      <c r="G48" s="9">
        <v>226</v>
      </c>
      <c r="H48" s="9">
        <v>0</v>
      </c>
      <c r="I48" s="9">
        <v>0</v>
      </c>
      <c r="J48" s="9">
        <v>627</v>
      </c>
      <c r="K48" s="9">
        <v>171</v>
      </c>
      <c r="L48" s="9">
        <v>733</v>
      </c>
      <c r="M48" s="9">
        <v>389</v>
      </c>
      <c r="N48" s="9">
        <v>175</v>
      </c>
      <c r="O48" s="9">
        <v>345</v>
      </c>
      <c r="P48" s="9">
        <v>1212</v>
      </c>
      <c r="Q48" s="9">
        <v>1127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</row>
    <row r="49" spans="1:24" x14ac:dyDescent="0.2">
      <c r="A49" s="4" t="s">
        <v>173</v>
      </c>
      <c r="B49" s="9">
        <v>114300</v>
      </c>
      <c r="C49" s="9">
        <v>7500</v>
      </c>
      <c r="D49" s="9">
        <v>5000</v>
      </c>
      <c r="E49" s="9">
        <v>5000</v>
      </c>
      <c r="F49" s="9">
        <v>5000</v>
      </c>
      <c r="G49" s="9">
        <v>8000</v>
      </c>
      <c r="H49" s="9">
        <v>5000</v>
      </c>
      <c r="I49" s="9">
        <v>5000</v>
      </c>
      <c r="J49" s="9">
        <v>5000</v>
      </c>
      <c r="K49" s="9">
        <v>4300</v>
      </c>
      <c r="L49" s="9">
        <v>6500</v>
      </c>
      <c r="M49" s="9">
        <v>9000</v>
      </c>
      <c r="N49" s="9">
        <v>17000</v>
      </c>
      <c r="O49" s="9">
        <v>10000</v>
      </c>
      <c r="P49" s="9">
        <v>10000</v>
      </c>
      <c r="Q49" s="9">
        <v>5000</v>
      </c>
      <c r="R49" s="9">
        <v>7000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</row>
    <row r="50" spans="1:24" x14ac:dyDescent="0.2">
      <c r="A50" s="4" t="s">
        <v>174</v>
      </c>
      <c r="B50" s="9">
        <v>267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267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</row>
    <row r="51" spans="1:24" x14ac:dyDescent="0.2">
      <c r="A51" s="4" t="s">
        <v>175</v>
      </c>
      <c r="B51" s="9">
        <v>185</v>
      </c>
      <c r="C51" s="9">
        <v>5</v>
      </c>
      <c r="D51" s="9">
        <v>4</v>
      </c>
      <c r="E51" s="9">
        <v>2</v>
      </c>
      <c r="F51" s="9">
        <v>2</v>
      </c>
      <c r="G51" s="9">
        <v>4</v>
      </c>
      <c r="H51" s="9">
        <v>2</v>
      </c>
      <c r="I51" s="9">
        <v>3</v>
      </c>
      <c r="J51" s="9">
        <v>0</v>
      </c>
      <c r="K51" s="9">
        <v>0</v>
      </c>
      <c r="L51" s="9">
        <v>69</v>
      </c>
      <c r="M51" s="9">
        <v>0</v>
      </c>
      <c r="N51" s="9">
        <v>49</v>
      </c>
      <c r="O51" s="9">
        <v>6</v>
      </c>
      <c r="P51" s="9">
        <v>4</v>
      </c>
      <c r="Q51" s="9">
        <v>35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2">
      <c r="A52" s="4" t="s">
        <v>176</v>
      </c>
      <c r="B52" s="9">
        <v>92467</v>
      </c>
      <c r="C52" s="9">
        <v>3730</v>
      </c>
      <c r="D52" s="9">
        <v>6230</v>
      </c>
      <c r="E52" s="9">
        <v>5080</v>
      </c>
      <c r="F52" s="9">
        <v>6731</v>
      </c>
      <c r="G52" s="9">
        <v>6230</v>
      </c>
      <c r="H52" s="9">
        <v>5231</v>
      </c>
      <c r="I52" s="9">
        <v>5230</v>
      </c>
      <c r="J52" s="9">
        <v>4000</v>
      </c>
      <c r="K52" s="9">
        <v>3400</v>
      </c>
      <c r="L52" s="9">
        <v>5500</v>
      </c>
      <c r="M52" s="9">
        <v>7450</v>
      </c>
      <c r="N52" s="9">
        <v>5750</v>
      </c>
      <c r="O52" s="9">
        <v>4450</v>
      </c>
      <c r="P52" s="9">
        <v>4900</v>
      </c>
      <c r="Q52" s="9">
        <v>6750</v>
      </c>
      <c r="R52" s="9">
        <v>8305</v>
      </c>
      <c r="S52" s="9">
        <v>600</v>
      </c>
      <c r="T52" s="9">
        <v>550</v>
      </c>
      <c r="U52" s="9">
        <v>600</v>
      </c>
      <c r="V52" s="9">
        <v>650</v>
      </c>
      <c r="W52" s="9">
        <v>600</v>
      </c>
      <c r="X52" s="9">
        <v>500</v>
      </c>
    </row>
    <row r="53" spans="1:24" x14ac:dyDescent="0.2">
      <c r="A53" s="4" t="s">
        <v>177</v>
      </c>
      <c r="B53" s="12">
        <v>970070</v>
      </c>
      <c r="C53" s="12">
        <v>53150</v>
      </c>
      <c r="D53" s="12">
        <v>43119</v>
      </c>
      <c r="E53" s="12">
        <v>42709</v>
      </c>
      <c r="F53" s="12">
        <v>51452</v>
      </c>
      <c r="G53" s="12">
        <v>52918</v>
      </c>
      <c r="H53" s="12">
        <v>38172</v>
      </c>
      <c r="I53" s="12">
        <v>43876</v>
      </c>
      <c r="J53" s="12">
        <v>43769</v>
      </c>
      <c r="K53" s="12">
        <v>34857</v>
      </c>
      <c r="L53" s="12">
        <v>58469</v>
      </c>
      <c r="M53" s="12">
        <v>51697</v>
      </c>
      <c r="N53" s="12">
        <v>82151</v>
      </c>
      <c r="O53" s="12">
        <v>58539</v>
      </c>
      <c r="P53" s="12">
        <v>68815</v>
      </c>
      <c r="Q53" s="12">
        <v>77888</v>
      </c>
      <c r="R53" s="12">
        <v>69013</v>
      </c>
      <c r="S53" s="12">
        <v>22074</v>
      </c>
      <c r="T53" s="12">
        <v>16813</v>
      </c>
      <c r="U53" s="12">
        <v>17622</v>
      </c>
      <c r="V53" s="12">
        <v>27514</v>
      </c>
      <c r="W53" s="12">
        <v>13520</v>
      </c>
      <c r="X53" s="12">
        <v>1934</v>
      </c>
    </row>
    <row r="54" spans="1:24" x14ac:dyDescent="0.2">
      <c r="A54" s="2" t="s">
        <v>6</v>
      </c>
    </row>
    <row r="55" spans="1:24" x14ac:dyDescent="0.2">
      <c r="A55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4"/>
  <sheetViews>
    <sheetView workbookViewId="0"/>
  </sheetViews>
  <sheetFormatPr defaultColWidth="9.140625" defaultRowHeight="12.75" x14ac:dyDescent="0.2"/>
  <cols>
    <col min="1" max="1" width="32.28515625" style="1" customWidth="1"/>
    <col min="2" max="2" width="15" style="1" customWidth="1"/>
    <col min="3" max="3" width="16.140625" style="1" customWidth="1"/>
    <col min="4" max="4" width="18.85546875" style="1" customWidth="1"/>
    <col min="5" max="5" width="12.7109375" style="1" customWidth="1"/>
    <col min="6" max="6" width="26.28515625" style="1" customWidth="1"/>
    <col min="7" max="7" width="19.42578125" style="1" customWidth="1"/>
    <col min="8" max="8" width="18.7109375" style="1" customWidth="1"/>
    <col min="9" max="9" width="14.85546875" style="1" customWidth="1"/>
    <col min="10" max="10" width="15.5703125" style="1" customWidth="1"/>
    <col min="11" max="11" width="12.85546875" style="1" customWidth="1"/>
    <col min="12" max="12" width="20.7109375" style="1" customWidth="1"/>
    <col min="13" max="13" width="14.140625" style="1" customWidth="1"/>
    <col min="14" max="14" width="15.7109375" style="1" customWidth="1"/>
    <col min="15" max="15" width="20.7109375" style="1" customWidth="1"/>
    <col min="16" max="16" width="13.5703125" style="1" customWidth="1"/>
    <col min="17" max="17" width="15.5703125" style="1" customWidth="1"/>
    <col min="18" max="18" width="22.28515625" style="1" customWidth="1"/>
    <col min="19" max="19" width="17.42578125" style="1" customWidth="1"/>
    <col min="20" max="20" width="16.42578125" style="1" customWidth="1"/>
    <col min="21" max="21" width="13.5703125" style="1" customWidth="1"/>
    <col min="22" max="22" width="13.140625" style="1" customWidth="1"/>
    <col min="23" max="23" width="13.85546875" style="1" customWidth="1"/>
    <col min="24" max="24" width="14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178</v>
      </c>
    </row>
    <row r="2" spans="1:24" ht="18" x14ac:dyDescent="0.25">
      <c r="A2" s="3" t="s">
        <v>179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51" t="s">
        <v>6</v>
      </c>
      <c r="C7" s="51"/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  <c r="W7" s="5" t="s">
        <v>26</v>
      </c>
      <c r="X7" s="5" t="s">
        <v>27</v>
      </c>
    </row>
    <row r="8" spans="1:24" x14ac:dyDescent="0.2">
      <c r="A8" s="4" t="s">
        <v>6</v>
      </c>
      <c r="B8" s="51" t="s">
        <v>29</v>
      </c>
      <c r="C8" s="51"/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52" t="s">
        <v>4</v>
      </c>
      <c r="C9" s="52"/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180</v>
      </c>
      <c r="C10" s="8" t="s">
        <v>181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182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183</v>
      </c>
      <c r="B12" s="14">
        <v>2691</v>
      </c>
      <c r="C12" s="14">
        <v>89.7</v>
      </c>
      <c r="D12" s="14">
        <v>374</v>
      </c>
      <c r="E12" s="14">
        <v>95</v>
      </c>
      <c r="F12" s="14">
        <v>30</v>
      </c>
      <c r="G12" s="14">
        <v>77</v>
      </c>
      <c r="H12" s="14">
        <v>100</v>
      </c>
      <c r="I12" s="14">
        <v>90</v>
      </c>
      <c r="J12" s="14">
        <v>61</v>
      </c>
      <c r="K12" s="14">
        <v>127</v>
      </c>
      <c r="L12" s="14">
        <v>24</v>
      </c>
      <c r="M12" s="14">
        <v>217</v>
      </c>
      <c r="N12" s="14">
        <v>413</v>
      </c>
      <c r="O12" s="14">
        <v>235</v>
      </c>
      <c r="P12" s="14">
        <v>400</v>
      </c>
      <c r="Q12" s="14">
        <v>209</v>
      </c>
      <c r="R12" s="14">
        <v>111</v>
      </c>
      <c r="S12" s="14">
        <v>128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</row>
    <row r="13" spans="1:24" x14ac:dyDescent="0.2">
      <c r="A13" s="4" t="s">
        <v>184</v>
      </c>
      <c r="B13" s="14">
        <v>5488</v>
      </c>
      <c r="C13" s="14">
        <v>182.93</v>
      </c>
      <c r="D13" s="14">
        <v>282</v>
      </c>
      <c r="E13" s="14">
        <v>533</v>
      </c>
      <c r="F13" s="14">
        <v>345</v>
      </c>
      <c r="G13" s="14">
        <v>314</v>
      </c>
      <c r="H13" s="14">
        <v>849</v>
      </c>
      <c r="I13" s="14">
        <v>237</v>
      </c>
      <c r="J13" s="14">
        <v>60</v>
      </c>
      <c r="K13" s="14">
        <v>192</v>
      </c>
      <c r="L13" s="14">
        <v>74</v>
      </c>
      <c r="M13" s="14">
        <v>144</v>
      </c>
      <c r="N13" s="14">
        <v>374</v>
      </c>
      <c r="O13" s="14">
        <v>554</v>
      </c>
      <c r="P13" s="14">
        <v>396</v>
      </c>
      <c r="Q13" s="14">
        <v>620</v>
      </c>
      <c r="R13" s="14">
        <v>220</v>
      </c>
      <c r="S13" s="14">
        <v>294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</row>
    <row r="14" spans="1:24" x14ac:dyDescent="0.2">
      <c r="A14" s="4" t="s">
        <v>185</v>
      </c>
      <c r="B14" s="14">
        <v>1516</v>
      </c>
      <c r="C14" s="14">
        <v>50.53</v>
      </c>
      <c r="D14" s="14">
        <v>3</v>
      </c>
      <c r="E14" s="14">
        <v>117</v>
      </c>
      <c r="F14" s="14">
        <v>90</v>
      </c>
      <c r="G14" s="14">
        <v>48</v>
      </c>
      <c r="H14" s="14">
        <v>37</v>
      </c>
      <c r="I14" s="14">
        <v>0</v>
      </c>
      <c r="J14" s="14">
        <v>29</v>
      </c>
      <c r="K14" s="14">
        <v>31</v>
      </c>
      <c r="L14" s="14">
        <v>60</v>
      </c>
      <c r="M14" s="14">
        <v>37</v>
      </c>
      <c r="N14" s="14">
        <v>19</v>
      </c>
      <c r="O14" s="14">
        <v>307</v>
      </c>
      <c r="P14" s="14">
        <v>286</v>
      </c>
      <c r="Q14" s="14">
        <v>208</v>
      </c>
      <c r="R14" s="14">
        <v>124</v>
      </c>
      <c r="S14" s="14">
        <v>120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</row>
    <row r="15" spans="1:24" x14ac:dyDescent="0.2">
      <c r="A15" s="4" t="s">
        <v>186</v>
      </c>
      <c r="B15" s="14">
        <v>1223</v>
      </c>
      <c r="C15" s="14">
        <v>40.770000000000003</v>
      </c>
      <c r="D15" s="14">
        <v>421</v>
      </c>
      <c r="E15" s="14">
        <v>-175</v>
      </c>
      <c r="F15" s="14">
        <v>272</v>
      </c>
      <c r="G15" s="14">
        <v>206</v>
      </c>
      <c r="H15" s="14">
        <v>-321</v>
      </c>
      <c r="I15" s="14">
        <v>61</v>
      </c>
      <c r="J15" s="14">
        <v>90</v>
      </c>
      <c r="K15" s="14">
        <v>234</v>
      </c>
      <c r="L15" s="14">
        <v>68</v>
      </c>
      <c r="M15" s="14">
        <v>198</v>
      </c>
      <c r="N15" s="14">
        <v>213</v>
      </c>
      <c r="O15" s="14">
        <v>6</v>
      </c>
      <c r="P15" s="14">
        <v>119</v>
      </c>
      <c r="Q15" s="14">
        <v>-273</v>
      </c>
      <c r="R15" s="14">
        <v>104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</row>
    <row r="16" spans="1:24" x14ac:dyDescent="0.2">
      <c r="A16" s="4" t="s">
        <v>187</v>
      </c>
      <c r="B16" s="14">
        <v>1280</v>
      </c>
      <c r="C16" s="14">
        <v>42.67</v>
      </c>
      <c r="D16" s="14">
        <v>148</v>
      </c>
      <c r="E16" s="14">
        <v>92</v>
      </c>
      <c r="F16" s="14">
        <v>0</v>
      </c>
      <c r="G16" s="14">
        <v>81</v>
      </c>
      <c r="H16" s="14">
        <v>146</v>
      </c>
      <c r="I16" s="14">
        <v>74</v>
      </c>
      <c r="J16" s="14">
        <v>186</v>
      </c>
      <c r="K16" s="14">
        <v>26</v>
      </c>
      <c r="L16" s="14">
        <v>0</v>
      </c>
      <c r="M16" s="14">
        <v>164</v>
      </c>
      <c r="N16" s="14">
        <v>87</v>
      </c>
      <c r="O16" s="14">
        <v>32</v>
      </c>
      <c r="P16" s="14">
        <v>62</v>
      </c>
      <c r="Q16" s="14">
        <v>27</v>
      </c>
      <c r="R16" s="14">
        <v>87</v>
      </c>
      <c r="S16" s="14">
        <v>68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1:24" x14ac:dyDescent="0.2">
      <c r="A17" s="4" t="s">
        <v>188</v>
      </c>
      <c r="B17" s="14">
        <v>35</v>
      </c>
      <c r="C17" s="14">
        <v>1.17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20</v>
      </c>
      <c r="K17" s="14">
        <v>0</v>
      </c>
      <c r="L17" s="14">
        <v>0</v>
      </c>
      <c r="M17" s="14">
        <v>0</v>
      </c>
      <c r="N17" s="14">
        <v>0</v>
      </c>
      <c r="O17" s="14">
        <v>11</v>
      </c>
      <c r="P17" s="14">
        <v>0</v>
      </c>
      <c r="Q17" s="14">
        <v>0</v>
      </c>
      <c r="R17" s="14">
        <v>0</v>
      </c>
      <c r="S17" s="14">
        <v>4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</row>
    <row r="18" spans="1:24" x14ac:dyDescent="0.2">
      <c r="A18" s="4" t="s">
        <v>189</v>
      </c>
      <c r="B18" s="14">
        <v>3707</v>
      </c>
      <c r="C18" s="14">
        <v>123.57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519</v>
      </c>
      <c r="U18" s="14">
        <v>918</v>
      </c>
      <c r="V18" s="14">
        <v>540</v>
      </c>
      <c r="W18" s="14">
        <v>763</v>
      </c>
      <c r="X18" s="14">
        <v>967</v>
      </c>
    </row>
    <row r="19" spans="1:24" x14ac:dyDescent="0.2">
      <c r="A19" s="4" t="s">
        <v>190</v>
      </c>
      <c r="B19" s="14">
        <v>10192</v>
      </c>
      <c r="C19" s="14">
        <v>339.73</v>
      </c>
      <c r="D19" s="14">
        <v>669</v>
      </c>
      <c r="E19" s="14">
        <v>389</v>
      </c>
      <c r="F19" s="14">
        <v>771</v>
      </c>
      <c r="G19" s="14">
        <v>544</v>
      </c>
      <c r="H19" s="14">
        <v>366</v>
      </c>
      <c r="I19" s="14">
        <v>574</v>
      </c>
      <c r="J19" s="14">
        <v>278</v>
      </c>
      <c r="K19" s="14">
        <v>406</v>
      </c>
      <c r="L19" s="14">
        <v>545</v>
      </c>
      <c r="M19" s="14">
        <v>572</v>
      </c>
      <c r="N19" s="14">
        <v>446</v>
      </c>
      <c r="O19" s="14">
        <v>2049</v>
      </c>
      <c r="P19" s="14">
        <v>620</v>
      </c>
      <c r="Q19" s="14">
        <v>926</v>
      </c>
      <c r="R19" s="14">
        <v>586</v>
      </c>
      <c r="S19" s="14">
        <v>451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</row>
    <row r="20" spans="1:24" x14ac:dyDescent="0.2">
      <c r="A20" s="4" t="s">
        <v>191</v>
      </c>
      <c r="B20" s="14">
        <v>2317</v>
      </c>
      <c r="C20" s="14">
        <v>77.23</v>
      </c>
      <c r="D20" s="14">
        <v>90</v>
      </c>
      <c r="E20" s="14">
        <v>118</v>
      </c>
      <c r="F20" s="14">
        <v>119</v>
      </c>
      <c r="G20" s="14">
        <v>120</v>
      </c>
      <c r="H20" s="14">
        <v>0</v>
      </c>
      <c r="I20" s="14">
        <v>30</v>
      </c>
      <c r="J20" s="14">
        <v>123</v>
      </c>
      <c r="K20" s="14">
        <v>199</v>
      </c>
      <c r="L20" s="14">
        <v>32</v>
      </c>
      <c r="M20" s="14">
        <v>60</v>
      </c>
      <c r="N20" s="14">
        <v>117</v>
      </c>
      <c r="O20" s="14">
        <v>591</v>
      </c>
      <c r="P20" s="14">
        <v>67</v>
      </c>
      <c r="Q20" s="14">
        <v>133</v>
      </c>
      <c r="R20" s="14">
        <v>170</v>
      </c>
      <c r="S20" s="14">
        <v>348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</row>
    <row r="21" spans="1:24" x14ac:dyDescent="0.2">
      <c r="A21" s="4" t="s">
        <v>192</v>
      </c>
      <c r="B21" s="14">
        <v>184</v>
      </c>
      <c r="C21" s="14">
        <v>6.13</v>
      </c>
      <c r="D21" s="14">
        <v>0</v>
      </c>
      <c r="E21" s="14">
        <v>16</v>
      </c>
      <c r="F21" s="14">
        <v>0</v>
      </c>
      <c r="G21" s="14">
        <v>55</v>
      </c>
      <c r="H21" s="14">
        <v>24</v>
      </c>
      <c r="I21" s="14">
        <v>12</v>
      </c>
      <c r="J21" s="14">
        <v>7</v>
      </c>
      <c r="K21" s="14">
        <v>0</v>
      </c>
      <c r="L21" s="14">
        <v>0</v>
      </c>
      <c r="M21" s="14">
        <v>0</v>
      </c>
      <c r="N21" s="14">
        <v>38</v>
      </c>
      <c r="O21" s="14">
        <v>0</v>
      </c>
      <c r="P21" s="14">
        <v>13</v>
      </c>
      <c r="Q21" s="14">
        <v>0</v>
      </c>
      <c r="R21" s="14">
        <v>19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</row>
    <row r="22" spans="1:24" x14ac:dyDescent="0.2">
      <c r="A22" s="4" t="s">
        <v>193</v>
      </c>
      <c r="B22" s="15">
        <v>28633</v>
      </c>
      <c r="C22" s="15">
        <v>954.43</v>
      </c>
      <c r="D22" s="15">
        <v>1987</v>
      </c>
      <c r="E22" s="15">
        <v>1185</v>
      </c>
      <c r="F22" s="15">
        <v>1627</v>
      </c>
      <c r="G22" s="15">
        <v>1445</v>
      </c>
      <c r="H22" s="15">
        <v>1201</v>
      </c>
      <c r="I22" s="15">
        <v>1078</v>
      </c>
      <c r="J22" s="15">
        <v>854</v>
      </c>
      <c r="K22" s="15">
        <v>1215</v>
      </c>
      <c r="L22" s="15">
        <v>803</v>
      </c>
      <c r="M22" s="15">
        <v>1392</v>
      </c>
      <c r="N22" s="15">
        <v>1707</v>
      </c>
      <c r="O22" s="15">
        <v>3785</v>
      </c>
      <c r="P22" s="15">
        <v>1963</v>
      </c>
      <c r="Q22" s="15">
        <v>1850</v>
      </c>
      <c r="R22" s="15">
        <v>1421</v>
      </c>
      <c r="S22" s="15">
        <v>1413</v>
      </c>
      <c r="T22" s="15">
        <v>519</v>
      </c>
      <c r="U22" s="15">
        <v>918</v>
      </c>
      <c r="V22" s="15">
        <v>540</v>
      </c>
      <c r="W22" s="15">
        <v>763</v>
      </c>
      <c r="X22" s="15">
        <v>967</v>
      </c>
    </row>
    <row r="23" spans="1:24" x14ac:dyDescent="0.2">
      <c r="A23" s="2" t="s">
        <v>6</v>
      </c>
    </row>
    <row r="24" spans="1:24" x14ac:dyDescent="0.2">
      <c r="A24" s="2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"/>
  <sheetViews>
    <sheetView workbookViewId="0"/>
  </sheetViews>
  <sheetFormatPr defaultColWidth="9.140625" defaultRowHeight="12.75" x14ac:dyDescent="0.2"/>
  <cols>
    <col min="1" max="1" width="37.85546875" style="1" customWidth="1"/>
    <col min="2" max="2" width="14.28515625" style="1" customWidth="1"/>
    <col min="3" max="3" width="13.140625" style="1" customWidth="1"/>
    <col min="4" max="4" width="18.85546875" style="1" customWidth="1"/>
    <col min="5" max="5" width="12.7109375" style="1" customWidth="1"/>
    <col min="6" max="6" width="26.28515625" style="1" customWidth="1"/>
    <col min="7" max="7" width="19.42578125" style="1" customWidth="1"/>
    <col min="8" max="8" width="18.7109375" style="1" customWidth="1"/>
    <col min="9" max="9" width="14.85546875" style="1" customWidth="1"/>
    <col min="10" max="10" width="15.5703125" style="1" customWidth="1"/>
    <col min="11" max="11" width="12.85546875" style="1" customWidth="1"/>
    <col min="12" max="12" width="20.7109375" style="1" customWidth="1"/>
    <col min="13" max="13" width="14.140625" style="1" customWidth="1"/>
    <col min="14" max="14" width="15.7109375" style="1" customWidth="1"/>
    <col min="15" max="15" width="20.7109375" style="1" customWidth="1"/>
    <col min="16" max="16" width="13.5703125" style="1" customWidth="1"/>
    <col min="17" max="17" width="15.5703125" style="1" customWidth="1"/>
    <col min="18" max="18" width="22.28515625" style="1" customWidth="1"/>
    <col min="19" max="19" width="17.42578125" style="1" customWidth="1"/>
    <col min="20" max="20" width="16.42578125" style="1" customWidth="1"/>
    <col min="21" max="21" width="13.5703125" style="1" customWidth="1"/>
    <col min="22" max="22" width="13.140625" style="1" customWidth="1"/>
    <col min="23" max="23" width="13.85546875" style="1" customWidth="1"/>
    <col min="24" max="24" width="14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178</v>
      </c>
    </row>
    <row r="2" spans="1:24" ht="18" x14ac:dyDescent="0.25">
      <c r="A2" s="3" t="s">
        <v>194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51" t="s">
        <v>6</v>
      </c>
      <c r="C7" s="51"/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  <c r="W7" s="5" t="s">
        <v>26</v>
      </c>
      <c r="X7" s="5" t="s">
        <v>27</v>
      </c>
    </row>
    <row r="8" spans="1:24" x14ac:dyDescent="0.2">
      <c r="A8" s="4" t="s">
        <v>6</v>
      </c>
      <c r="B8" s="51" t="s">
        <v>29</v>
      </c>
      <c r="C8" s="51"/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52" t="s">
        <v>4</v>
      </c>
      <c r="C9" s="52"/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195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196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197</v>
      </c>
      <c r="B12" s="9">
        <v>640406</v>
      </c>
      <c r="C12" s="14">
        <v>237.98</v>
      </c>
      <c r="D12" s="9">
        <v>88200</v>
      </c>
      <c r="E12" s="9">
        <v>22800</v>
      </c>
      <c r="F12" s="9">
        <v>6750</v>
      </c>
      <c r="G12" s="9">
        <v>17590</v>
      </c>
      <c r="H12" s="9">
        <v>22500</v>
      </c>
      <c r="I12" s="9">
        <v>19350</v>
      </c>
      <c r="J12" s="9">
        <v>14915</v>
      </c>
      <c r="K12" s="9">
        <v>29475</v>
      </c>
      <c r="L12" s="9">
        <v>5400</v>
      </c>
      <c r="M12" s="9">
        <v>51376</v>
      </c>
      <c r="N12" s="9">
        <v>96780</v>
      </c>
      <c r="O12" s="9">
        <v>53100</v>
      </c>
      <c r="P12" s="9">
        <v>94230</v>
      </c>
      <c r="Q12" s="9">
        <v>50166</v>
      </c>
      <c r="R12" s="9">
        <v>31275</v>
      </c>
      <c r="S12" s="9">
        <v>36500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1:24" x14ac:dyDescent="0.2">
      <c r="A13" s="4" t="s">
        <v>198</v>
      </c>
      <c r="B13" s="16">
        <v>1895126</v>
      </c>
      <c r="C13" s="17">
        <v>230.35</v>
      </c>
      <c r="D13" s="16">
        <v>145561</v>
      </c>
      <c r="E13" s="16">
        <v>99513</v>
      </c>
      <c r="F13" s="16">
        <v>135353</v>
      </c>
      <c r="G13" s="16">
        <v>129512</v>
      </c>
      <c r="H13" s="16">
        <v>130266</v>
      </c>
      <c r="I13" s="16">
        <v>68111</v>
      </c>
      <c r="J13" s="16">
        <v>37230</v>
      </c>
      <c r="K13" s="16">
        <v>113224</v>
      </c>
      <c r="L13" s="16">
        <v>44175</v>
      </c>
      <c r="M13" s="16">
        <v>88390</v>
      </c>
      <c r="N13" s="16">
        <v>163355</v>
      </c>
      <c r="O13" s="16">
        <v>209867</v>
      </c>
      <c r="P13" s="16">
        <v>168269</v>
      </c>
      <c r="Q13" s="16">
        <v>139193</v>
      </c>
      <c r="R13" s="16">
        <v>117722</v>
      </c>
      <c r="S13" s="16">
        <v>105384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</row>
    <row r="14" spans="1:24" x14ac:dyDescent="0.2">
      <c r="A14" s="4" t="s">
        <v>199</v>
      </c>
      <c r="B14" s="10">
        <v>807511</v>
      </c>
      <c r="C14" s="18">
        <v>630.87</v>
      </c>
      <c r="D14" s="10">
        <v>92773</v>
      </c>
      <c r="E14" s="10">
        <v>51854</v>
      </c>
      <c r="F14" s="10">
        <v>0</v>
      </c>
      <c r="G14" s="10">
        <v>46612</v>
      </c>
      <c r="H14" s="10">
        <v>97637</v>
      </c>
      <c r="I14" s="10">
        <v>42589</v>
      </c>
      <c r="J14" s="10">
        <v>118197</v>
      </c>
      <c r="K14" s="10">
        <v>19306</v>
      </c>
      <c r="L14" s="10">
        <v>0</v>
      </c>
      <c r="M14" s="10">
        <v>113564</v>
      </c>
      <c r="N14" s="10">
        <v>42866</v>
      </c>
      <c r="O14" s="10">
        <v>20960</v>
      </c>
      <c r="P14" s="10">
        <v>37415</v>
      </c>
      <c r="Q14" s="10">
        <v>20562</v>
      </c>
      <c r="R14" s="10">
        <v>55582</v>
      </c>
      <c r="S14" s="10">
        <v>47593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x14ac:dyDescent="0.2">
      <c r="A15" s="4" t="s">
        <v>200</v>
      </c>
      <c r="B15" s="9">
        <v>22020</v>
      </c>
      <c r="C15" s="14">
        <v>629.16</v>
      </c>
      <c r="D15" s="9">
        <v>0</v>
      </c>
      <c r="E15" s="9">
        <v>-128</v>
      </c>
      <c r="F15" s="9">
        <v>0</v>
      </c>
      <c r="G15" s="9">
        <v>0</v>
      </c>
      <c r="H15" s="9">
        <v>0</v>
      </c>
      <c r="I15" s="9">
        <v>-832</v>
      </c>
      <c r="J15" s="9">
        <v>10449</v>
      </c>
      <c r="K15" s="9">
        <v>-18</v>
      </c>
      <c r="L15" s="9">
        <v>0</v>
      </c>
      <c r="M15" s="9">
        <v>4185</v>
      </c>
      <c r="N15" s="9">
        <v>338</v>
      </c>
      <c r="O15" s="9">
        <v>6115</v>
      </c>
      <c r="P15" s="9">
        <v>-9</v>
      </c>
      <c r="Q15" s="9">
        <v>-181</v>
      </c>
      <c r="R15" s="9">
        <v>0</v>
      </c>
      <c r="S15" s="9">
        <v>2103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4" t="s">
        <v>201</v>
      </c>
      <c r="B16" s="9">
        <v>112645</v>
      </c>
      <c r="C16" s="14">
        <v>0</v>
      </c>
      <c r="D16" s="9">
        <v>9394</v>
      </c>
      <c r="E16" s="9">
        <v>13558</v>
      </c>
      <c r="F16" s="9">
        <v>0</v>
      </c>
      <c r="G16" s="9">
        <v>17583</v>
      </c>
      <c r="H16" s="9">
        <v>4584</v>
      </c>
      <c r="I16" s="9">
        <v>7273</v>
      </c>
      <c r="J16" s="9">
        <v>4452</v>
      </c>
      <c r="K16" s="9">
        <v>5086</v>
      </c>
      <c r="L16" s="9">
        <v>0</v>
      </c>
      <c r="M16" s="9">
        <v>463</v>
      </c>
      <c r="N16" s="9">
        <v>5220</v>
      </c>
      <c r="O16" s="9">
        <v>9046</v>
      </c>
      <c r="P16" s="9">
        <v>1445</v>
      </c>
      <c r="Q16" s="9">
        <v>23049</v>
      </c>
      <c r="R16" s="9">
        <v>6970</v>
      </c>
      <c r="S16" s="9">
        <v>4521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">
      <c r="A17" s="4" t="s">
        <v>202</v>
      </c>
      <c r="B17" s="9">
        <v>490989</v>
      </c>
      <c r="C17" s="14">
        <v>132.44999999999999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93822</v>
      </c>
      <c r="U17" s="9">
        <v>113900</v>
      </c>
      <c r="V17" s="9">
        <v>58925</v>
      </c>
      <c r="W17" s="9">
        <v>131934</v>
      </c>
      <c r="X17" s="9">
        <v>92410</v>
      </c>
    </row>
    <row r="18" spans="1:24" x14ac:dyDescent="0.2">
      <c r="A18" s="4" t="s">
        <v>203</v>
      </c>
      <c r="B18" s="16">
        <v>2911927</v>
      </c>
      <c r="C18" s="17">
        <v>232.79</v>
      </c>
      <c r="D18" s="16">
        <v>155895</v>
      </c>
      <c r="E18" s="16">
        <v>106217</v>
      </c>
      <c r="F18" s="16">
        <v>170291</v>
      </c>
      <c r="G18" s="16">
        <v>151174</v>
      </c>
      <c r="H18" s="16">
        <v>82965</v>
      </c>
      <c r="I18" s="16">
        <v>138050</v>
      </c>
      <c r="J18" s="16">
        <v>83404</v>
      </c>
      <c r="K18" s="16">
        <v>149619</v>
      </c>
      <c r="L18" s="16">
        <v>125877</v>
      </c>
      <c r="M18" s="16">
        <v>147395</v>
      </c>
      <c r="N18" s="16">
        <v>147923</v>
      </c>
      <c r="O18" s="16">
        <v>648363</v>
      </c>
      <c r="P18" s="16">
        <v>145280</v>
      </c>
      <c r="Q18" s="16">
        <v>260231</v>
      </c>
      <c r="R18" s="16">
        <v>195859</v>
      </c>
      <c r="S18" s="16">
        <v>203385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</row>
    <row r="19" spans="1:24" x14ac:dyDescent="0.2">
      <c r="A19" s="4" t="s">
        <v>204</v>
      </c>
      <c r="B19" s="11">
        <v>95752</v>
      </c>
      <c r="C19" s="19">
        <v>95935.84</v>
      </c>
      <c r="D19" s="11">
        <v>-1257</v>
      </c>
      <c r="E19" s="11">
        <v>7600</v>
      </c>
      <c r="F19" s="11">
        <v>0</v>
      </c>
      <c r="G19" s="11">
        <v>38542</v>
      </c>
      <c r="H19" s="11">
        <v>14766</v>
      </c>
      <c r="I19" s="11">
        <v>7017</v>
      </c>
      <c r="J19" s="11">
        <v>3931</v>
      </c>
      <c r="K19" s="11">
        <v>0</v>
      </c>
      <c r="L19" s="11">
        <v>0</v>
      </c>
      <c r="M19" s="11">
        <v>-4573</v>
      </c>
      <c r="N19" s="11">
        <v>9282</v>
      </c>
      <c r="O19" s="11">
        <v>0</v>
      </c>
      <c r="P19" s="11">
        <v>8039</v>
      </c>
      <c r="Q19" s="11">
        <v>0</v>
      </c>
      <c r="R19" s="11">
        <v>12892</v>
      </c>
      <c r="S19" s="11">
        <v>-487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4" t="s">
        <v>205</v>
      </c>
      <c r="B20" s="12">
        <v>6976376</v>
      </c>
      <c r="C20" s="15">
        <v>243.65</v>
      </c>
      <c r="D20" s="12">
        <v>490566</v>
      </c>
      <c r="E20" s="12">
        <v>301414</v>
      </c>
      <c r="F20" s="12">
        <v>312394</v>
      </c>
      <c r="G20" s="12">
        <v>401013</v>
      </c>
      <c r="H20" s="12">
        <v>352718</v>
      </c>
      <c r="I20" s="12">
        <v>281558</v>
      </c>
      <c r="J20" s="12">
        <v>272578</v>
      </c>
      <c r="K20" s="12">
        <v>316692</v>
      </c>
      <c r="L20" s="12">
        <v>175452</v>
      </c>
      <c r="M20" s="12">
        <v>400800</v>
      </c>
      <c r="N20" s="12">
        <v>465764</v>
      </c>
      <c r="O20" s="12">
        <v>947451</v>
      </c>
      <c r="P20" s="12">
        <v>454669</v>
      </c>
      <c r="Q20" s="12">
        <v>493020</v>
      </c>
      <c r="R20" s="12">
        <v>420300</v>
      </c>
      <c r="S20" s="12">
        <v>398999</v>
      </c>
      <c r="T20" s="12">
        <v>93822</v>
      </c>
      <c r="U20" s="12">
        <v>113900</v>
      </c>
      <c r="V20" s="12">
        <v>58925</v>
      </c>
      <c r="W20" s="12">
        <v>131934</v>
      </c>
      <c r="X20" s="12">
        <v>92410</v>
      </c>
    </row>
    <row r="21" spans="1:24" x14ac:dyDescent="0.2">
      <c r="A21" s="2" t="s">
        <v>6</v>
      </c>
    </row>
    <row r="22" spans="1:24" x14ac:dyDescent="0.2">
      <c r="A22" s="2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/>
  </sheetViews>
  <sheetFormatPr defaultColWidth="9.140625" defaultRowHeight="12.75" x14ac:dyDescent="0.2"/>
  <cols>
    <col min="1" max="1" width="48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9.140625" style="1" customWidth="1"/>
    <col min="20" max="16384" width="9.140625" style="1"/>
  </cols>
  <sheetData>
    <row r="1" spans="1:18" ht="18" x14ac:dyDescent="0.25">
      <c r="A1" s="3" t="s">
        <v>0</v>
      </c>
    </row>
    <row r="2" spans="1:18" ht="18" x14ac:dyDescent="0.25">
      <c r="A2" s="3" t="s">
        <v>206</v>
      </c>
    </row>
    <row r="3" spans="1:18" ht="18" x14ac:dyDescent="0.25">
      <c r="A3" s="3" t="s">
        <v>2</v>
      </c>
    </row>
    <row r="4" spans="1:18" x14ac:dyDescent="0.2">
      <c r="A4" s="4" t="s">
        <v>3</v>
      </c>
      <c r="B4" s="4" t="s">
        <v>4</v>
      </c>
    </row>
    <row r="5" spans="1:18" x14ac:dyDescent="0.2">
      <c r="A5" s="4" t="s">
        <v>5</v>
      </c>
      <c r="B5" s="4" t="s">
        <v>0</v>
      </c>
    </row>
    <row r="6" spans="1:18" x14ac:dyDescent="0.2">
      <c r="A6" s="2" t="s">
        <v>6</v>
      </c>
    </row>
    <row r="7" spans="1:18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</row>
    <row r="8" spans="1:18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</row>
    <row r="9" spans="1:18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</row>
    <row r="10" spans="1:18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</row>
    <row r="11" spans="1:18" x14ac:dyDescent="0.2">
      <c r="A11" s="4" t="s">
        <v>207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</row>
    <row r="12" spans="1:18" x14ac:dyDescent="0.2">
      <c r="A12" s="4" t="s">
        <v>208</v>
      </c>
      <c r="B12" s="9">
        <v>2215</v>
      </c>
      <c r="C12" s="9">
        <v>40</v>
      </c>
      <c r="D12" s="9">
        <v>0</v>
      </c>
      <c r="E12" s="9">
        <v>0</v>
      </c>
      <c r="F12" s="9">
        <v>1284</v>
      </c>
      <c r="G12" s="9">
        <v>59</v>
      </c>
      <c r="H12" s="9">
        <v>0</v>
      </c>
      <c r="I12" s="9">
        <v>-74</v>
      </c>
      <c r="J12" s="9">
        <v>0</v>
      </c>
      <c r="K12" s="9">
        <v>0</v>
      </c>
      <c r="L12" s="9">
        <v>0</v>
      </c>
      <c r="M12" s="9">
        <v>0</v>
      </c>
      <c r="N12" s="9">
        <v>324</v>
      </c>
      <c r="O12" s="9">
        <v>60</v>
      </c>
      <c r="P12" s="9">
        <v>0</v>
      </c>
      <c r="Q12" s="9">
        <v>280</v>
      </c>
      <c r="R12" s="9">
        <v>242</v>
      </c>
    </row>
    <row r="13" spans="1:18" x14ac:dyDescent="0.2">
      <c r="A13" s="4" t="s">
        <v>209</v>
      </c>
      <c r="B13" s="9">
        <v>76318</v>
      </c>
      <c r="C13" s="9">
        <v>9176</v>
      </c>
      <c r="D13" s="9">
        <v>3968</v>
      </c>
      <c r="E13" s="9">
        <v>0</v>
      </c>
      <c r="F13" s="9">
        <v>4402</v>
      </c>
      <c r="G13" s="9">
        <v>9052</v>
      </c>
      <c r="H13" s="9">
        <v>4588</v>
      </c>
      <c r="I13" s="9">
        <v>11532</v>
      </c>
      <c r="J13" s="9">
        <v>1560</v>
      </c>
      <c r="K13" s="9">
        <v>0</v>
      </c>
      <c r="L13" s="9">
        <v>9840</v>
      </c>
      <c r="M13" s="9">
        <v>5220</v>
      </c>
      <c r="N13" s="9">
        <v>1920</v>
      </c>
      <c r="O13" s="9">
        <v>3720</v>
      </c>
      <c r="P13" s="9">
        <v>1620</v>
      </c>
      <c r="Q13" s="9">
        <v>5640</v>
      </c>
      <c r="R13" s="9">
        <v>4080</v>
      </c>
    </row>
    <row r="14" spans="1:18" x14ac:dyDescent="0.2">
      <c r="A14" s="4" t="s">
        <v>210</v>
      </c>
      <c r="B14" s="9">
        <v>13223</v>
      </c>
      <c r="C14" s="9">
        <v>0</v>
      </c>
      <c r="D14" s="9">
        <v>992</v>
      </c>
      <c r="E14" s="9">
        <v>0</v>
      </c>
      <c r="F14" s="9">
        <v>3410</v>
      </c>
      <c r="G14" s="9">
        <v>1440</v>
      </c>
      <c r="H14" s="9">
        <v>744</v>
      </c>
      <c r="I14" s="9">
        <v>1674</v>
      </c>
      <c r="J14" s="9">
        <v>0</v>
      </c>
      <c r="K14" s="9">
        <v>0</v>
      </c>
      <c r="L14" s="9">
        <v>0</v>
      </c>
      <c r="M14" s="9">
        <v>2081</v>
      </c>
      <c r="N14" s="9">
        <v>660</v>
      </c>
      <c r="O14" s="9">
        <v>726</v>
      </c>
      <c r="P14" s="9">
        <v>0</v>
      </c>
      <c r="Q14" s="9">
        <v>1496</v>
      </c>
      <c r="R14" s="9">
        <v>0</v>
      </c>
    </row>
    <row r="15" spans="1:18" x14ac:dyDescent="0.2">
      <c r="A15" s="4" t="s">
        <v>211</v>
      </c>
      <c r="B15" s="9">
        <v>99171</v>
      </c>
      <c r="C15" s="9">
        <v>7755</v>
      </c>
      <c r="D15" s="9">
        <v>11227</v>
      </c>
      <c r="E15" s="9">
        <v>0</v>
      </c>
      <c r="F15" s="9">
        <v>14266</v>
      </c>
      <c r="G15" s="9">
        <v>4100</v>
      </c>
      <c r="H15" s="9">
        <v>6023</v>
      </c>
      <c r="I15" s="9">
        <v>4396</v>
      </c>
      <c r="J15" s="9">
        <v>4467</v>
      </c>
      <c r="K15" s="9">
        <v>0</v>
      </c>
      <c r="L15" s="9">
        <v>2118</v>
      </c>
      <c r="M15" s="9">
        <v>4423</v>
      </c>
      <c r="N15" s="9">
        <v>8162</v>
      </c>
      <c r="O15" s="9">
        <v>1246</v>
      </c>
      <c r="P15" s="9">
        <v>19876</v>
      </c>
      <c r="Q15" s="9">
        <v>5985</v>
      </c>
      <c r="R15" s="9">
        <v>5128</v>
      </c>
    </row>
    <row r="16" spans="1:18" x14ac:dyDescent="0.2">
      <c r="A16" s="4" t="s">
        <v>212</v>
      </c>
      <c r="B16" s="9">
        <v>2492</v>
      </c>
      <c r="C16" s="9">
        <v>113</v>
      </c>
      <c r="D16" s="9">
        <v>172</v>
      </c>
      <c r="E16" s="9">
        <v>0</v>
      </c>
      <c r="F16" s="9">
        <v>115</v>
      </c>
      <c r="G16" s="9">
        <v>0</v>
      </c>
      <c r="H16" s="9">
        <v>1141</v>
      </c>
      <c r="I16" s="9">
        <v>144</v>
      </c>
      <c r="J16" s="9">
        <v>0</v>
      </c>
      <c r="K16" s="9">
        <v>0</v>
      </c>
      <c r="L16" s="9">
        <v>116</v>
      </c>
      <c r="M16" s="9">
        <v>0</v>
      </c>
      <c r="N16" s="9">
        <v>0</v>
      </c>
      <c r="O16" s="9">
        <v>0</v>
      </c>
      <c r="P16" s="9">
        <v>690</v>
      </c>
      <c r="Q16" s="9">
        <v>0</v>
      </c>
      <c r="R16" s="9">
        <v>0</v>
      </c>
    </row>
    <row r="17" spans="1:18" x14ac:dyDescent="0.2">
      <c r="A17" s="4" t="s">
        <v>213</v>
      </c>
      <c r="B17" s="16">
        <v>113115</v>
      </c>
      <c r="C17" s="16">
        <v>14332</v>
      </c>
      <c r="D17" s="16">
        <v>16371</v>
      </c>
      <c r="E17" s="16">
        <v>825</v>
      </c>
      <c r="F17" s="16">
        <v>2482</v>
      </c>
      <c r="G17" s="16">
        <v>11321</v>
      </c>
      <c r="H17" s="16">
        <v>2367</v>
      </c>
      <c r="I17" s="16">
        <v>6028</v>
      </c>
      <c r="J17" s="16">
        <v>5572</v>
      </c>
      <c r="K17" s="16">
        <v>2125</v>
      </c>
      <c r="L17" s="16">
        <v>10033</v>
      </c>
      <c r="M17" s="16">
        <v>7101</v>
      </c>
      <c r="N17" s="16">
        <v>4227</v>
      </c>
      <c r="O17" s="16">
        <v>6140</v>
      </c>
      <c r="P17" s="16">
        <v>8041</v>
      </c>
      <c r="Q17" s="16">
        <v>9859</v>
      </c>
      <c r="R17" s="16">
        <v>6291</v>
      </c>
    </row>
    <row r="18" spans="1:18" x14ac:dyDescent="0.2">
      <c r="A18" s="4" t="s">
        <v>214</v>
      </c>
      <c r="B18" s="12">
        <v>306534</v>
      </c>
      <c r="C18" s="12">
        <v>31416</v>
      </c>
      <c r="D18" s="12">
        <v>32730</v>
      </c>
      <c r="E18" s="12">
        <v>825</v>
      </c>
      <c r="F18" s="12">
        <v>25959</v>
      </c>
      <c r="G18" s="12">
        <v>25972</v>
      </c>
      <c r="H18" s="12">
        <v>14863</v>
      </c>
      <c r="I18" s="12">
        <v>23700</v>
      </c>
      <c r="J18" s="12">
        <v>11599</v>
      </c>
      <c r="K18" s="12">
        <v>2125</v>
      </c>
      <c r="L18" s="12">
        <v>22107</v>
      </c>
      <c r="M18" s="12">
        <v>18825</v>
      </c>
      <c r="N18" s="12">
        <v>15293</v>
      </c>
      <c r="O18" s="12">
        <v>11892</v>
      </c>
      <c r="P18" s="12">
        <v>30227</v>
      </c>
      <c r="Q18" s="12">
        <v>23260</v>
      </c>
      <c r="R18" s="12">
        <v>15741</v>
      </c>
    </row>
    <row r="19" spans="1:18" x14ac:dyDescent="0.2">
      <c r="A19" s="2" t="s">
        <v>6</v>
      </c>
    </row>
    <row r="20" spans="1:18" x14ac:dyDescent="0.2">
      <c r="A20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9"/>
  <sheetViews>
    <sheetView workbookViewId="0"/>
  </sheetViews>
  <sheetFormatPr defaultColWidth="9.140625" defaultRowHeight="12.75" x14ac:dyDescent="0.2"/>
  <cols>
    <col min="1" max="1" width="48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9.140625" style="1" customWidth="1"/>
    <col min="20" max="16384" width="9.140625" style="1"/>
  </cols>
  <sheetData>
    <row r="1" spans="1:18" ht="18" x14ac:dyDescent="0.25">
      <c r="A1" s="3" t="s">
        <v>0</v>
      </c>
    </row>
    <row r="2" spans="1:18" ht="18" x14ac:dyDescent="0.25">
      <c r="A2" s="3" t="s">
        <v>215</v>
      </c>
    </row>
    <row r="3" spans="1:18" ht="18" x14ac:dyDescent="0.25">
      <c r="A3" s="3" t="s">
        <v>2</v>
      </c>
    </row>
    <row r="4" spans="1:18" x14ac:dyDescent="0.2">
      <c r="A4" s="4" t="s">
        <v>3</v>
      </c>
      <c r="B4" s="4" t="s">
        <v>4</v>
      </c>
    </row>
    <row r="5" spans="1:18" x14ac:dyDescent="0.2">
      <c r="A5" s="4" t="s">
        <v>5</v>
      </c>
      <c r="B5" s="4" t="s">
        <v>0</v>
      </c>
    </row>
    <row r="6" spans="1:18" x14ac:dyDescent="0.2">
      <c r="A6" s="2" t="s">
        <v>6</v>
      </c>
    </row>
    <row r="7" spans="1:18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</row>
    <row r="8" spans="1:18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</row>
    <row r="9" spans="1:18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</row>
    <row r="10" spans="1:18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</row>
    <row r="11" spans="1:18" x14ac:dyDescent="0.2">
      <c r="A11" s="4" t="s">
        <v>207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</row>
    <row r="12" spans="1:18" x14ac:dyDescent="0.2">
      <c r="A12" s="4" t="s">
        <v>208</v>
      </c>
      <c r="B12" s="4" t="s">
        <v>72</v>
      </c>
      <c r="C12" s="4" t="s">
        <v>72</v>
      </c>
      <c r="D12" s="4" t="s">
        <v>72</v>
      </c>
      <c r="E12" s="4" t="s">
        <v>72</v>
      </c>
      <c r="F12" s="4" t="s">
        <v>72</v>
      </c>
      <c r="G12" s="4" t="s">
        <v>72</v>
      </c>
      <c r="H12" s="4" t="s">
        <v>72</v>
      </c>
      <c r="I12" s="4" t="s">
        <v>72</v>
      </c>
      <c r="J12" s="4" t="s">
        <v>72</v>
      </c>
      <c r="K12" s="4" t="s">
        <v>72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 t="s">
        <v>72</v>
      </c>
    </row>
    <row r="13" spans="1:18" x14ac:dyDescent="0.2">
      <c r="A13" s="4" t="s">
        <v>216</v>
      </c>
      <c r="B13" s="9">
        <v>1322</v>
      </c>
      <c r="C13" s="9">
        <v>40</v>
      </c>
      <c r="D13" s="9">
        <v>0</v>
      </c>
      <c r="E13" s="9">
        <v>0</v>
      </c>
      <c r="F13" s="9">
        <v>748</v>
      </c>
      <c r="G13" s="9">
        <v>59</v>
      </c>
      <c r="H13" s="9">
        <v>0</v>
      </c>
      <c r="I13" s="9">
        <v>-45</v>
      </c>
      <c r="J13" s="9">
        <v>0</v>
      </c>
      <c r="K13" s="9">
        <v>0</v>
      </c>
      <c r="L13" s="9">
        <v>0</v>
      </c>
      <c r="M13" s="9">
        <v>0</v>
      </c>
      <c r="N13" s="9">
        <v>269</v>
      </c>
      <c r="O13" s="9">
        <v>60</v>
      </c>
      <c r="P13" s="9">
        <v>0</v>
      </c>
      <c r="Q13" s="9">
        <v>190</v>
      </c>
      <c r="R13" s="9">
        <v>0</v>
      </c>
    </row>
    <row r="14" spans="1:18" x14ac:dyDescent="0.2">
      <c r="A14" s="4" t="s">
        <v>217</v>
      </c>
      <c r="B14" s="9">
        <v>739</v>
      </c>
      <c r="C14" s="9">
        <v>0</v>
      </c>
      <c r="D14" s="9">
        <v>0</v>
      </c>
      <c r="E14" s="9">
        <v>0</v>
      </c>
      <c r="F14" s="9">
        <v>437</v>
      </c>
      <c r="G14" s="9">
        <v>0</v>
      </c>
      <c r="H14" s="9">
        <v>0</v>
      </c>
      <c r="I14" s="9">
        <v>-29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90</v>
      </c>
      <c r="R14" s="9">
        <v>242</v>
      </c>
    </row>
    <row r="15" spans="1:18" x14ac:dyDescent="0.2">
      <c r="A15" s="4" t="s">
        <v>218</v>
      </c>
      <c r="B15" s="9">
        <v>154</v>
      </c>
      <c r="C15" s="9">
        <v>0</v>
      </c>
      <c r="D15" s="9">
        <v>0</v>
      </c>
      <c r="E15" s="9">
        <v>0</v>
      </c>
      <c r="F15" s="9">
        <v>99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55</v>
      </c>
      <c r="O15" s="9">
        <v>0</v>
      </c>
      <c r="P15" s="9">
        <v>0</v>
      </c>
      <c r="Q15" s="9">
        <v>0</v>
      </c>
      <c r="R15" s="9">
        <v>0</v>
      </c>
    </row>
    <row r="16" spans="1:18" x14ac:dyDescent="0.2">
      <c r="A16" s="4" t="s">
        <v>219</v>
      </c>
      <c r="B16" s="11">
        <v>2215</v>
      </c>
      <c r="C16" s="11">
        <v>40</v>
      </c>
      <c r="D16" s="11">
        <v>0</v>
      </c>
      <c r="E16" s="11">
        <v>0</v>
      </c>
      <c r="F16" s="11">
        <v>1284</v>
      </c>
      <c r="G16" s="11">
        <v>59</v>
      </c>
      <c r="H16" s="11">
        <v>0</v>
      </c>
      <c r="I16" s="11">
        <v>-74</v>
      </c>
      <c r="J16" s="11">
        <v>0</v>
      </c>
      <c r="K16" s="11">
        <v>0</v>
      </c>
      <c r="L16" s="11">
        <v>0</v>
      </c>
      <c r="M16" s="11">
        <v>0</v>
      </c>
      <c r="N16" s="11">
        <v>324</v>
      </c>
      <c r="O16" s="11">
        <v>60</v>
      </c>
      <c r="P16" s="11">
        <v>0</v>
      </c>
      <c r="Q16" s="11">
        <v>280</v>
      </c>
      <c r="R16" s="11">
        <v>242</v>
      </c>
    </row>
    <row r="17" spans="1:18" x14ac:dyDescent="0.2">
      <c r="A17" s="4" t="s">
        <v>209</v>
      </c>
      <c r="B17" s="13" t="s">
        <v>72</v>
      </c>
      <c r="C17" s="13" t="s">
        <v>72</v>
      </c>
      <c r="D17" s="13" t="s">
        <v>72</v>
      </c>
      <c r="E17" s="13" t="s">
        <v>72</v>
      </c>
      <c r="F17" s="13" t="s">
        <v>72</v>
      </c>
      <c r="G17" s="13" t="s">
        <v>72</v>
      </c>
      <c r="H17" s="13" t="s">
        <v>72</v>
      </c>
      <c r="I17" s="13" t="s">
        <v>72</v>
      </c>
      <c r="J17" s="13" t="s">
        <v>72</v>
      </c>
      <c r="K17" s="13" t="s">
        <v>72</v>
      </c>
      <c r="L17" s="13" t="s">
        <v>72</v>
      </c>
      <c r="M17" s="13" t="s">
        <v>72</v>
      </c>
      <c r="N17" s="13" t="s">
        <v>72</v>
      </c>
      <c r="O17" s="13" t="s">
        <v>72</v>
      </c>
      <c r="P17" s="13" t="s">
        <v>72</v>
      </c>
      <c r="Q17" s="13" t="s">
        <v>72</v>
      </c>
      <c r="R17" s="13" t="s">
        <v>72</v>
      </c>
    </row>
    <row r="18" spans="1:18" x14ac:dyDescent="0.2">
      <c r="A18" s="4" t="s">
        <v>216</v>
      </c>
      <c r="B18" s="9">
        <v>36572</v>
      </c>
      <c r="C18" s="9">
        <v>4625</v>
      </c>
      <c r="D18" s="9">
        <v>1824</v>
      </c>
      <c r="E18" s="9">
        <v>0</v>
      </c>
      <c r="F18" s="9">
        <v>2141</v>
      </c>
      <c r="G18" s="9">
        <v>4566</v>
      </c>
      <c r="H18" s="9">
        <v>2789</v>
      </c>
      <c r="I18" s="9">
        <v>5882</v>
      </c>
      <c r="J18" s="9">
        <v>657</v>
      </c>
      <c r="K18" s="9">
        <v>0</v>
      </c>
      <c r="L18" s="9">
        <v>5995</v>
      </c>
      <c r="M18" s="9">
        <v>1887</v>
      </c>
      <c r="N18" s="9">
        <v>698</v>
      </c>
      <c r="O18" s="9">
        <v>821</v>
      </c>
      <c r="P18" s="9">
        <v>725</v>
      </c>
      <c r="Q18" s="9">
        <v>2337</v>
      </c>
      <c r="R18" s="9">
        <v>1625</v>
      </c>
    </row>
    <row r="19" spans="1:18" x14ac:dyDescent="0.2">
      <c r="A19" s="4" t="s">
        <v>217</v>
      </c>
      <c r="B19" s="9">
        <v>33961</v>
      </c>
      <c r="C19" s="9">
        <v>4267</v>
      </c>
      <c r="D19" s="9">
        <v>1958</v>
      </c>
      <c r="E19" s="9">
        <v>0</v>
      </c>
      <c r="F19" s="9">
        <v>1635</v>
      </c>
      <c r="G19" s="9">
        <v>2516</v>
      </c>
      <c r="H19" s="9">
        <v>1799</v>
      </c>
      <c r="I19" s="9">
        <v>5650</v>
      </c>
      <c r="J19" s="9">
        <v>720</v>
      </c>
      <c r="K19" s="9">
        <v>0</v>
      </c>
      <c r="L19" s="9">
        <v>3468</v>
      </c>
      <c r="M19" s="9">
        <v>2476</v>
      </c>
      <c r="N19" s="9">
        <v>815</v>
      </c>
      <c r="O19" s="9">
        <v>2899</v>
      </c>
      <c r="P19" s="9">
        <v>895</v>
      </c>
      <c r="Q19" s="9">
        <v>2509</v>
      </c>
      <c r="R19" s="9">
        <v>2354</v>
      </c>
    </row>
    <row r="20" spans="1:18" x14ac:dyDescent="0.2">
      <c r="A20" s="4" t="s">
        <v>218</v>
      </c>
      <c r="B20" s="9">
        <v>5785</v>
      </c>
      <c r="C20" s="9">
        <v>284</v>
      </c>
      <c r="D20" s="9">
        <v>186</v>
      </c>
      <c r="E20" s="9">
        <v>0</v>
      </c>
      <c r="F20" s="9">
        <v>626</v>
      </c>
      <c r="G20" s="9">
        <v>1970</v>
      </c>
      <c r="H20" s="9">
        <v>0</v>
      </c>
      <c r="I20" s="9">
        <v>0</v>
      </c>
      <c r="J20" s="9">
        <v>183</v>
      </c>
      <c r="K20" s="9">
        <v>0</v>
      </c>
      <c r="L20" s="9">
        <v>377</v>
      </c>
      <c r="M20" s="9">
        <v>857</v>
      </c>
      <c r="N20" s="9">
        <v>407</v>
      </c>
      <c r="O20" s="9">
        <v>0</v>
      </c>
      <c r="P20" s="9">
        <v>0</v>
      </c>
      <c r="Q20" s="9">
        <v>794</v>
      </c>
      <c r="R20" s="9">
        <v>101</v>
      </c>
    </row>
    <row r="21" spans="1:18" x14ac:dyDescent="0.2">
      <c r="A21" s="4" t="s">
        <v>220</v>
      </c>
      <c r="B21" s="11">
        <v>76318</v>
      </c>
      <c r="C21" s="11">
        <v>9176</v>
      </c>
      <c r="D21" s="11">
        <v>3968</v>
      </c>
      <c r="E21" s="11">
        <v>0</v>
      </c>
      <c r="F21" s="11">
        <v>4402</v>
      </c>
      <c r="G21" s="11">
        <v>9052</v>
      </c>
      <c r="H21" s="11">
        <v>4588</v>
      </c>
      <c r="I21" s="11">
        <v>11532</v>
      </c>
      <c r="J21" s="11">
        <v>1560</v>
      </c>
      <c r="K21" s="11">
        <v>0</v>
      </c>
      <c r="L21" s="11">
        <v>9840</v>
      </c>
      <c r="M21" s="11">
        <v>5220</v>
      </c>
      <c r="N21" s="11">
        <v>1920</v>
      </c>
      <c r="O21" s="11">
        <v>3720</v>
      </c>
      <c r="P21" s="11">
        <v>1620</v>
      </c>
      <c r="Q21" s="11">
        <v>5640</v>
      </c>
      <c r="R21" s="11">
        <v>4080</v>
      </c>
    </row>
    <row r="22" spans="1:18" x14ac:dyDescent="0.2">
      <c r="A22" s="4" t="s">
        <v>210</v>
      </c>
      <c r="B22" s="13" t="s">
        <v>72</v>
      </c>
      <c r="C22" s="13" t="s">
        <v>72</v>
      </c>
      <c r="D22" s="13" t="s">
        <v>72</v>
      </c>
      <c r="E22" s="13" t="s">
        <v>72</v>
      </c>
      <c r="F22" s="13" t="s">
        <v>72</v>
      </c>
      <c r="G22" s="13" t="s">
        <v>72</v>
      </c>
      <c r="H22" s="13" t="s">
        <v>72</v>
      </c>
      <c r="I22" s="13" t="s">
        <v>72</v>
      </c>
      <c r="J22" s="13" t="s">
        <v>72</v>
      </c>
      <c r="K22" s="13" t="s">
        <v>72</v>
      </c>
      <c r="L22" s="13" t="s">
        <v>72</v>
      </c>
      <c r="M22" s="13" t="s">
        <v>72</v>
      </c>
      <c r="N22" s="13" t="s">
        <v>72</v>
      </c>
      <c r="O22" s="13" t="s">
        <v>72</v>
      </c>
      <c r="P22" s="13" t="s">
        <v>72</v>
      </c>
      <c r="Q22" s="13" t="s">
        <v>72</v>
      </c>
      <c r="R22" s="13" t="s">
        <v>72</v>
      </c>
    </row>
    <row r="23" spans="1:18" x14ac:dyDescent="0.2">
      <c r="A23" s="4" t="s">
        <v>216</v>
      </c>
      <c r="B23" s="9">
        <v>6237</v>
      </c>
      <c r="C23" s="9">
        <v>0</v>
      </c>
      <c r="D23" s="9">
        <v>532</v>
      </c>
      <c r="E23" s="9">
        <v>0</v>
      </c>
      <c r="F23" s="9">
        <v>2152</v>
      </c>
      <c r="G23" s="9">
        <v>458</v>
      </c>
      <c r="H23" s="9">
        <v>396</v>
      </c>
      <c r="I23" s="9">
        <v>785</v>
      </c>
      <c r="J23" s="9">
        <v>0</v>
      </c>
      <c r="K23" s="9">
        <v>0</v>
      </c>
      <c r="L23" s="9">
        <v>0</v>
      </c>
      <c r="M23" s="9">
        <v>699</v>
      </c>
      <c r="N23" s="9">
        <v>344</v>
      </c>
      <c r="O23" s="9">
        <v>214</v>
      </c>
      <c r="P23" s="9">
        <v>0</v>
      </c>
      <c r="Q23" s="9">
        <v>658</v>
      </c>
      <c r="R23" s="9">
        <v>0</v>
      </c>
    </row>
    <row r="24" spans="1:18" x14ac:dyDescent="0.2">
      <c r="A24" s="4" t="s">
        <v>217</v>
      </c>
      <c r="B24" s="9">
        <v>5583</v>
      </c>
      <c r="C24" s="9">
        <v>0</v>
      </c>
      <c r="D24" s="9">
        <v>460</v>
      </c>
      <c r="E24" s="9">
        <v>0</v>
      </c>
      <c r="F24" s="9">
        <v>1113</v>
      </c>
      <c r="G24" s="9">
        <v>410</v>
      </c>
      <c r="H24" s="9">
        <v>348</v>
      </c>
      <c r="I24" s="9">
        <v>889</v>
      </c>
      <c r="J24" s="9">
        <v>0</v>
      </c>
      <c r="K24" s="9">
        <v>0</v>
      </c>
      <c r="L24" s="9">
        <v>0</v>
      </c>
      <c r="M24" s="9">
        <v>952</v>
      </c>
      <c r="N24" s="9">
        <v>157</v>
      </c>
      <c r="O24" s="9">
        <v>512</v>
      </c>
      <c r="P24" s="9">
        <v>0</v>
      </c>
      <c r="Q24" s="9">
        <v>741</v>
      </c>
      <c r="R24" s="9">
        <v>0</v>
      </c>
    </row>
    <row r="25" spans="1:18" x14ac:dyDescent="0.2">
      <c r="A25" s="4" t="s">
        <v>218</v>
      </c>
      <c r="B25" s="9">
        <v>1403</v>
      </c>
      <c r="C25" s="9">
        <v>0</v>
      </c>
      <c r="D25" s="9">
        <v>0</v>
      </c>
      <c r="E25" s="9">
        <v>0</v>
      </c>
      <c r="F25" s="9">
        <v>145</v>
      </c>
      <c r="G25" s="9">
        <v>572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430</v>
      </c>
      <c r="N25" s="9">
        <v>159</v>
      </c>
      <c r="O25" s="9">
        <v>0</v>
      </c>
      <c r="P25" s="9">
        <v>0</v>
      </c>
      <c r="Q25" s="9">
        <v>97</v>
      </c>
      <c r="R25" s="9">
        <v>0</v>
      </c>
    </row>
    <row r="26" spans="1:18" x14ac:dyDescent="0.2">
      <c r="A26" s="4" t="s">
        <v>221</v>
      </c>
      <c r="B26" s="11">
        <v>13223</v>
      </c>
      <c r="C26" s="11">
        <v>0</v>
      </c>
      <c r="D26" s="11">
        <v>992</v>
      </c>
      <c r="E26" s="11">
        <v>0</v>
      </c>
      <c r="F26" s="11">
        <v>3410</v>
      </c>
      <c r="G26" s="11">
        <v>1440</v>
      </c>
      <c r="H26" s="11">
        <v>744</v>
      </c>
      <c r="I26" s="11">
        <v>1674</v>
      </c>
      <c r="J26" s="11">
        <v>0</v>
      </c>
      <c r="K26" s="11">
        <v>0</v>
      </c>
      <c r="L26" s="11">
        <v>0</v>
      </c>
      <c r="M26" s="11">
        <v>2081</v>
      </c>
      <c r="N26" s="11">
        <v>660</v>
      </c>
      <c r="O26" s="11">
        <v>726</v>
      </c>
      <c r="P26" s="11">
        <v>0</v>
      </c>
      <c r="Q26" s="11">
        <v>1496</v>
      </c>
      <c r="R26" s="11">
        <v>0</v>
      </c>
    </row>
    <row r="27" spans="1:18" x14ac:dyDescent="0.2">
      <c r="A27" s="4" t="s">
        <v>211</v>
      </c>
      <c r="B27" s="13" t="s">
        <v>72</v>
      </c>
      <c r="C27" s="13" t="s">
        <v>72</v>
      </c>
      <c r="D27" s="13" t="s">
        <v>72</v>
      </c>
      <c r="E27" s="13" t="s">
        <v>72</v>
      </c>
      <c r="F27" s="13" t="s">
        <v>72</v>
      </c>
      <c r="G27" s="13" t="s">
        <v>72</v>
      </c>
      <c r="H27" s="13" t="s">
        <v>72</v>
      </c>
      <c r="I27" s="13" t="s">
        <v>72</v>
      </c>
      <c r="J27" s="13" t="s">
        <v>72</v>
      </c>
      <c r="K27" s="13" t="s">
        <v>72</v>
      </c>
      <c r="L27" s="13" t="s">
        <v>72</v>
      </c>
      <c r="M27" s="13" t="s">
        <v>72</v>
      </c>
      <c r="N27" s="13" t="s">
        <v>72</v>
      </c>
      <c r="O27" s="13" t="s">
        <v>72</v>
      </c>
      <c r="P27" s="13" t="s">
        <v>72</v>
      </c>
      <c r="Q27" s="13" t="s">
        <v>72</v>
      </c>
      <c r="R27" s="13" t="s">
        <v>72</v>
      </c>
    </row>
    <row r="28" spans="1:18" x14ac:dyDescent="0.2">
      <c r="A28" s="4" t="s">
        <v>216</v>
      </c>
      <c r="B28" s="9">
        <v>46388</v>
      </c>
      <c r="C28" s="9">
        <v>4882</v>
      </c>
      <c r="D28" s="9">
        <v>5064</v>
      </c>
      <c r="E28" s="9">
        <v>0</v>
      </c>
      <c r="F28" s="9">
        <v>6072</v>
      </c>
      <c r="G28" s="9">
        <v>1977</v>
      </c>
      <c r="H28" s="9">
        <v>3754</v>
      </c>
      <c r="I28" s="9">
        <v>2265</v>
      </c>
      <c r="J28" s="9">
        <v>1489</v>
      </c>
      <c r="K28" s="9">
        <v>0</v>
      </c>
      <c r="L28" s="9">
        <v>1334</v>
      </c>
      <c r="M28" s="9">
        <v>1887</v>
      </c>
      <c r="N28" s="9">
        <v>4112</v>
      </c>
      <c r="O28" s="9">
        <v>933</v>
      </c>
      <c r="P28" s="9">
        <v>8390</v>
      </c>
      <c r="Q28" s="9">
        <v>3353</v>
      </c>
      <c r="R28" s="9">
        <v>876</v>
      </c>
    </row>
    <row r="29" spans="1:18" x14ac:dyDescent="0.2">
      <c r="A29" s="4" t="s">
        <v>217</v>
      </c>
      <c r="B29" s="9">
        <v>44386</v>
      </c>
      <c r="C29" s="9">
        <v>2817</v>
      </c>
      <c r="D29" s="9">
        <v>5714</v>
      </c>
      <c r="E29" s="9">
        <v>0</v>
      </c>
      <c r="F29" s="9">
        <v>6517</v>
      </c>
      <c r="G29" s="9">
        <v>941</v>
      </c>
      <c r="H29" s="9">
        <v>2269</v>
      </c>
      <c r="I29" s="9">
        <v>2131</v>
      </c>
      <c r="J29" s="9">
        <v>2502</v>
      </c>
      <c r="K29" s="9">
        <v>0</v>
      </c>
      <c r="L29" s="9">
        <v>784</v>
      </c>
      <c r="M29" s="9">
        <v>1982</v>
      </c>
      <c r="N29" s="9">
        <v>2222</v>
      </c>
      <c r="O29" s="9">
        <v>313</v>
      </c>
      <c r="P29" s="9">
        <v>9791</v>
      </c>
      <c r="Q29" s="9">
        <v>2346</v>
      </c>
      <c r="R29" s="9">
        <v>4057</v>
      </c>
    </row>
    <row r="30" spans="1:18" x14ac:dyDescent="0.2">
      <c r="A30" s="4" t="s">
        <v>218</v>
      </c>
      <c r="B30" s="9">
        <v>8397</v>
      </c>
      <c r="C30" s="9">
        <v>56</v>
      </c>
      <c r="D30" s="9">
        <v>449</v>
      </c>
      <c r="E30" s="9">
        <v>0</v>
      </c>
      <c r="F30" s="9">
        <v>1677</v>
      </c>
      <c r="G30" s="9">
        <v>1182</v>
      </c>
      <c r="H30" s="9">
        <v>0</v>
      </c>
      <c r="I30" s="9">
        <v>0</v>
      </c>
      <c r="J30" s="9">
        <v>476</v>
      </c>
      <c r="K30" s="9">
        <v>0</v>
      </c>
      <c r="L30" s="9">
        <v>0</v>
      </c>
      <c r="M30" s="9">
        <v>554</v>
      </c>
      <c r="N30" s="9">
        <v>1828</v>
      </c>
      <c r="O30" s="9">
        <v>0</v>
      </c>
      <c r="P30" s="9">
        <v>1695</v>
      </c>
      <c r="Q30" s="9">
        <v>286</v>
      </c>
      <c r="R30" s="9">
        <v>195</v>
      </c>
    </row>
    <row r="31" spans="1:18" x14ac:dyDescent="0.2">
      <c r="A31" s="4" t="s">
        <v>222</v>
      </c>
      <c r="B31" s="11">
        <v>99171</v>
      </c>
      <c r="C31" s="11">
        <v>7755</v>
      </c>
      <c r="D31" s="11">
        <v>11227</v>
      </c>
      <c r="E31" s="11">
        <v>0</v>
      </c>
      <c r="F31" s="11">
        <v>14266</v>
      </c>
      <c r="G31" s="11">
        <v>4100</v>
      </c>
      <c r="H31" s="11">
        <v>6023</v>
      </c>
      <c r="I31" s="11">
        <v>4396</v>
      </c>
      <c r="J31" s="11">
        <v>4467</v>
      </c>
      <c r="K31" s="11">
        <v>0</v>
      </c>
      <c r="L31" s="11">
        <v>2118</v>
      </c>
      <c r="M31" s="11">
        <v>4423</v>
      </c>
      <c r="N31" s="11">
        <v>8162</v>
      </c>
      <c r="O31" s="11">
        <v>1246</v>
      </c>
      <c r="P31" s="11">
        <v>19876</v>
      </c>
      <c r="Q31" s="11">
        <v>5985</v>
      </c>
      <c r="R31" s="11">
        <v>5128</v>
      </c>
    </row>
    <row r="32" spans="1:18" x14ac:dyDescent="0.2">
      <c r="A32" s="4" t="s">
        <v>212</v>
      </c>
      <c r="B32" s="13" t="s">
        <v>72</v>
      </c>
      <c r="C32" s="13" t="s">
        <v>72</v>
      </c>
      <c r="D32" s="13" t="s">
        <v>72</v>
      </c>
      <c r="E32" s="13" t="s">
        <v>72</v>
      </c>
      <c r="F32" s="13" t="s">
        <v>72</v>
      </c>
      <c r="G32" s="13" t="s">
        <v>72</v>
      </c>
      <c r="H32" s="13" t="s">
        <v>72</v>
      </c>
      <c r="I32" s="13" t="s">
        <v>72</v>
      </c>
      <c r="J32" s="13" t="s">
        <v>72</v>
      </c>
      <c r="K32" s="13" t="s">
        <v>72</v>
      </c>
      <c r="L32" s="13" t="s">
        <v>72</v>
      </c>
      <c r="M32" s="13" t="s">
        <v>72</v>
      </c>
      <c r="N32" s="13" t="s">
        <v>72</v>
      </c>
      <c r="O32" s="13" t="s">
        <v>72</v>
      </c>
      <c r="P32" s="13" t="s">
        <v>72</v>
      </c>
      <c r="Q32" s="13" t="s">
        <v>72</v>
      </c>
      <c r="R32" s="13" t="s">
        <v>72</v>
      </c>
    </row>
    <row r="33" spans="1:18" x14ac:dyDescent="0.2">
      <c r="A33" s="4" t="s">
        <v>216</v>
      </c>
      <c r="B33" s="9">
        <v>1409</v>
      </c>
      <c r="C33" s="9">
        <v>113</v>
      </c>
      <c r="D33" s="9">
        <v>172</v>
      </c>
      <c r="E33" s="9">
        <v>0</v>
      </c>
      <c r="F33" s="9">
        <v>0</v>
      </c>
      <c r="G33" s="9">
        <v>0</v>
      </c>
      <c r="H33" s="9">
        <v>604</v>
      </c>
      <c r="I33" s="9">
        <v>74</v>
      </c>
      <c r="J33" s="9">
        <v>0</v>
      </c>
      <c r="K33" s="9">
        <v>0</v>
      </c>
      <c r="L33" s="9">
        <v>56</v>
      </c>
      <c r="M33" s="9">
        <v>0</v>
      </c>
      <c r="N33" s="9">
        <v>0</v>
      </c>
      <c r="O33" s="9">
        <v>0</v>
      </c>
      <c r="P33" s="9">
        <v>389</v>
      </c>
      <c r="Q33" s="9">
        <v>0</v>
      </c>
      <c r="R33" s="9">
        <v>0</v>
      </c>
    </row>
    <row r="34" spans="1:18" x14ac:dyDescent="0.2">
      <c r="A34" s="4" t="s">
        <v>217</v>
      </c>
      <c r="B34" s="9">
        <v>1013</v>
      </c>
      <c r="C34" s="9">
        <v>0</v>
      </c>
      <c r="D34" s="9">
        <v>0</v>
      </c>
      <c r="E34" s="9">
        <v>0</v>
      </c>
      <c r="F34" s="9">
        <v>115</v>
      </c>
      <c r="G34" s="9">
        <v>0</v>
      </c>
      <c r="H34" s="9">
        <v>537</v>
      </c>
      <c r="I34" s="9">
        <v>70</v>
      </c>
      <c r="J34" s="9">
        <v>0</v>
      </c>
      <c r="K34" s="9">
        <v>0</v>
      </c>
      <c r="L34" s="9">
        <v>60</v>
      </c>
      <c r="M34" s="9">
        <v>0</v>
      </c>
      <c r="N34" s="9">
        <v>0</v>
      </c>
      <c r="O34" s="9">
        <v>0</v>
      </c>
      <c r="P34" s="9">
        <v>231</v>
      </c>
      <c r="Q34" s="9">
        <v>0</v>
      </c>
      <c r="R34" s="9">
        <v>0</v>
      </c>
    </row>
    <row r="35" spans="1:18" x14ac:dyDescent="0.2">
      <c r="A35" s="4" t="s">
        <v>218</v>
      </c>
      <c r="B35" s="9">
        <v>70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70</v>
      </c>
      <c r="Q35" s="9">
        <v>0</v>
      </c>
      <c r="R35" s="9">
        <v>0</v>
      </c>
    </row>
    <row r="36" spans="1:18" x14ac:dyDescent="0.2">
      <c r="A36" s="4" t="s">
        <v>223</v>
      </c>
      <c r="B36" s="11">
        <v>2492</v>
      </c>
      <c r="C36" s="11">
        <v>113</v>
      </c>
      <c r="D36" s="11">
        <v>172</v>
      </c>
      <c r="E36" s="11">
        <v>0</v>
      </c>
      <c r="F36" s="11">
        <v>115</v>
      </c>
      <c r="G36" s="11">
        <v>0</v>
      </c>
      <c r="H36" s="11">
        <v>1141</v>
      </c>
      <c r="I36" s="11">
        <v>144</v>
      </c>
      <c r="J36" s="11">
        <v>0</v>
      </c>
      <c r="K36" s="11">
        <v>0</v>
      </c>
      <c r="L36" s="11">
        <v>116</v>
      </c>
      <c r="M36" s="11">
        <v>0</v>
      </c>
      <c r="N36" s="11">
        <v>0</v>
      </c>
      <c r="O36" s="11">
        <v>0</v>
      </c>
      <c r="P36" s="11">
        <v>690</v>
      </c>
      <c r="Q36" s="11">
        <v>0</v>
      </c>
      <c r="R36" s="11">
        <v>0</v>
      </c>
    </row>
    <row r="37" spans="1:18" x14ac:dyDescent="0.2">
      <c r="A37" s="4" t="s">
        <v>213</v>
      </c>
      <c r="B37" s="13" t="s">
        <v>72</v>
      </c>
      <c r="C37" s="13" t="s">
        <v>72</v>
      </c>
      <c r="D37" s="13" t="s">
        <v>72</v>
      </c>
      <c r="E37" s="13" t="s">
        <v>72</v>
      </c>
      <c r="F37" s="13" t="s">
        <v>72</v>
      </c>
      <c r="G37" s="13" t="s">
        <v>72</v>
      </c>
      <c r="H37" s="13" t="s">
        <v>72</v>
      </c>
      <c r="I37" s="13" t="s">
        <v>72</v>
      </c>
      <c r="J37" s="13" t="s">
        <v>72</v>
      </c>
      <c r="K37" s="13" t="s">
        <v>72</v>
      </c>
      <c r="L37" s="13" t="s">
        <v>72</v>
      </c>
      <c r="M37" s="13" t="s">
        <v>72</v>
      </c>
      <c r="N37" s="13" t="s">
        <v>72</v>
      </c>
      <c r="O37" s="13" t="s">
        <v>72</v>
      </c>
      <c r="P37" s="13" t="s">
        <v>72</v>
      </c>
      <c r="Q37" s="13" t="s">
        <v>72</v>
      </c>
      <c r="R37" s="13" t="s">
        <v>72</v>
      </c>
    </row>
    <row r="38" spans="1:18" x14ac:dyDescent="0.2">
      <c r="A38" s="4" t="s">
        <v>224</v>
      </c>
      <c r="B38" s="9">
        <v>368</v>
      </c>
      <c r="C38" s="9">
        <v>88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281</v>
      </c>
      <c r="R38" s="9">
        <v>0</v>
      </c>
    </row>
    <row r="39" spans="1:18" x14ac:dyDescent="0.2">
      <c r="A39" s="4" t="s">
        <v>225</v>
      </c>
      <c r="B39" s="9">
        <v>58453</v>
      </c>
      <c r="C39" s="9">
        <v>9128</v>
      </c>
      <c r="D39" s="9">
        <v>11606</v>
      </c>
      <c r="E39" s="9">
        <v>170</v>
      </c>
      <c r="F39" s="9">
        <v>131</v>
      </c>
      <c r="G39" s="9">
        <v>9873</v>
      </c>
      <c r="H39" s="9">
        <v>1917</v>
      </c>
      <c r="I39" s="9">
        <v>4875</v>
      </c>
      <c r="J39" s="9">
        <v>1993</v>
      </c>
      <c r="K39" s="9">
        <v>381</v>
      </c>
      <c r="L39" s="9">
        <v>2633</v>
      </c>
      <c r="M39" s="9">
        <v>3732</v>
      </c>
      <c r="N39" s="9">
        <v>1554</v>
      </c>
      <c r="O39" s="9">
        <v>794</v>
      </c>
      <c r="P39" s="9">
        <v>2140</v>
      </c>
      <c r="Q39" s="9">
        <v>5353</v>
      </c>
      <c r="R39" s="9">
        <v>2174</v>
      </c>
    </row>
    <row r="40" spans="1:18" x14ac:dyDescent="0.2">
      <c r="A40" s="4" t="s">
        <v>226</v>
      </c>
      <c r="B40" s="9">
        <v>4005</v>
      </c>
      <c r="C40" s="9">
        <v>0</v>
      </c>
      <c r="D40" s="9">
        <v>160</v>
      </c>
      <c r="E40" s="9">
        <v>640</v>
      </c>
      <c r="F40" s="9">
        <v>1680</v>
      </c>
      <c r="G40" s="9">
        <v>835</v>
      </c>
      <c r="H40" s="9">
        <v>0</v>
      </c>
      <c r="I40" s="9">
        <v>160</v>
      </c>
      <c r="J40" s="9">
        <v>0</v>
      </c>
      <c r="K40" s="9">
        <v>0</v>
      </c>
      <c r="L40" s="9">
        <v>0</v>
      </c>
      <c r="M40" s="9">
        <v>0</v>
      </c>
      <c r="N40" s="9">
        <v>530</v>
      </c>
      <c r="O40" s="9">
        <v>0</v>
      </c>
      <c r="P40" s="9">
        <v>0</v>
      </c>
      <c r="Q40" s="9">
        <v>0</v>
      </c>
      <c r="R40" s="9">
        <v>0</v>
      </c>
    </row>
    <row r="41" spans="1:18" x14ac:dyDescent="0.2">
      <c r="A41" s="4" t="s">
        <v>227</v>
      </c>
      <c r="B41" s="9">
        <v>5466</v>
      </c>
      <c r="C41" s="9">
        <v>1001</v>
      </c>
      <c r="D41" s="9">
        <v>3130</v>
      </c>
      <c r="E41" s="9">
        <v>15</v>
      </c>
      <c r="F41" s="9">
        <v>0</v>
      </c>
      <c r="G41" s="9">
        <v>224</v>
      </c>
      <c r="H41" s="9">
        <v>0</v>
      </c>
      <c r="I41" s="9">
        <v>0</v>
      </c>
      <c r="J41" s="9">
        <v>83</v>
      </c>
      <c r="K41" s="9">
        <v>0</v>
      </c>
      <c r="L41" s="9">
        <v>92</v>
      </c>
      <c r="M41" s="9">
        <v>230</v>
      </c>
      <c r="N41" s="9">
        <v>180</v>
      </c>
      <c r="O41" s="9">
        <v>123</v>
      </c>
      <c r="P41" s="9">
        <v>185</v>
      </c>
      <c r="Q41" s="9">
        <v>78</v>
      </c>
      <c r="R41" s="9">
        <v>123</v>
      </c>
    </row>
    <row r="42" spans="1:18" x14ac:dyDescent="0.2">
      <c r="A42" s="4" t="s">
        <v>228</v>
      </c>
      <c r="B42" s="9">
        <v>212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212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">
      <c r="A43" s="4" t="s">
        <v>229</v>
      </c>
      <c r="B43" s="9">
        <v>22737</v>
      </c>
      <c r="C43" s="9">
        <v>2574</v>
      </c>
      <c r="D43" s="9">
        <v>1475</v>
      </c>
      <c r="E43" s="9">
        <v>0</v>
      </c>
      <c r="F43" s="9">
        <v>671</v>
      </c>
      <c r="G43" s="9">
        <v>389</v>
      </c>
      <c r="H43" s="9">
        <v>238</v>
      </c>
      <c r="I43" s="9">
        <v>491</v>
      </c>
      <c r="J43" s="9">
        <v>156</v>
      </c>
      <c r="K43" s="9">
        <v>1744</v>
      </c>
      <c r="L43" s="9">
        <v>7308</v>
      </c>
      <c r="M43" s="9">
        <v>139</v>
      </c>
      <c r="N43" s="9">
        <v>1963</v>
      </c>
      <c r="O43" s="9">
        <v>1733</v>
      </c>
      <c r="P43" s="9">
        <v>631</v>
      </c>
      <c r="Q43" s="9">
        <v>2632</v>
      </c>
      <c r="R43" s="9">
        <v>594</v>
      </c>
    </row>
    <row r="44" spans="1:18" x14ac:dyDescent="0.2">
      <c r="A44" s="4" t="s">
        <v>230</v>
      </c>
      <c r="B44" s="9">
        <v>21975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3340</v>
      </c>
      <c r="K44" s="9">
        <v>0</v>
      </c>
      <c r="L44" s="9">
        <v>0</v>
      </c>
      <c r="M44" s="9">
        <v>3000</v>
      </c>
      <c r="N44" s="9">
        <v>0</v>
      </c>
      <c r="O44" s="9">
        <v>3490</v>
      </c>
      <c r="P44" s="9">
        <v>5085</v>
      </c>
      <c r="Q44" s="9">
        <v>3660</v>
      </c>
      <c r="R44" s="9">
        <v>3400</v>
      </c>
    </row>
    <row r="45" spans="1:18" x14ac:dyDescent="0.2">
      <c r="A45" s="4" t="s">
        <v>231</v>
      </c>
      <c r="B45" s="9">
        <v>-101</v>
      </c>
      <c r="C45" s="9">
        <v>1541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502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-2145</v>
      </c>
      <c r="R45" s="9">
        <v>0</v>
      </c>
    </row>
    <row r="46" spans="1:18" x14ac:dyDescent="0.2">
      <c r="A46" s="4" t="s">
        <v>232</v>
      </c>
      <c r="B46" s="11">
        <v>113115</v>
      </c>
      <c r="C46" s="11">
        <v>14332</v>
      </c>
      <c r="D46" s="11">
        <v>16371</v>
      </c>
      <c r="E46" s="11">
        <v>825</v>
      </c>
      <c r="F46" s="11">
        <v>2482</v>
      </c>
      <c r="G46" s="11">
        <v>11321</v>
      </c>
      <c r="H46" s="11">
        <v>2367</v>
      </c>
      <c r="I46" s="11">
        <v>6028</v>
      </c>
      <c r="J46" s="11">
        <v>5572</v>
      </c>
      <c r="K46" s="11">
        <v>2125</v>
      </c>
      <c r="L46" s="11">
        <v>10033</v>
      </c>
      <c r="M46" s="11">
        <v>7101</v>
      </c>
      <c r="N46" s="11">
        <v>4227</v>
      </c>
      <c r="O46" s="11">
        <v>6140</v>
      </c>
      <c r="P46" s="11">
        <v>8041</v>
      </c>
      <c r="Q46" s="11">
        <v>9859</v>
      </c>
      <c r="R46" s="11">
        <v>6291</v>
      </c>
    </row>
    <row r="47" spans="1:18" x14ac:dyDescent="0.2">
      <c r="A47" s="4" t="s">
        <v>214</v>
      </c>
      <c r="B47" s="12">
        <v>306534</v>
      </c>
      <c r="C47" s="12">
        <v>31416</v>
      </c>
      <c r="D47" s="12">
        <v>32730</v>
      </c>
      <c r="E47" s="12">
        <v>825</v>
      </c>
      <c r="F47" s="12">
        <v>25959</v>
      </c>
      <c r="G47" s="12">
        <v>25972</v>
      </c>
      <c r="H47" s="12">
        <v>14863</v>
      </c>
      <c r="I47" s="12">
        <v>23700</v>
      </c>
      <c r="J47" s="12">
        <v>11599</v>
      </c>
      <c r="K47" s="12">
        <v>2125</v>
      </c>
      <c r="L47" s="12">
        <v>22107</v>
      </c>
      <c r="M47" s="12">
        <v>18825</v>
      </c>
      <c r="N47" s="12">
        <v>15293</v>
      </c>
      <c r="O47" s="12">
        <v>11892</v>
      </c>
      <c r="P47" s="12">
        <v>30227</v>
      </c>
      <c r="Q47" s="12">
        <v>23260</v>
      </c>
      <c r="R47" s="12">
        <v>15741</v>
      </c>
    </row>
    <row r="48" spans="1:18" x14ac:dyDescent="0.2">
      <c r="A48" s="2" t="s">
        <v>6</v>
      </c>
    </row>
    <row r="49" spans="1:1" x14ac:dyDescent="0.2">
      <c r="A49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3"/>
  <sheetViews>
    <sheetView workbookViewId="0"/>
  </sheetViews>
  <sheetFormatPr defaultColWidth="9.140625" defaultRowHeight="12.75" x14ac:dyDescent="0.2"/>
  <cols>
    <col min="1" max="1" width="34.8554687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14.5703125" style="1" customWidth="1"/>
    <col min="25" max="25" width="9.140625" style="1" customWidth="1"/>
    <col min="26" max="16384" width="9.140625" style="1"/>
  </cols>
  <sheetData>
    <row r="1" spans="1:24" ht="18" x14ac:dyDescent="0.25">
      <c r="A1" s="3" t="s">
        <v>0</v>
      </c>
    </row>
    <row r="2" spans="1:24" ht="18" x14ac:dyDescent="0.25">
      <c r="A2" s="3" t="s">
        <v>233</v>
      </c>
    </row>
    <row r="3" spans="1:24" ht="18" x14ac:dyDescent="0.25">
      <c r="A3" s="3" t="s">
        <v>2</v>
      </c>
    </row>
    <row r="4" spans="1:24" x14ac:dyDescent="0.2">
      <c r="A4" s="4" t="s">
        <v>3</v>
      </c>
      <c r="B4" s="4" t="s">
        <v>4</v>
      </c>
    </row>
    <row r="5" spans="1:24" x14ac:dyDescent="0.2">
      <c r="A5" s="4" t="s">
        <v>5</v>
      </c>
      <c r="B5" s="4" t="s">
        <v>0</v>
      </c>
    </row>
    <row r="6" spans="1:24" x14ac:dyDescent="0.2">
      <c r="A6" s="2" t="s">
        <v>6</v>
      </c>
    </row>
    <row r="7" spans="1:24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</row>
    <row r="8" spans="1:24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5" t="s">
        <v>29</v>
      </c>
    </row>
    <row r="9" spans="1:24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</row>
    <row r="10" spans="1:24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  <c r="X10" s="8" t="s">
        <v>30</v>
      </c>
    </row>
    <row r="11" spans="1:24" x14ac:dyDescent="0.2">
      <c r="A11" s="4" t="s">
        <v>234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</row>
    <row r="12" spans="1:24" x14ac:dyDescent="0.2">
      <c r="A12" s="4" t="s">
        <v>235</v>
      </c>
      <c r="B12" s="4" t="s">
        <v>72</v>
      </c>
      <c r="C12" s="4" t="s">
        <v>72</v>
      </c>
      <c r="D12" s="4" t="s">
        <v>72</v>
      </c>
      <c r="E12" s="4" t="s">
        <v>72</v>
      </c>
      <c r="F12" s="4" t="s">
        <v>72</v>
      </c>
      <c r="G12" s="4" t="s">
        <v>72</v>
      </c>
      <c r="H12" s="4" t="s">
        <v>72</v>
      </c>
      <c r="I12" s="4" t="s">
        <v>72</v>
      </c>
      <c r="J12" s="4" t="s">
        <v>72</v>
      </c>
      <c r="K12" s="4" t="s">
        <v>72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 t="s">
        <v>72</v>
      </c>
      <c r="S12" s="4" t="s">
        <v>72</v>
      </c>
      <c r="T12" s="4" t="s">
        <v>72</v>
      </c>
      <c r="U12" s="4" t="s">
        <v>72</v>
      </c>
      <c r="V12" s="4" t="s">
        <v>72</v>
      </c>
      <c r="W12" s="4" t="s">
        <v>72</v>
      </c>
      <c r="X12" s="4" t="s">
        <v>72</v>
      </c>
    </row>
    <row r="13" spans="1:24" x14ac:dyDescent="0.2">
      <c r="A13" s="4" t="s">
        <v>236</v>
      </c>
      <c r="B13" s="9">
        <v>133900</v>
      </c>
      <c r="C13" s="9">
        <v>3947</v>
      </c>
      <c r="D13" s="9">
        <v>0</v>
      </c>
      <c r="E13" s="9">
        <v>3269</v>
      </c>
      <c r="F13" s="9">
        <v>6552</v>
      </c>
      <c r="G13" s="9">
        <v>7130</v>
      </c>
      <c r="H13" s="9">
        <v>6842</v>
      </c>
      <c r="I13" s="9">
        <v>5968</v>
      </c>
      <c r="J13" s="9">
        <v>7601</v>
      </c>
      <c r="K13" s="9">
        <v>7623</v>
      </c>
      <c r="L13" s="9">
        <v>8859</v>
      </c>
      <c r="M13" s="9">
        <v>8588</v>
      </c>
      <c r="N13" s="9">
        <v>9956</v>
      </c>
      <c r="O13" s="9">
        <v>10095</v>
      </c>
      <c r="P13" s="9">
        <v>9792</v>
      </c>
      <c r="Q13" s="9">
        <v>8763</v>
      </c>
      <c r="R13" s="9">
        <v>8909</v>
      </c>
      <c r="S13" s="9">
        <v>6429</v>
      </c>
      <c r="T13" s="9">
        <v>4770</v>
      </c>
      <c r="U13" s="9">
        <v>0</v>
      </c>
      <c r="V13" s="9">
        <v>8809</v>
      </c>
      <c r="W13" s="9">
        <v>0</v>
      </c>
      <c r="X13" s="9">
        <v>0</v>
      </c>
    </row>
    <row r="14" spans="1:24" x14ac:dyDescent="0.2">
      <c r="A14" s="4" t="s">
        <v>237</v>
      </c>
      <c r="B14" s="9">
        <v>56836</v>
      </c>
      <c r="C14" s="9">
        <v>6319</v>
      </c>
      <c r="D14" s="9">
        <v>0</v>
      </c>
      <c r="E14" s="9">
        <v>0</v>
      </c>
      <c r="F14" s="9">
        <v>-111</v>
      </c>
      <c r="G14" s="9">
        <v>8698</v>
      </c>
      <c r="H14" s="9">
        <v>5259</v>
      </c>
      <c r="I14" s="9">
        <v>151</v>
      </c>
      <c r="J14" s="9">
        <v>0</v>
      </c>
      <c r="K14" s="9">
        <v>0</v>
      </c>
      <c r="L14" s="9">
        <v>-323</v>
      </c>
      <c r="M14" s="9">
        <v>7694</v>
      </c>
      <c r="N14" s="9">
        <v>8601</v>
      </c>
      <c r="O14" s="9">
        <v>6084</v>
      </c>
      <c r="P14" s="9">
        <v>8683</v>
      </c>
      <c r="Q14" s="9">
        <v>0</v>
      </c>
      <c r="R14" s="9">
        <v>5780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1:24" x14ac:dyDescent="0.2">
      <c r="A15" s="4" t="s">
        <v>238</v>
      </c>
      <c r="B15" s="9">
        <v>14719</v>
      </c>
      <c r="C15" s="9">
        <v>0</v>
      </c>
      <c r="D15" s="9">
        <v>0</v>
      </c>
      <c r="E15" s="9">
        <v>0</v>
      </c>
      <c r="F15" s="9">
        <v>989</v>
      </c>
      <c r="G15" s="9">
        <v>5054</v>
      </c>
      <c r="H15" s="9">
        <v>3349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5327</v>
      </c>
      <c r="V15" s="9">
        <v>0</v>
      </c>
      <c r="W15" s="9">
        <v>0</v>
      </c>
      <c r="X15" s="9">
        <v>0</v>
      </c>
    </row>
    <row r="16" spans="1:24" x14ac:dyDescent="0.2">
      <c r="A16" s="4" t="s">
        <v>239</v>
      </c>
      <c r="B16" s="9">
        <v>248523</v>
      </c>
      <c r="C16" s="9">
        <v>29924</v>
      </c>
      <c r="D16" s="9">
        <v>39768</v>
      </c>
      <c r="E16" s="9">
        <v>11224</v>
      </c>
      <c r="F16" s="9">
        <v>8732</v>
      </c>
      <c r="G16" s="9">
        <v>10345</v>
      </c>
      <c r="H16" s="9">
        <v>13001</v>
      </c>
      <c r="I16" s="9">
        <v>4590</v>
      </c>
      <c r="J16" s="9">
        <v>17889</v>
      </c>
      <c r="K16" s="9">
        <v>3399</v>
      </c>
      <c r="L16" s="9">
        <v>14011</v>
      </c>
      <c r="M16" s="9">
        <v>15272</v>
      </c>
      <c r="N16" s="9">
        <v>27230</v>
      </c>
      <c r="O16" s="9">
        <v>11190</v>
      </c>
      <c r="P16" s="9">
        <v>7059</v>
      </c>
      <c r="Q16" s="9">
        <v>10423</v>
      </c>
      <c r="R16" s="9">
        <v>13166</v>
      </c>
      <c r="S16" s="9">
        <v>5221</v>
      </c>
      <c r="T16" s="9">
        <v>3835</v>
      </c>
      <c r="U16" s="9">
        <v>1720</v>
      </c>
      <c r="V16" s="9">
        <v>524</v>
      </c>
      <c r="W16" s="9">
        <v>0</v>
      </c>
      <c r="X16" s="9">
        <v>0</v>
      </c>
    </row>
    <row r="17" spans="1:24" x14ac:dyDescent="0.2">
      <c r="A17" s="4" t="s">
        <v>240</v>
      </c>
      <c r="B17" s="9">
        <v>16786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4118</v>
      </c>
      <c r="K17" s="9">
        <v>0</v>
      </c>
      <c r="L17" s="9">
        <v>0</v>
      </c>
      <c r="M17" s="9">
        <v>0</v>
      </c>
      <c r="N17" s="9">
        <v>12669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2">
      <c r="A18" s="4" t="s">
        <v>241</v>
      </c>
      <c r="B18" s="9">
        <v>7456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7456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">
      <c r="A19" s="4" t="s">
        <v>242</v>
      </c>
      <c r="B19" s="9">
        <v>87708</v>
      </c>
      <c r="C19" s="9">
        <v>7311</v>
      </c>
      <c r="D19" s="9">
        <v>7376</v>
      </c>
      <c r="E19" s="9">
        <v>8097</v>
      </c>
      <c r="F19" s="9">
        <v>5964</v>
      </c>
      <c r="G19" s="9">
        <v>166</v>
      </c>
      <c r="H19" s="9">
        <v>1654</v>
      </c>
      <c r="I19" s="9">
        <v>7014</v>
      </c>
      <c r="J19" s="9">
        <v>0</v>
      </c>
      <c r="K19" s="9">
        <v>0</v>
      </c>
      <c r="L19" s="9">
        <v>7280</v>
      </c>
      <c r="M19" s="9">
        <v>6909</v>
      </c>
      <c r="N19" s="9">
        <v>13337</v>
      </c>
      <c r="O19" s="9">
        <v>0</v>
      </c>
      <c r="P19" s="9">
        <v>7916</v>
      </c>
      <c r="Q19" s="9">
        <v>7226</v>
      </c>
      <c r="R19" s="9">
        <v>7456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1:24" x14ac:dyDescent="0.2">
      <c r="A20" s="4" t="s">
        <v>243</v>
      </c>
      <c r="B20" s="9">
        <v>525849</v>
      </c>
      <c r="C20" s="9">
        <v>12728</v>
      </c>
      <c r="D20" s="9">
        <v>7180</v>
      </c>
      <c r="E20" s="9">
        <v>19912</v>
      </c>
      <c r="F20" s="9">
        <v>31100</v>
      </c>
      <c r="G20" s="9">
        <v>24858</v>
      </c>
      <c r="H20" s="9">
        <v>23138</v>
      </c>
      <c r="I20" s="9">
        <v>12966</v>
      </c>
      <c r="J20" s="9">
        <v>24466</v>
      </c>
      <c r="K20" s="9">
        <v>8390</v>
      </c>
      <c r="L20" s="9">
        <v>50047</v>
      </c>
      <c r="M20" s="9">
        <v>38833</v>
      </c>
      <c r="N20" s="9">
        <v>62206</v>
      </c>
      <c r="O20" s="9">
        <v>43243</v>
      </c>
      <c r="P20" s="9">
        <v>54122</v>
      </c>
      <c r="Q20" s="9">
        <v>51165</v>
      </c>
      <c r="R20" s="9">
        <v>36150</v>
      </c>
      <c r="S20" s="9">
        <v>4993</v>
      </c>
      <c r="T20" s="9">
        <v>4152</v>
      </c>
      <c r="U20" s="9">
        <v>5514</v>
      </c>
      <c r="V20" s="9">
        <v>10688</v>
      </c>
      <c r="W20" s="9">
        <v>0</v>
      </c>
      <c r="X20" s="9">
        <v>0</v>
      </c>
    </row>
    <row r="21" spans="1:24" x14ac:dyDescent="0.2">
      <c r="A21" s="4" t="s">
        <v>244</v>
      </c>
      <c r="B21" s="9">
        <v>1155732</v>
      </c>
      <c r="C21" s="9">
        <v>35982</v>
      </c>
      <c r="D21" s="9">
        <v>62521</v>
      </c>
      <c r="E21" s="9">
        <v>66201</v>
      </c>
      <c r="F21" s="9">
        <v>64804</v>
      </c>
      <c r="G21" s="9">
        <v>54222</v>
      </c>
      <c r="H21" s="9">
        <v>51793</v>
      </c>
      <c r="I21" s="9">
        <v>39188</v>
      </c>
      <c r="J21" s="9">
        <v>57069</v>
      </c>
      <c r="K21" s="9">
        <v>60089</v>
      </c>
      <c r="L21" s="9">
        <v>64872</v>
      </c>
      <c r="M21" s="9">
        <v>73749</v>
      </c>
      <c r="N21" s="9">
        <v>152043</v>
      </c>
      <c r="O21" s="9">
        <v>82580</v>
      </c>
      <c r="P21" s="9">
        <v>101933</v>
      </c>
      <c r="Q21" s="9">
        <v>87026</v>
      </c>
      <c r="R21" s="9">
        <v>73188</v>
      </c>
      <c r="S21" s="9">
        <v>8148</v>
      </c>
      <c r="T21" s="9">
        <v>2917</v>
      </c>
      <c r="U21" s="9">
        <v>4981</v>
      </c>
      <c r="V21" s="9">
        <v>9353</v>
      </c>
      <c r="W21" s="9">
        <v>3071</v>
      </c>
      <c r="X21" s="9">
        <v>0</v>
      </c>
    </row>
    <row r="22" spans="1:24" x14ac:dyDescent="0.2">
      <c r="A22" s="4" t="s">
        <v>245</v>
      </c>
      <c r="B22" s="9">
        <v>44847</v>
      </c>
      <c r="C22" s="9">
        <v>3434</v>
      </c>
      <c r="D22" s="9">
        <v>2994</v>
      </c>
      <c r="E22" s="9">
        <v>3123</v>
      </c>
      <c r="F22" s="9">
        <v>3872</v>
      </c>
      <c r="G22" s="9">
        <v>2014</v>
      </c>
      <c r="H22" s="9">
        <v>2557</v>
      </c>
      <c r="I22" s="9">
        <v>3190</v>
      </c>
      <c r="J22" s="9">
        <v>0</v>
      </c>
      <c r="K22" s="9">
        <v>0</v>
      </c>
      <c r="L22" s="9">
        <v>3839</v>
      </c>
      <c r="M22" s="9">
        <v>1699</v>
      </c>
      <c r="N22" s="9">
        <v>2331</v>
      </c>
      <c r="O22" s="9">
        <v>4195</v>
      </c>
      <c r="P22" s="9">
        <v>3887</v>
      </c>
      <c r="Q22" s="9">
        <v>4517</v>
      </c>
      <c r="R22" s="9">
        <v>3196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4" t="s">
        <v>246</v>
      </c>
      <c r="B23" s="9">
        <v>13737</v>
      </c>
      <c r="C23" s="9">
        <v>0</v>
      </c>
      <c r="D23" s="9">
        <v>0</v>
      </c>
      <c r="E23" s="9">
        <v>0</v>
      </c>
      <c r="F23" s="9">
        <v>572</v>
      </c>
      <c r="G23" s="9">
        <v>226</v>
      </c>
      <c r="H23" s="9">
        <v>0</v>
      </c>
      <c r="I23" s="9">
        <v>0</v>
      </c>
      <c r="J23" s="9">
        <v>3305</v>
      </c>
      <c r="K23" s="9">
        <v>0</v>
      </c>
      <c r="L23" s="9">
        <v>0</v>
      </c>
      <c r="M23" s="9">
        <v>0</v>
      </c>
      <c r="N23" s="9">
        <v>7170</v>
      </c>
      <c r="O23" s="9">
        <v>0</v>
      </c>
      <c r="P23" s="9">
        <v>2463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2">
      <c r="A24" s="4" t="s">
        <v>247</v>
      </c>
      <c r="B24" s="9">
        <v>48821</v>
      </c>
      <c r="C24" s="9">
        <v>3447</v>
      </c>
      <c r="D24" s="9">
        <v>2343</v>
      </c>
      <c r="E24" s="9">
        <v>2911</v>
      </c>
      <c r="F24" s="9">
        <v>3260</v>
      </c>
      <c r="G24" s="9">
        <v>2686</v>
      </c>
      <c r="H24" s="9">
        <v>2045</v>
      </c>
      <c r="I24" s="9">
        <v>2779</v>
      </c>
      <c r="J24" s="9">
        <v>3481</v>
      </c>
      <c r="K24" s="9">
        <v>3233</v>
      </c>
      <c r="L24" s="9">
        <v>4618</v>
      </c>
      <c r="M24" s="9">
        <v>3034</v>
      </c>
      <c r="N24" s="9">
        <v>3157</v>
      </c>
      <c r="O24" s="9">
        <v>3141</v>
      </c>
      <c r="P24" s="9">
        <v>3185</v>
      </c>
      <c r="Q24" s="9">
        <v>3453</v>
      </c>
      <c r="R24" s="9">
        <v>2054</v>
      </c>
      <c r="S24" s="9">
        <v>0</v>
      </c>
      <c r="T24" s="9">
        <v>-7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4" t="s">
        <v>248</v>
      </c>
      <c r="B25" s="9">
        <v>34971</v>
      </c>
      <c r="C25" s="9">
        <v>2616</v>
      </c>
      <c r="D25" s="9">
        <v>0</v>
      </c>
      <c r="E25" s="9">
        <v>3114</v>
      </c>
      <c r="F25" s="9">
        <v>0</v>
      </c>
      <c r="G25" s="9">
        <v>218</v>
      </c>
      <c r="H25" s="9">
        <v>0</v>
      </c>
      <c r="I25" s="9">
        <v>0</v>
      </c>
      <c r="J25" s="9">
        <v>2372</v>
      </c>
      <c r="K25" s="9">
        <v>1259</v>
      </c>
      <c r="L25" s="9">
        <v>1994</v>
      </c>
      <c r="M25" s="9">
        <v>3635</v>
      </c>
      <c r="N25" s="9">
        <v>8410</v>
      </c>
      <c r="O25" s="9">
        <v>2160</v>
      </c>
      <c r="P25" s="9">
        <v>5995</v>
      </c>
      <c r="Q25" s="9">
        <v>0</v>
      </c>
      <c r="R25" s="9">
        <v>3202</v>
      </c>
      <c r="S25" s="9">
        <v>0</v>
      </c>
      <c r="T25" s="9">
        <v>0</v>
      </c>
      <c r="U25" s="9">
        <v>0</v>
      </c>
      <c r="V25" s="9">
        <v>-2</v>
      </c>
      <c r="W25" s="9">
        <v>0</v>
      </c>
      <c r="X25" s="9">
        <v>0</v>
      </c>
    </row>
    <row r="26" spans="1:24" x14ac:dyDescent="0.2">
      <c r="A26" s="4" t="s">
        <v>249</v>
      </c>
      <c r="B26" s="9">
        <v>96994</v>
      </c>
      <c r="C26" s="9">
        <v>10356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301</v>
      </c>
      <c r="L26" s="9">
        <v>0</v>
      </c>
      <c r="M26" s="9">
        <v>0</v>
      </c>
      <c r="N26" s="9">
        <v>13998</v>
      </c>
      <c r="O26" s="9">
        <v>0</v>
      </c>
      <c r="P26" s="9">
        <v>0</v>
      </c>
      <c r="Q26" s="9">
        <v>0</v>
      </c>
      <c r="R26" s="9">
        <v>0</v>
      </c>
      <c r="S26" s="9">
        <v>23905</v>
      </c>
      <c r="T26" s="9">
        <v>21669</v>
      </c>
      <c r="U26" s="9">
        <v>7195</v>
      </c>
      <c r="V26" s="9">
        <v>10814</v>
      </c>
      <c r="W26" s="9">
        <v>8758</v>
      </c>
      <c r="X26" s="9">
        <v>0</v>
      </c>
    </row>
    <row r="27" spans="1:24" x14ac:dyDescent="0.2">
      <c r="A27" s="4" t="s">
        <v>250</v>
      </c>
      <c r="B27" s="9">
        <v>32951</v>
      </c>
      <c r="C27" s="9">
        <v>0</v>
      </c>
      <c r="D27" s="9">
        <v>3531</v>
      </c>
      <c r="E27" s="9">
        <v>0</v>
      </c>
      <c r="F27" s="9">
        <v>3413</v>
      </c>
      <c r="G27" s="9">
        <v>0</v>
      </c>
      <c r="H27" s="9">
        <v>0</v>
      </c>
      <c r="I27" s="9">
        <v>0</v>
      </c>
      <c r="J27" s="9">
        <v>0</v>
      </c>
      <c r="K27" s="9">
        <v>487</v>
      </c>
      <c r="L27" s="9">
        <v>0</v>
      </c>
      <c r="M27" s="9">
        <v>4390</v>
      </c>
      <c r="N27" s="9">
        <v>5112</v>
      </c>
      <c r="O27" s="9">
        <v>3748</v>
      </c>
      <c r="P27" s="9">
        <v>4388</v>
      </c>
      <c r="Q27" s="9">
        <v>3921</v>
      </c>
      <c r="R27" s="9">
        <v>2692</v>
      </c>
      <c r="S27" s="9">
        <v>0</v>
      </c>
      <c r="T27" s="9">
        <v>515</v>
      </c>
      <c r="U27" s="9">
        <v>23</v>
      </c>
      <c r="V27" s="9">
        <v>729</v>
      </c>
      <c r="W27" s="9">
        <v>0</v>
      </c>
      <c r="X27" s="9">
        <v>0</v>
      </c>
    </row>
    <row r="28" spans="1:24" x14ac:dyDescent="0.2">
      <c r="A28" s="4" t="s">
        <v>251</v>
      </c>
      <c r="B28" s="9">
        <v>40010</v>
      </c>
      <c r="C28" s="9">
        <v>3712</v>
      </c>
      <c r="D28" s="9">
        <v>2968</v>
      </c>
      <c r="E28" s="9">
        <v>3057</v>
      </c>
      <c r="F28" s="9">
        <v>3169</v>
      </c>
      <c r="G28" s="9">
        <v>3325</v>
      </c>
      <c r="H28" s="9">
        <v>2821</v>
      </c>
      <c r="I28" s="9">
        <v>2976</v>
      </c>
      <c r="J28" s="9">
        <v>0</v>
      </c>
      <c r="K28" s="9">
        <v>0</v>
      </c>
      <c r="L28" s="9">
        <v>0</v>
      </c>
      <c r="M28" s="9">
        <v>0</v>
      </c>
      <c r="N28" s="9">
        <v>3263</v>
      </c>
      <c r="O28" s="9">
        <v>0</v>
      </c>
      <c r="P28" s="9">
        <v>4459</v>
      </c>
      <c r="Q28" s="9">
        <v>2436</v>
      </c>
      <c r="R28" s="9">
        <v>4961</v>
      </c>
      <c r="S28" s="9">
        <v>1628</v>
      </c>
      <c r="T28" s="9">
        <v>0</v>
      </c>
      <c r="U28" s="9">
        <v>1233</v>
      </c>
      <c r="V28" s="9">
        <v>0</v>
      </c>
      <c r="W28" s="9">
        <v>0</v>
      </c>
      <c r="X28" s="9">
        <v>0</v>
      </c>
    </row>
    <row r="29" spans="1:24" x14ac:dyDescent="0.2">
      <c r="A29" s="4" t="s">
        <v>252</v>
      </c>
      <c r="B29" s="9">
        <v>181366</v>
      </c>
      <c r="C29" s="9">
        <v>11565</v>
      </c>
      <c r="D29" s="9">
        <v>12124</v>
      </c>
      <c r="E29" s="9">
        <v>10148</v>
      </c>
      <c r="F29" s="9">
        <v>11124</v>
      </c>
      <c r="G29" s="9">
        <v>6822</v>
      </c>
      <c r="H29" s="9">
        <v>11512</v>
      </c>
      <c r="I29" s="9">
        <v>4386</v>
      </c>
      <c r="J29" s="9">
        <v>8361</v>
      </c>
      <c r="K29" s="9">
        <v>7938</v>
      </c>
      <c r="L29" s="9">
        <v>10321</v>
      </c>
      <c r="M29" s="9">
        <v>12557</v>
      </c>
      <c r="N29" s="9">
        <v>25682</v>
      </c>
      <c r="O29" s="9">
        <v>10221</v>
      </c>
      <c r="P29" s="9">
        <v>10941</v>
      </c>
      <c r="Q29" s="9">
        <v>12495</v>
      </c>
      <c r="R29" s="9">
        <v>13796</v>
      </c>
      <c r="S29" s="9">
        <v>0</v>
      </c>
      <c r="T29" s="9">
        <v>901</v>
      </c>
      <c r="U29" s="9">
        <v>0</v>
      </c>
      <c r="V29" s="9">
        <v>-28</v>
      </c>
      <c r="W29" s="9">
        <v>501</v>
      </c>
      <c r="X29" s="9">
        <v>0</v>
      </c>
    </row>
    <row r="30" spans="1:24" x14ac:dyDescent="0.2">
      <c r="A30" s="4" t="s">
        <v>253</v>
      </c>
      <c r="B30" s="9">
        <v>71806</v>
      </c>
      <c r="C30" s="9">
        <v>3048</v>
      </c>
      <c r="D30" s="9">
        <v>3428</v>
      </c>
      <c r="E30" s="9">
        <v>4284</v>
      </c>
      <c r="F30" s="9">
        <v>3338</v>
      </c>
      <c r="G30" s="9">
        <v>2639</v>
      </c>
      <c r="H30" s="9">
        <v>3538</v>
      </c>
      <c r="I30" s="9">
        <v>3376</v>
      </c>
      <c r="J30" s="9">
        <v>2410</v>
      </c>
      <c r="K30" s="9">
        <v>4119</v>
      </c>
      <c r="L30" s="9">
        <v>4115</v>
      </c>
      <c r="M30" s="9">
        <v>4200</v>
      </c>
      <c r="N30" s="9">
        <v>3781</v>
      </c>
      <c r="O30" s="9">
        <v>4528</v>
      </c>
      <c r="P30" s="9">
        <v>4797</v>
      </c>
      <c r="Q30" s="9">
        <v>4606</v>
      </c>
      <c r="R30" s="9">
        <v>4439</v>
      </c>
      <c r="S30" s="9">
        <v>3814</v>
      </c>
      <c r="T30" s="9">
        <v>3085</v>
      </c>
      <c r="U30" s="9">
        <v>1662</v>
      </c>
      <c r="V30" s="9">
        <v>2601</v>
      </c>
      <c r="W30" s="9">
        <v>0</v>
      </c>
      <c r="X30" s="9">
        <v>0</v>
      </c>
    </row>
    <row r="31" spans="1:24" x14ac:dyDescent="0.2">
      <c r="A31" s="4" t="s">
        <v>254</v>
      </c>
      <c r="B31" s="9">
        <v>13286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65</v>
      </c>
      <c r="K31" s="9">
        <v>0</v>
      </c>
      <c r="L31" s="9">
        <v>0</v>
      </c>
      <c r="M31" s="9">
        <v>0</v>
      </c>
      <c r="N31" s="9">
        <v>3528</v>
      </c>
      <c r="O31" s="9">
        <v>2956</v>
      </c>
      <c r="P31" s="9">
        <v>3416</v>
      </c>
      <c r="Q31" s="9">
        <v>2452</v>
      </c>
      <c r="R31" s="9">
        <v>0</v>
      </c>
      <c r="S31" s="9">
        <v>0</v>
      </c>
      <c r="T31" s="9">
        <v>0</v>
      </c>
      <c r="U31" s="9">
        <v>797</v>
      </c>
      <c r="V31" s="9">
        <v>70</v>
      </c>
      <c r="W31" s="9">
        <v>0</v>
      </c>
      <c r="X31" s="9">
        <v>0</v>
      </c>
    </row>
    <row r="32" spans="1:24" x14ac:dyDescent="0.2">
      <c r="A32" s="4" t="s">
        <v>255</v>
      </c>
      <c r="B32" s="9">
        <v>66985</v>
      </c>
      <c r="C32" s="9">
        <v>3172</v>
      </c>
      <c r="D32" s="9">
        <v>3389</v>
      </c>
      <c r="E32" s="9">
        <v>2199</v>
      </c>
      <c r="F32" s="9">
        <v>3144</v>
      </c>
      <c r="G32" s="9">
        <v>4955</v>
      </c>
      <c r="H32" s="9">
        <v>3159</v>
      </c>
      <c r="I32" s="9">
        <v>3646</v>
      </c>
      <c r="J32" s="9">
        <v>2958</v>
      </c>
      <c r="K32" s="9">
        <v>2344</v>
      </c>
      <c r="L32" s="9">
        <v>3942</v>
      </c>
      <c r="M32" s="9">
        <v>5229</v>
      </c>
      <c r="N32" s="9">
        <v>3734</v>
      </c>
      <c r="O32" s="9">
        <v>3278</v>
      </c>
      <c r="P32" s="9">
        <v>3490</v>
      </c>
      <c r="Q32" s="9">
        <v>3692</v>
      </c>
      <c r="R32" s="9">
        <v>3603</v>
      </c>
      <c r="S32" s="9">
        <v>0</v>
      </c>
      <c r="T32" s="9">
        <v>3981</v>
      </c>
      <c r="U32" s="9">
        <v>1810</v>
      </c>
      <c r="V32" s="9">
        <v>3058</v>
      </c>
      <c r="W32" s="9">
        <v>2200</v>
      </c>
      <c r="X32" s="9">
        <v>0</v>
      </c>
    </row>
    <row r="33" spans="1:24" x14ac:dyDescent="0.2">
      <c r="A33" s="4" t="s">
        <v>256</v>
      </c>
      <c r="B33" s="9">
        <v>3472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3473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</row>
    <row r="34" spans="1:24" x14ac:dyDescent="0.2">
      <c r="A34" s="4" t="s">
        <v>257</v>
      </c>
      <c r="B34" s="9">
        <v>136358</v>
      </c>
      <c r="C34" s="9">
        <v>5919</v>
      </c>
      <c r="D34" s="9">
        <v>12491</v>
      </c>
      <c r="E34" s="9">
        <v>7586</v>
      </c>
      <c r="F34" s="9">
        <v>11041</v>
      </c>
      <c r="G34" s="9">
        <v>3344</v>
      </c>
      <c r="H34" s="9">
        <v>8646</v>
      </c>
      <c r="I34" s="9">
        <v>4942</v>
      </c>
      <c r="J34" s="9">
        <v>5380</v>
      </c>
      <c r="K34" s="9">
        <v>3027</v>
      </c>
      <c r="L34" s="9">
        <v>9676</v>
      </c>
      <c r="M34" s="9">
        <v>9891</v>
      </c>
      <c r="N34" s="9">
        <v>20631</v>
      </c>
      <c r="O34" s="9">
        <v>9911</v>
      </c>
      <c r="P34" s="9">
        <v>9289</v>
      </c>
      <c r="Q34" s="9">
        <v>2899</v>
      </c>
      <c r="R34" s="9">
        <v>6674</v>
      </c>
      <c r="S34" s="9">
        <v>0</v>
      </c>
      <c r="T34" s="9">
        <v>1163</v>
      </c>
      <c r="U34" s="9">
        <v>0</v>
      </c>
      <c r="V34" s="9">
        <v>3851</v>
      </c>
      <c r="W34" s="9">
        <v>0</v>
      </c>
      <c r="X34" s="9">
        <v>0</v>
      </c>
    </row>
    <row r="35" spans="1:24" x14ac:dyDescent="0.2">
      <c r="A35" s="4" t="s">
        <v>258</v>
      </c>
      <c r="B35" s="9">
        <v>110913</v>
      </c>
      <c r="C35" s="9">
        <v>6860</v>
      </c>
      <c r="D35" s="9">
        <v>0</v>
      </c>
      <c r="E35" s="9">
        <v>5035</v>
      </c>
      <c r="F35" s="9">
        <v>1460</v>
      </c>
      <c r="G35" s="9">
        <v>7205</v>
      </c>
      <c r="H35" s="9">
        <v>3187</v>
      </c>
      <c r="I35" s="9">
        <v>2848</v>
      </c>
      <c r="J35" s="9">
        <v>7965</v>
      </c>
      <c r="K35" s="9">
        <v>8478</v>
      </c>
      <c r="L35" s="9">
        <v>5943</v>
      </c>
      <c r="M35" s="9">
        <v>5542</v>
      </c>
      <c r="N35" s="9">
        <v>5986</v>
      </c>
      <c r="O35" s="9">
        <v>7317</v>
      </c>
      <c r="P35" s="9">
        <v>5383</v>
      </c>
      <c r="Q35" s="9">
        <v>11937</v>
      </c>
      <c r="R35" s="9">
        <v>8655</v>
      </c>
      <c r="S35" s="9">
        <v>0</v>
      </c>
      <c r="T35" s="9">
        <v>5969</v>
      </c>
      <c r="U35" s="9">
        <v>4114</v>
      </c>
      <c r="V35" s="9">
        <v>2721</v>
      </c>
      <c r="W35" s="9">
        <v>4302</v>
      </c>
      <c r="X35" s="9">
        <v>0</v>
      </c>
    </row>
    <row r="36" spans="1:24" x14ac:dyDescent="0.2">
      <c r="A36" s="4" t="s">
        <v>259</v>
      </c>
      <c r="B36" s="9">
        <v>43097</v>
      </c>
      <c r="C36" s="9">
        <v>0</v>
      </c>
      <c r="D36" s="9">
        <v>0</v>
      </c>
      <c r="E36" s="9">
        <v>4007</v>
      </c>
      <c r="F36" s="9">
        <v>0</v>
      </c>
      <c r="G36" s="9">
        <v>2510</v>
      </c>
      <c r="H36" s="9">
        <v>1327</v>
      </c>
      <c r="I36" s="9">
        <v>0</v>
      </c>
      <c r="J36" s="9">
        <v>5636</v>
      </c>
      <c r="K36" s="9">
        <v>1545</v>
      </c>
      <c r="L36" s="9">
        <v>4465</v>
      </c>
      <c r="M36" s="9">
        <v>3446</v>
      </c>
      <c r="N36" s="9">
        <v>6264</v>
      </c>
      <c r="O36" s="9">
        <v>7529</v>
      </c>
      <c r="P36" s="9">
        <v>1528</v>
      </c>
      <c r="Q36" s="9">
        <v>4844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</row>
    <row r="37" spans="1:24" x14ac:dyDescent="0.2">
      <c r="A37" s="4" t="s">
        <v>260</v>
      </c>
      <c r="B37" s="9">
        <v>14898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6187</v>
      </c>
      <c r="M37" s="9">
        <v>0</v>
      </c>
      <c r="N37" s="9">
        <v>0</v>
      </c>
      <c r="O37" s="9">
        <v>0</v>
      </c>
      <c r="P37" s="9">
        <v>4614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4098</v>
      </c>
      <c r="W37" s="9">
        <v>0</v>
      </c>
      <c r="X37" s="9">
        <v>0</v>
      </c>
    </row>
    <row r="38" spans="1:24" x14ac:dyDescent="0.2">
      <c r="A38" s="4" t="s">
        <v>261</v>
      </c>
      <c r="B38" s="9">
        <v>17492</v>
      </c>
      <c r="C38" s="9">
        <v>4947</v>
      </c>
      <c r="D38" s="9">
        <v>0</v>
      </c>
      <c r="E38" s="9">
        <v>718</v>
      </c>
      <c r="F38" s="9">
        <v>0</v>
      </c>
      <c r="G38" s="9">
        <v>3962</v>
      </c>
      <c r="H38" s="9">
        <v>2928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224</v>
      </c>
      <c r="O38" s="9">
        <v>0</v>
      </c>
      <c r="P38" s="9">
        <v>1228</v>
      </c>
      <c r="Q38" s="9">
        <v>1835</v>
      </c>
      <c r="R38" s="9">
        <v>1548</v>
      </c>
      <c r="S38" s="9">
        <v>101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2">
      <c r="A39" s="4" t="s">
        <v>262</v>
      </c>
      <c r="B39" s="9">
        <v>126237</v>
      </c>
      <c r="C39" s="9">
        <v>6731</v>
      </c>
      <c r="D39" s="9">
        <v>6162</v>
      </c>
      <c r="E39" s="9">
        <v>5873</v>
      </c>
      <c r="F39" s="9">
        <v>9581</v>
      </c>
      <c r="G39" s="9">
        <v>6625</v>
      </c>
      <c r="H39" s="9">
        <v>0</v>
      </c>
      <c r="I39" s="9">
        <v>7285</v>
      </c>
      <c r="J39" s="9">
        <v>6761</v>
      </c>
      <c r="K39" s="9">
        <v>0</v>
      </c>
      <c r="L39" s="9">
        <v>7438</v>
      </c>
      <c r="M39" s="9">
        <v>6453</v>
      </c>
      <c r="N39" s="9">
        <v>7863</v>
      </c>
      <c r="O39" s="9">
        <v>10714</v>
      </c>
      <c r="P39" s="9">
        <v>10537</v>
      </c>
      <c r="Q39" s="9">
        <v>9555</v>
      </c>
      <c r="R39" s="9">
        <v>5171</v>
      </c>
      <c r="S39" s="9">
        <v>5741</v>
      </c>
      <c r="T39" s="9">
        <v>4039</v>
      </c>
      <c r="U39" s="9">
        <v>2915</v>
      </c>
      <c r="V39" s="9">
        <v>6792</v>
      </c>
      <c r="W39" s="9">
        <v>0</v>
      </c>
      <c r="X39" s="9">
        <v>0</v>
      </c>
    </row>
    <row r="40" spans="1:24" x14ac:dyDescent="0.2">
      <c r="A40" s="4" t="s">
        <v>263</v>
      </c>
      <c r="B40" s="9">
        <v>6493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1133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5360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">
      <c r="A41" s="4" t="s">
        <v>264</v>
      </c>
      <c r="B41" s="9">
        <v>32257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4077</v>
      </c>
      <c r="K41" s="9">
        <v>3601</v>
      </c>
      <c r="L41" s="9">
        <v>4614</v>
      </c>
      <c r="M41" s="9">
        <v>3464</v>
      </c>
      <c r="N41" s="9">
        <v>4011</v>
      </c>
      <c r="O41" s="9">
        <v>3613</v>
      </c>
      <c r="P41" s="9">
        <v>5276</v>
      </c>
      <c r="Q41" s="9">
        <v>0</v>
      </c>
      <c r="R41" s="9">
        <v>0</v>
      </c>
      <c r="S41" s="9">
        <v>3638</v>
      </c>
      <c r="T41" s="9">
        <v>0</v>
      </c>
      <c r="U41" s="9">
        <v>0</v>
      </c>
      <c r="V41" s="9">
        <v>-36</v>
      </c>
      <c r="W41" s="9">
        <v>0</v>
      </c>
      <c r="X41" s="9">
        <v>0</v>
      </c>
    </row>
    <row r="42" spans="1:24" x14ac:dyDescent="0.2">
      <c r="A42" s="4" t="s">
        <v>265</v>
      </c>
      <c r="B42" s="9">
        <v>2880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2880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">
      <c r="A43" s="4" t="s">
        <v>266</v>
      </c>
      <c r="B43" s="9">
        <v>26284</v>
      </c>
      <c r="C43" s="9">
        <v>2975</v>
      </c>
      <c r="D43" s="9">
        <v>2611</v>
      </c>
      <c r="E43" s="9">
        <v>1374</v>
      </c>
      <c r="F43" s="9">
        <v>3411</v>
      </c>
      <c r="G43" s="9">
        <v>4014</v>
      </c>
      <c r="H43" s="9">
        <v>3290</v>
      </c>
      <c r="I43" s="9">
        <v>3731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4878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2">
      <c r="A44" s="4" t="s">
        <v>267</v>
      </c>
      <c r="B44" s="9">
        <v>13311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4568</v>
      </c>
      <c r="O44" s="9">
        <v>0</v>
      </c>
      <c r="P44" s="9">
        <v>0</v>
      </c>
      <c r="Q44" s="9">
        <v>3985</v>
      </c>
      <c r="R44" s="9">
        <v>4757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</row>
    <row r="45" spans="1:24" x14ac:dyDescent="0.2">
      <c r="A45" s="4" t="s">
        <v>268</v>
      </c>
      <c r="B45" s="9">
        <v>23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24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2">
      <c r="A46" s="4" t="s">
        <v>269</v>
      </c>
      <c r="B46" s="11">
        <v>3426998</v>
      </c>
      <c r="C46" s="11">
        <v>164993</v>
      </c>
      <c r="D46" s="11">
        <v>168886</v>
      </c>
      <c r="E46" s="11">
        <v>162132</v>
      </c>
      <c r="F46" s="11">
        <v>175415</v>
      </c>
      <c r="G46" s="11">
        <v>161018</v>
      </c>
      <c r="H46" s="11">
        <v>151179</v>
      </c>
      <c r="I46" s="11">
        <v>109036</v>
      </c>
      <c r="J46" s="11">
        <v>163914</v>
      </c>
      <c r="K46" s="11">
        <v>115833</v>
      </c>
      <c r="L46" s="11">
        <v>211898</v>
      </c>
      <c r="M46" s="11">
        <v>214609</v>
      </c>
      <c r="N46" s="11">
        <v>424588</v>
      </c>
      <c r="O46" s="11">
        <v>226503</v>
      </c>
      <c r="P46" s="11">
        <v>274381</v>
      </c>
      <c r="Q46" s="11">
        <v>252444</v>
      </c>
      <c r="R46" s="11">
        <v>209397</v>
      </c>
      <c r="S46" s="11">
        <v>63618</v>
      </c>
      <c r="T46" s="11">
        <v>56989</v>
      </c>
      <c r="U46" s="11">
        <v>37291</v>
      </c>
      <c r="V46" s="11">
        <v>64042</v>
      </c>
      <c r="W46" s="11">
        <v>18832</v>
      </c>
      <c r="X46" s="11">
        <v>0</v>
      </c>
    </row>
    <row r="47" spans="1:24" x14ac:dyDescent="0.2">
      <c r="A47" s="4" t="s">
        <v>270</v>
      </c>
      <c r="B47" s="13" t="s">
        <v>72</v>
      </c>
      <c r="C47" s="13" t="s">
        <v>72</v>
      </c>
      <c r="D47" s="13" t="s">
        <v>72</v>
      </c>
      <c r="E47" s="13" t="s">
        <v>72</v>
      </c>
      <c r="F47" s="13" t="s">
        <v>72</v>
      </c>
      <c r="G47" s="13" t="s">
        <v>72</v>
      </c>
      <c r="H47" s="13" t="s">
        <v>72</v>
      </c>
      <c r="I47" s="13" t="s">
        <v>72</v>
      </c>
      <c r="J47" s="13" t="s">
        <v>72</v>
      </c>
      <c r="K47" s="13" t="s">
        <v>72</v>
      </c>
      <c r="L47" s="13" t="s">
        <v>72</v>
      </c>
      <c r="M47" s="13" t="s">
        <v>72</v>
      </c>
      <c r="N47" s="13" t="s">
        <v>72</v>
      </c>
      <c r="O47" s="13" t="s">
        <v>72</v>
      </c>
      <c r="P47" s="13" t="s">
        <v>72</v>
      </c>
      <c r="Q47" s="13" t="s">
        <v>72</v>
      </c>
      <c r="R47" s="13" t="s">
        <v>72</v>
      </c>
      <c r="S47" s="13" t="s">
        <v>72</v>
      </c>
      <c r="T47" s="13" t="s">
        <v>72</v>
      </c>
      <c r="U47" s="13" t="s">
        <v>72</v>
      </c>
      <c r="V47" s="13" t="s">
        <v>72</v>
      </c>
      <c r="W47" s="13" t="s">
        <v>72</v>
      </c>
      <c r="X47" s="13" t="s">
        <v>72</v>
      </c>
    </row>
    <row r="48" spans="1:24" x14ac:dyDescent="0.2">
      <c r="A48" s="4" t="s">
        <v>271</v>
      </c>
      <c r="B48" s="9">
        <v>325599</v>
      </c>
      <c r="C48" s="9">
        <v>15498</v>
      </c>
      <c r="D48" s="9">
        <v>15934</v>
      </c>
      <c r="E48" s="9">
        <v>16313</v>
      </c>
      <c r="F48" s="9">
        <v>14401</v>
      </c>
      <c r="G48" s="9">
        <v>15871</v>
      </c>
      <c r="H48" s="9">
        <v>14663</v>
      </c>
      <c r="I48" s="9">
        <v>10439</v>
      </c>
      <c r="J48" s="9">
        <v>16242</v>
      </c>
      <c r="K48" s="9">
        <v>12429</v>
      </c>
      <c r="L48" s="9">
        <v>19958</v>
      </c>
      <c r="M48" s="9">
        <v>20798</v>
      </c>
      <c r="N48" s="9">
        <v>40134</v>
      </c>
      <c r="O48" s="9">
        <v>21338</v>
      </c>
      <c r="P48" s="9">
        <v>26127</v>
      </c>
      <c r="Q48" s="9">
        <v>24494</v>
      </c>
      <c r="R48" s="9">
        <v>19273</v>
      </c>
      <c r="S48" s="9">
        <v>5105</v>
      </c>
      <c r="T48" s="9">
        <v>4688</v>
      </c>
      <c r="U48" s="9">
        <v>3917</v>
      </c>
      <c r="V48" s="9">
        <v>5838</v>
      </c>
      <c r="W48" s="9">
        <v>2141</v>
      </c>
      <c r="X48" s="9">
        <v>0</v>
      </c>
    </row>
    <row r="49" spans="1:24" x14ac:dyDescent="0.2">
      <c r="A49" s="4" t="s">
        <v>272</v>
      </c>
      <c r="B49" s="9">
        <v>179671</v>
      </c>
      <c r="C49" s="9">
        <v>10118</v>
      </c>
      <c r="D49" s="9">
        <v>10115</v>
      </c>
      <c r="E49" s="9">
        <v>4991</v>
      </c>
      <c r="F49" s="9">
        <v>4600</v>
      </c>
      <c r="G49" s="9">
        <v>5138</v>
      </c>
      <c r="H49" s="9">
        <v>4896</v>
      </c>
      <c r="I49" s="9">
        <v>8821</v>
      </c>
      <c r="J49" s="9">
        <v>9227</v>
      </c>
      <c r="K49" s="9">
        <v>3673</v>
      </c>
      <c r="L49" s="9">
        <v>34759</v>
      </c>
      <c r="M49" s="9">
        <v>4857</v>
      </c>
      <c r="N49" s="9">
        <v>10762</v>
      </c>
      <c r="O49" s="9">
        <v>23360</v>
      </c>
      <c r="P49" s="9">
        <v>17041</v>
      </c>
      <c r="Q49" s="9">
        <v>10640</v>
      </c>
      <c r="R49" s="9">
        <v>1525</v>
      </c>
      <c r="S49" s="9">
        <v>2359</v>
      </c>
      <c r="T49" s="9">
        <v>5768</v>
      </c>
      <c r="U49" s="9">
        <v>4888</v>
      </c>
      <c r="V49" s="9">
        <v>1651</v>
      </c>
      <c r="W49" s="9">
        <v>635</v>
      </c>
      <c r="X49" s="9">
        <v>-153</v>
      </c>
    </row>
    <row r="50" spans="1:24" x14ac:dyDescent="0.2">
      <c r="A50" s="4" t="s">
        <v>273</v>
      </c>
      <c r="B50" s="11">
        <v>505270</v>
      </c>
      <c r="C50" s="11">
        <v>25616</v>
      </c>
      <c r="D50" s="11">
        <v>26049</v>
      </c>
      <c r="E50" s="11">
        <v>21304</v>
      </c>
      <c r="F50" s="11">
        <v>19001</v>
      </c>
      <c r="G50" s="11">
        <v>21009</v>
      </c>
      <c r="H50" s="11">
        <v>19559</v>
      </c>
      <c r="I50" s="11">
        <v>19260</v>
      </c>
      <c r="J50" s="11">
        <v>25469</v>
      </c>
      <c r="K50" s="11">
        <v>16102</v>
      </c>
      <c r="L50" s="11">
        <v>54717</v>
      </c>
      <c r="M50" s="11">
        <v>25655</v>
      </c>
      <c r="N50" s="11">
        <v>50896</v>
      </c>
      <c r="O50" s="11">
        <v>44698</v>
      </c>
      <c r="P50" s="11">
        <v>43168</v>
      </c>
      <c r="Q50" s="11">
        <v>35134</v>
      </c>
      <c r="R50" s="11">
        <v>20798</v>
      </c>
      <c r="S50" s="11">
        <v>7464</v>
      </c>
      <c r="T50" s="11">
        <v>10456</v>
      </c>
      <c r="U50" s="11">
        <v>8805</v>
      </c>
      <c r="V50" s="11">
        <v>7489</v>
      </c>
      <c r="W50" s="11">
        <v>2776</v>
      </c>
      <c r="X50" s="11">
        <v>-153</v>
      </c>
    </row>
    <row r="51" spans="1:24" x14ac:dyDescent="0.2">
      <c r="A51" s="4" t="s">
        <v>274</v>
      </c>
      <c r="B51" s="12">
        <v>3932268</v>
      </c>
      <c r="C51" s="12">
        <v>190609</v>
      </c>
      <c r="D51" s="12">
        <v>194935</v>
      </c>
      <c r="E51" s="12">
        <v>183436</v>
      </c>
      <c r="F51" s="12">
        <v>194416</v>
      </c>
      <c r="G51" s="12">
        <v>182027</v>
      </c>
      <c r="H51" s="12">
        <v>170738</v>
      </c>
      <c r="I51" s="12">
        <v>128296</v>
      </c>
      <c r="J51" s="12">
        <v>189383</v>
      </c>
      <c r="K51" s="12">
        <v>131935</v>
      </c>
      <c r="L51" s="12">
        <v>266615</v>
      </c>
      <c r="M51" s="12">
        <v>240264</v>
      </c>
      <c r="N51" s="12">
        <v>475484</v>
      </c>
      <c r="O51" s="12">
        <v>271201</v>
      </c>
      <c r="P51" s="12">
        <v>317549</v>
      </c>
      <c r="Q51" s="12">
        <v>287578</v>
      </c>
      <c r="R51" s="12">
        <v>230195</v>
      </c>
      <c r="S51" s="12">
        <v>71082</v>
      </c>
      <c r="T51" s="12">
        <v>67445</v>
      </c>
      <c r="U51" s="12">
        <v>46096</v>
      </c>
      <c r="V51" s="12">
        <v>71531</v>
      </c>
      <c r="W51" s="12">
        <v>21608</v>
      </c>
      <c r="X51" s="12">
        <v>-153</v>
      </c>
    </row>
    <row r="52" spans="1:24" x14ac:dyDescent="0.2">
      <c r="A52" s="2" t="s">
        <v>6</v>
      </c>
    </row>
    <row r="53" spans="1:24" x14ac:dyDescent="0.2">
      <c r="A53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99"/>
  <sheetViews>
    <sheetView workbookViewId="0"/>
  </sheetViews>
  <sheetFormatPr defaultColWidth="9.140625" defaultRowHeight="12.75" x14ac:dyDescent="0.2"/>
  <cols>
    <col min="1" max="1" width="37.140625" style="1" customWidth="1"/>
    <col min="2" max="2" width="14.28515625" style="1" customWidth="1"/>
    <col min="3" max="3" width="18.85546875" style="1" customWidth="1"/>
    <col min="4" max="4" width="12.7109375" style="1" customWidth="1"/>
    <col min="5" max="5" width="26.28515625" style="1" customWidth="1"/>
    <col min="6" max="6" width="19.42578125" style="1" customWidth="1"/>
    <col min="7" max="7" width="18.7109375" style="1" customWidth="1"/>
    <col min="8" max="8" width="14.85546875" style="1" customWidth="1"/>
    <col min="9" max="9" width="15.5703125" style="1" customWidth="1"/>
    <col min="10" max="10" width="12.85546875" style="1" customWidth="1"/>
    <col min="11" max="11" width="20.7109375" style="1" customWidth="1"/>
    <col min="12" max="12" width="14.140625" style="1" customWidth="1"/>
    <col min="13" max="13" width="15.7109375" style="1" customWidth="1"/>
    <col min="14" max="14" width="20.7109375" style="1" customWidth="1"/>
    <col min="15" max="15" width="13.5703125" style="1" customWidth="1"/>
    <col min="16" max="16" width="15.5703125" style="1" customWidth="1"/>
    <col min="17" max="17" width="22.28515625" style="1" customWidth="1"/>
    <col min="18" max="18" width="17.42578125" style="1" customWidth="1"/>
    <col min="19" max="19" width="16.42578125" style="1" customWidth="1"/>
    <col min="20" max="20" width="13.5703125" style="1" customWidth="1"/>
    <col min="21" max="21" width="13.140625" style="1" customWidth="1"/>
    <col min="22" max="22" width="13.85546875" style="1" customWidth="1"/>
    <col min="23" max="23" width="14" style="1" customWidth="1"/>
    <col min="24" max="24" width="9.140625" style="1" customWidth="1"/>
    <col min="25" max="16384" width="9.140625" style="1"/>
  </cols>
  <sheetData>
    <row r="1" spans="1:23" ht="18" x14ac:dyDescent="0.25">
      <c r="A1" s="3" t="s">
        <v>0</v>
      </c>
    </row>
    <row r="2" spans="1:23" ht="18" x14ac:dyDescent="0.25">
      <c r="A2" s="3" t="s">
        <v>275</v>
      </c>
    </row>
    <row r="3" spans="1:23" ht="18" x14ac:dyDescent="0.25">
      <c r="A3" s="3" t="s">
        <v>2</v>
      </c>
    </row>
    <row r="4" spans="1:23" x14ac:dyDescent="0.2">
      <c r="A4" s="4" t="s">
        <v>3</v>
      </c>
      <c r="B4" s="4" t="s">
        <v>4</v>
      </c>
    </row>
    <row r="5" spans="1:23" x14ac:dyDescent="0.2">
      <c r="A5" s="4" t="s">
        <v>5</v>
      </c>
      <c r="B5" s="4" t="s">
        <v>0</v>
      </c>
    </row>
    <row r="6" spans="1:23" x14ac:dyDescent="0.2">
      <c r="A6" s="2" t="s">
        <v>6</v>
      </c>
    </row>
    <row r="7" spans="1:23" x14ac:dyDescent="0.2">
      <c r="A7" s="4" t="s">
        <v>6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</row>
    <row r="8" spans="1:23" x14ac:dyDescent="0.2">
      <c r="A8" s="4" t="s">
        <v>6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</row>
    <row r="9" spans="1:23" x14ac:dyDescent="0.2">
      <c r="A9" s="4" t="s">
        <v>6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</row>
    <row r="10" spans="1:23" x14ac:dyDescent="0.2">
      <c r="A10" s="7" t="s">
        <v>6</v>
      </c>
      <c r="B10" s="8" t="s">
        <v>30</v>
      </c>
      <c r="C10" s="8" t="s">
        <v>30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 t="s">
        <v>30</v>
      </c>
      <c r="M10" s="8" t="s">
        <v>30</v>
      </c>
      <c r="N10" s="8" t="s">
        <v>30</v>
      </c>
      <c r="O10" s="8" t="s">
        <v>30</v>
      </c>
      <c r="P10" s="8" t="s">
        <v>30</v>
      </c>
      <c r="Q10" s="8" t="s">
        <v>30</v>
      </c>
      <c r="R10" s="8" t="s">
        <v>30</v>
      </c>
      <c r="S10" s="8" t="s">
        <v>30</v>
      </c>
      <c r="T10" s="8" t="s">
        <v>30</v>
      </c>
      <c r="U10" s="8" t="s">
        <v>30</v>
      </c>
      <c r="V10" s="8" t="s">
        <v>30</v>
      </c>
      <c r="W10" s="8" t="s">
        <v>30</v>
      </c>
    </row>
    <row r="11" spans="1:23" x14ac:dyDescent="0.2">
      <c r="A11" s="4" t="s">
        <v>276</v>
      </c>
      <c r="B11" s="4" t="s">
        <v>32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</row>
    <row r="12" spans="1:23" x14ac:dyDescent="0.2">
      <c r="A12" s="4" t="s">
        <v>277</v>
      </c>
      <c r="B12" s="4" t="s">
        <v>72</v>
      </c>
      <c r="C12" s="4" t="s">
        <v>72</v>
      </c>
      <c r="D12" s="4" t="s">
        <v>72</v>
      </c>
      <c r="E12" s="4" t="s">
        <v>72</v>
      </c>
      <c r="F12" s="4" t="s">
        <v>72</v>
      </c>
      <c r="G12" s="4" t="s">
        <v>72</v>
      </c>
      <c r="H12" s="4" t="s">
        <v>72</v>
      </c>
      <c r="I12" s="4" t="s">
        <v>72</v>
      </c>
      <c r="J12" s="4" t="s">
        <v>72</v>
      </c>
      <c r="K12" s="4" t="s">
        <v>72</v>
      </c>
      <c r="L12" s="4" t="s">
        <v>72</v>
      </c>
      <c r="M12" s="4" t="s">
        <v>72</v>
      </c>
      <c r="N12" s="4" t="s">
        <v>72</v>
      </c>
      <c r="O12" s="4" t="s">
        <v>72</v>
      </c>
      <c r="P12" s="4" t="s">
        <v>72</v>
      </c>
      <c r="Q12" s="4" t="s">
        <v>72</v>
      </c>
      <c r="R12" s="4" t="s">
        <v>72</v>
      </c>
      <c r="S12" s="4" t="s">
        <v>72</v>
      </c>
      <c r="T12" s="4" t="s">
        <v>72</v>
      </c>
      <c r="U12" s="4" t="s">
        <v>72</v>
      </c>
      <c r="V12" s="4" t="s">
        <v>72</v>
      </c>
      <c r="W12" s="4" t="s">
        <v>72</v>
      </c>
    </row>
    <row r="13" spans="1:23" x14ac:dyDescent="0.2">
      <c r="A13" s="4" t="s">
        <v>73</v>
      </c>
      <c r="B13" s="14">
        <v>126535.7</v>
      </c>
      <c r="C13" s="14">
        <v>4183.3599999999997</v>
      </c>
      <c r="D13" s="14">
        <v>0</v>
      </c>
      <c r="E13" s="14">
        <v>3029.85</v>
      </c>
      <c r="F13" s="14">
        <v>6552.2</v>
      </c>
      <c r="G13" s="14">
        <v>7004.57</v>
      </c>
      <c r="H13" s="14">
        <v>6234.89</v>
      </c>
      <c r="I13" s="14">
        <v>5001.05</v>
      </c>
      <c r="J13" s="14">
        <v>7417.58</v>
      </c>
      <c r="K13" s="14">
        <v>7573.14</v>
      </c>
      <c r="L13" s="14">
        <v>8653.8799999999992</v>
      </c>
      <c r="M13" s="14">
        <v>8241.75</v>
      </c>
      <c r="N13" s="14">
        <v>9065.94</v>
      </c>
      <c r="O13" s="14">
        <v>8653.85</v>
      </c>
      <c r="P13" s="14">
        <v>8241.75</v>
      </c>
      <c r="Q13" s="14">
        <v>8653.8799999999992</v>
      </c>
      <c r="R13" s="14">
        <v>8495.0400000000009</v>
      </c>
      <c r="S13" s="14">
        <v>6428.57</v>
      </c>
      <c r="T13" s="14">
        <v>4450.55</v>
      </c>
      <c r="U13" s="14">
        <v>0</v>
      </c>
      <c r="V13" s="14">
        <v>8653.85</v>
      </c>
      <c r="W13" s="14">
        <v>0</v>
      </c>
    </row>
    <row r="14" spans="1:23" x14ac:dyDescent="0.2">
      <c r="A14" s="4" t="s">
        <v>74</v>
      </c>
      <c r="B14" s="14">
        <v>57.59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57.59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</row>
    <row r="15" spans="1:23" x14ac:dyDescent="0.2">
      <c r="A15" s="4" t="s">
        <v>75</v>
      </c>
      <c r="B15" s="14">
        <v>2785.71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1285.71</v>
      </c>
      <c r="P15" s="14">
        <v>1500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</row>
    <row r="16" spans="1:23" x14ac:dyDescent="0.2">
      <c r="A16" s="4" t="s">
        <v>76</v>
      </c>
      <c r="B16" s="14">
        <v>-167.86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189.28</v>
      </c>
      <c r="O16" s="14">
        <v>0</v>
      </c>
      <c r="P16" s="14">
        <v>0</v>
      </c>
      <c r="Q16" s="14">
        <v>-357.14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</row>
    <row r="17" spans="1:23" x14ac:dyDescent="0.2">
      <c r="A17" s="4" t="s">
        <v>77</v>
      </c>
      <c r="B17" s="14">
        <v>4388.9799999999996</v>
      </c>
      <c r="C17" s="14">
        <v>-236.3</v>
      </c>
      <c r="D17" s="14">
        <v>0</v>
      </c>
      <c r="E17" s="14">
        <v>238.94</v>
      </c>
      <c r="F17" s="14">
        <v>0</v>
      </c>
      <c r="G17" s="14">
        <v>125.52</v>
      </c>
      <c r="H17" s="14">
        <v>607.16999999999996</v>
      </c>
      <c r="I17" s="14">
        <v>909.07</v>
      </c>
      <c r="J17" s="14">
        <v>132.91999999999999</v>
      </c>
      <c r="K17" s="14">
        <v>0</v>
      </c>
      <c r="L17" s="14">
        <v>155.07</v>
      </c>
      <c r="M17" s="14">
        <v>295.83999999999997</v>
      </c>
      <c r="N17" s="14">
        <v>650.89</v>
      </c>
      <c r="O17" s="14">
        <v>155.08000000000001</v>
      </c>
      <c r="P17" s="14">
        <v>0</v>
      </c>
      <c r="Q17" s="14">
        <v>465.97</v>
      </c>
      <c r="R17" s="14">
        <v>414.2</v>
      </c>
      <c r="S17" s="14">
        <v>0</v>
      </c>
      <c r="T17" s="14">
        <v>319.52999999999997</v>
      </c>
      <c r="U17" s="14">
        <v>0</v>
      </c>
      <c r="V17" s="14">
        <v>155.08000000000001</v>
      </c>
      <c r="W17" s="14">
        <v>0</v>
      </c>
    </row>
    <row r="18" spans="1:23" x14ac:dyDescent="0.2">
      <c r="A18" s="4" t="s">
        <v>78</v>
      </c>
      <c r="B18" s="14">
        <v>300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50</v>
      </c>
      <c r="K18" s="14">
        <v>50</v>
      </c>
      <c r="L18" s="14">
        <v>50</v>
      </c>
      <c r="M18" s="14">
        <v>50</v>
      </c>
      <c r="N18" s="14">
        <v>50</v>
      </c>
      <c r="O18" s="14">
        <v>0</v>
      </c>
      <c r="P18" s="14">
        <v>50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</row>
    <row r="19" spans="1:23" x14ac:dyDescent="0.2">
      <c r="A19" s="4" t="s">
        <v>278</v>
      </c>
      <c r="B19" s="19">
        <v>133900.12</v>
      </c>
      <c r="C19" s="19">
        <v>3947.06</v>
      </c>
      <c r="D19" s="19">
        <v>0</v>
      </c>
      <c r="E19" s="19">
        <v>3268.79</v>
      </c>
      <c r="F19" s="19">
        <v>6552.2</v>
      </c>
      <c r="G19" s="19">
        <v>7130.09</v>
      </c>
      <c r="H19" s="19">
        <v>6842.06</v>
      </c>
      <c r="I19" s="19">
        <v>5967.71</v>
      </c>
      <c r="J19" s="19">
        <v>7600.5</v>
      </c>
      <c r="K19" s="19">
        <v>7623.14</v>
      </c>
      <c r="L19" s="19">
        <v>8858.9500000000007</v>
      </c>
      <c r="M19" s="19">
        <v>8587.59</v>
      </c>
      <c r="N19" s="19">
        <v>9956.11</v>
      </c>
      <c r="O19" s="19">
        <v>10094.64</v>
      </c>
      <c r="P19" s="19">
        <v>9791.75</v>
      </c>
      <c r="Q19" s="19">
        <v>8762.7099999999991</v>
      </c>
      <c r="R19" s="19">
        <v>8909.24</v>
      </c>
      <c r="S19" s="19">
        <v>6428.57</v>
      </c>
      <c r="T19" s="19">
        <v>4770.08</v>
      </c>
      <c r="U19" s="19">
        <v>0</v>
      </c>
      <c r="V19" s="19">
        <v>8808.93</v>
      </c>
      <c r="W19" s="19">
        <v>0</v>
      </c>
    </row>
    <row r="20" spans="1:23" x14ac:dyDescent="0.2">
      <c r="A20" s="4" t="s">
        <v>279</v>
      </c>
      <c r="B20" s="13" t="s">
        <v>72</v>
      </c>
      <c r="C20" s="13" t="s">
        <v>72</v>
      </c>
      <c r="D20" s="13" t="s">
        <v>72</v>
      </c>
      <c r="E20" s="13" t="s">
        <v>72</v>
      </c>
      <c r="F20" s="13" t="s">
        <v>72</v>
      </c>
      <c r="G20" s="13" t="s">
        <v>72</v>
      </c>
      <c r="H20" s="13" t="s">
        <v>72</v>
      </c>
      <c r="I20" s="13" t="s">
        <v>72</v>
      </c>
      <c r="J20" s="13" t="s">
        <v>72</v>
      </c>
      <c r="K20" s="13" t="s">
        <v>72</v>
      </c>
      <c r="L20" s="13" t="s">
        <v>72</v>
      </c>
      <c r="M20" s="13" t="s">
        <v>72</v>
      </c>
      <c r="N20" s="13" t="s">
        <v>72</v>
      </c>
      <c r="O20" s="13" t="s">
        <v>72</v>
      </c>
      <c r="P20" s="13" t="s">
        <v>72</v>
      </c>
      <c r="Q20" s="13" t="s">
        <v>72</v>
      </c>
      <c r="R20" s="13" t="s">
        <v>72</v>
      </c>
      <c r="S20" s="13" t="s">
        <v>72</v>
      </c>
      <c r="T20" s="13" t="s">
        <v>72</v>
      </c>
      <c r="U20" s="13" t="s">
        <v>72</v>
      </c>
      <c r="V20" s="13" t="s">
        <v>72</v>
      </c>
      <c r="W20" s="13" t="s">
        <v>72</v>
      </c>
    </row>
    <row r="21" spans="1:23" x14ac:dyDescent="0.2">
      <c r="A21" s="4" t="s">
        <v>73</v>
      </c>
      <c r="B21" s="14">
        <v>49533.68</v>
      </c>
      <c r="C21" s="14">
        <v>4598.57</v>
      </c>
      <c r="D21" s="14">
        <v>0</v>
      </c>
      <c r="E21" s="14">
        <v>0</v>
      </c>
      <c r="F21" s="14">
        <v>0</v>
      </c>
      <c r="G21" s="14">
        <v>6571.28</v>
      </c>
      <c r="H21" s="14">
        <v>4958.12</v>
      </c>
      <c r="I21" s="14">
        <v>151.07</v>
      </c>
      <c r="J21" s="14">
        <v>0</v>
      </c>
      <c r="K21" s="14">
        <v>0</v>
      </c>
      <c r="L21" s="14">
        <v>1321.86</v>
      </c>
      <c r="M21" s="14">
        <v>6050.64</v>
      </c>
      <c r="N21" s="14">
        <v>7348.9</v>
      </c>
      <c r="O21" s="14">
        <v>5736.26</v>
      </c>
      <c r="P21" s="14">
        <v>7417.58</v>
      </c>
      <c r="Q21" s="14">
        <v>0</v>
      </c>
      <c r="R21" s="14">
        <v>5379.4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</row>
    <row r="22" spans="1:23" x14ac:dyDescent="0.2">
      <c r="A22" s="4" t="s">
        <v>74</v>
      </c>
      <c r="B22" s="14">
        <v>2889.39</v>
      </c>
      <c r="C22" s="14">
        <v>463.93</v>
      </c>
      <c r="D22" s="14">
        <v>0</v>
      </c>
      <c r="E22" s="14">
        <v>0</v>
      </c>
      <c r="F22" s="14">
        <v>0</v>
      </c>
      <c r="G22" s="14">
        <v>1181.73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1112.47</v>
      </c>
      <c r="N22" s="14">
        <v>131.26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</row>
    <row r="23" spans="1:23" x14ac:dyDescent="0.2">
      <c r="A23" s="4" t="s">
        <v>75</v>
      </c>
      <c r="B23" s="14">
        <v>1714.29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714.29</v>
      </c>
      <c r="O23" s="14">
        <v>0</v>
      </c>
      <c r="P23" s="14">
        <v>1000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</row>
    <row r="24" spans="1:23" x14ac:dyDescent="0.2">
      <c r="A24" s="4" t="s">
        <v>76</v>
      </c>
      <c r="B24" s="14">
        <v>96.43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96.43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</row>
    <row r="25" spans="1:23" x14ac:dyDescent="0.2">
      <c r="A25" s="4" t="s">
        <v>77</v>
      </c>
      <c r="B25" s="14">
        <v>2602.0700000000002</v>
      </c>
      <c r="C25" s="14">
        <v>1256.21</v>
      </c>
      <c r="D25" s="14">
        <v>0</v>
      </c>
      <c r="E25" s="14">
        <v>0</v>
      </c>
      <c r="F25" s="14">
        <v>-111.53</v>
      </c>
      <c r="G25" s="14">
        <v>944.95</v>
      </c>
      <c r="H25" s="14">
        <v>301.31</v>
      </c>
      <c r="I25" s="14">
        <v>0</v>
      </c>
      <c r="J25" s="14">
        <v>0</v>
      </c>
      <c r="K25" s="14">
        <v>0</v>
      </c>
      <c r="L25" s="14">
        <v>-1645.02</v>
      </c>
      <c r="M25" s="14">
        <v>531.41</v>
      </c>
      <c r="N25" s="14">
        <v>310.14999999999998</v>
      </c>
      <c r="O25" s="14">
        <v>348.09</v>
      </c>
      <c r="P25" s="14">
        <v>265.85000000000002</v>
      </c>
      <c r="Q25" s="14">
        <v>0</v>
      </c>
      <c r="R25" s="14">
        <v>400.65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</row>
    <row r="26" spans="1:23" x14ac:dyDescent="0.2">
      <c r="A26" s="4" t="s">
        <v>280</v>
      </c>
      <c r="B26" s="19">
        <v>56835.86</v>
      </c>
      <c r="C26" s="19">
        <v>6318.71</v>
      </c>
      <c r="D26" s="19">
        <v>0</v>
      </c>
      <c r="E26" s="19">
        <v>0</v>
      </c>
      <c r="F26" s="19">
        <v>-111.53</v>
      </c>
      <c r="G26" s="19">
        <v>8697.9599999999991</v>
      </c>
      <c r="H26" s="19">
        <v>5259.43</v>
      </c>
      <c r="I26" s="19">
        <v>151.07</v>
      </c>
      <c r="J26" s="19">
        <v>0</v>
      </c>
      <c r="K26" s="19">
        <v>0</v>
      </c>
      <c r="L26" s="19">
        <v>-323.16000000000003</v>
      </c>
      <c r="M26" s="19">
        <v>7694.52</v>
      </c>
      <c r="N26" s="19">
        <v>8601.0300000000007</v>
      </c>
      <c r="O26" s="19">
        <v>6084.35</v>
      </c>
      <c r="P26" s="19">
        <v>8683.43</v>
      </c>
      <c r="Q26" s="19">
        <v>0</v>
      </c>
      <c r="R26" s="19">
        <v>5780.05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</row>
    <row r="27" spans="1:23" x14ac:dyDescent="0.2">
      <c r="A27" s="4" t="s">
        <v>281</v>
      </c>
      <c r="B27" s="13" t="s">
        <v>72</v>
      </c>
      <c r="C27" s="13" t="s">
        <v>72</v>
      </c>
      <c r="D27" s="13" t="s">
        <v>72</v>
      </c>
      <c r="E27" s="13" t="s">
        <v>72</v>
      </c>
      <c r="F27" s="13" t="s">
        <v>72</v>
      </c>
      <c r="G27" s="13" t="s">
        <v>72</v>
      </c>
      <c r="H27" s="13" t="s">
        <v>72</v>
      </c>
      <c r="I27" s="13" t="s">
        <v>72</v>
      </c>
      <c r="J27" s="13" t="s">
        <v>72</v>
      </c>
      <c r="K27" s="13" t="s">
        <v>72</v>
      </c>
      <c r="L27" s="13" t="s">
        <v>72</v>
      </c>
      <c r="M27" s="13" t="s">
        <v>72</v>
      </c>
      <c r="N27" s="13" t="s">
        <v>72</v>
      </c>
      <c r="O27" s="13" t="s">
        <v>72</v>
      </c>
      <c r="P27" s="13" t="s">
        <v>72</v>
      </c>
      <c r="Q27" s="13" t="s">
        <v>72</v>
      </c>
      <c r="R27" s="13" t="s">
        <v>72</v>
      </c>
      <c r="S27" s="13" t="s">
        <v>72</v>
      </c>
      <c r="T27" s="13" t="s">
        <v>72</v>
      </c>
      <c r="U27" s="13" t="s">
        <v>72</v>
      </c>
      <c r="V27" s="13" t="s">
        <v>72</v>
      </c>
      <c r="W27" s="13" t="s">
        <v>72</v>
      </c>
    </row>
    <row r="28" spans="1:23" x14ac:dyDescent="0.2">
      <c r="A28" s="4" t="s">
        <v>73</v>
      </c>
      <c r="B28" s="14">
        <v>13597.39</v>
      </c>
      <c r="C28" s="14">
        <v>0</v>
      </c>
      <c r="D28" s="14">
        <v>0</v>
      </c>
      <c r="E28" s="14">
        <v>0</v>
      </c>
      <c r="F28" s="14">
        <v>989.01</v>
      </c>
      <c r="G28" s="14">
        <v>4289.6899999999996</v>
      </c>
      <c r="H28" s="14">
        <v>3348.94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4969.75</v>
      </c>
      <c r="V28" s="14">
        <v>0</v>
      </c>
      <c r="W28" s="14">
        <v>0</v>
      </c>
    </row>
    <row r="29" spans="1:23" x14ac:dyDescent="0.2">
      <c r="A29" s="4" t="s">
        <v>74</v>
      </c>
      <c r="B29" s="14">
        <v>764.48</v>
      </c>
      <c r="C29" s="14">
        <v>0</v>
      </c>
      <c r="D29" s="14">
        <v>0</v>
      </c>
      <c r="E29" s="14">
        <v>0</v>
      </c>
      <c r="F29" s="14">
        <v>0</v>
      </c>
      <c r="G29" s="14">
        <v>764.48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</row>
    <row r="30" spans="1:23" x14ac:dyDescent="0.2">
      <c r="A30" s="4" t="s">
        <v>77</v>
      </c>
      <c r="B30" s="14">
        <v>356.81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356.81</v>
      </c>
      <c r="V30" s="14">
        <v>0</v>
      </c>
      <c r="W30" s="14">
        <v>0</v>
      </c>
    </row>
    <row r="31" spans="1:23" x14ac:dyDescent="0.2">
      <c r="A31" s="4" t="s">
        <v>282</v>
      </c>
      <c r="B31" s="19">
        <v>14718.68</v>
      </c>
      <c r="C31" s="19">
        <v>0</v>
      </c>
      <c r="D31" s="19">
        <v>0</v>
      </c>
      <c r="E31" s="19">
        <v>0</v>
      </c>
      <c r="F31" s="19">
        <v>989.01</v>
      </c>
      <c r="G31" s="19">
        <v>5054.17</v>
      </c>
      <c r="H31" s="19">
        <v>3348.94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5326.56</v>
      </c>
      <c r="V31" s="19">
        <v>0</v>
      </c>
      <c r="W31" s="19">
        <v>0</v>
      </c>
    </row>
    <row r="32" spans="1:23" x14ac:dyDescent="0.2">
      <c r="A32" s="4" t="s">
        <v>283</v>
      </c>
      <c r="B32" s="13" t="s">
        <v>72</v>
      </c>
      <c r="C32" s="13" t="s">
        <v>72</v>
      </c>
      <c r="D32" s="13" t="s">
        <v>72</v>
      </c>
      <c r="E32" s="13" t="s">
        <v>72</v>
      </c>
      <c r="F32" s="13" t="s">
        <v>72</v>
      </c>
      <c r="G32" s="13" t="s">
        <v>72</v>
      </c>
      <c r="H32" s="13" t="s">
        <v>72</v>
      </c>
      <c r="I32" s="13" t="s">
        <v>72</v>
      </c>
      <c r="J32" s="13" t="s">
        <v>72</v>
      </c>
      <c r="K32" s="13" t="s">
        <v>72</v>
      </c>
      <c r="L32" s="13" t="s">
        <v>72</v>
      </c>
      <c r="M32" s="13" t="s">
        <v>72</v>
      </c>
      <c r="N32" s="13" t="s">
        <v>72</v>
      </c>
      <c r="O32" s="13" t="s">
        <v>72</v>
      </c>
      <c r="P32" s="13" t="s">
        <v>72</v>
      </c>
      <c r="Q32" s="13" t="s">
        <v>72</v>
      </c>
      <c r="R32" s="13" t="s">
        <v>72</v>
      </c>
      <c r="S32" s="13" t="s">
        <v>72</v>
      </c>
      <c r="T32" s="13" t="s">
        <v>72</v>
      </c>
      <c r="U32" s="13" t="s">
        <v>72</v>
      </c>
      <c r="V32" s="13" t="s">
        <v>72</v>
      </c>
      <c r="W32" s="13" t="s">
        <v>72</v>
      </c>
    </row>
    <row r="33" spans="1:23" x14ac:dyDescent="0.2">
      <c r="A33" s="4" t="s">
        <v>73</v>
      </c>
      <c r="B33" s="14">
        <v>207294.76</v>
      </c>
      <c r="C33" s="14">
        <v>25500.98</v>
      </c>
      <c r="D33" s="14">
        <v>32739.040000000001</v>
      </c>
      <c r="E33" s="14">
        <v>8653.14</v>
      </c>
      <c r="F33" s="14">
        <v>6954.75</v>
      </c>
      <c r="G33" s="14">
        <v>9718.5</v>
      </c>
      <c r="H33" s="14">
        <v>12260.58</v>
      </c>
      <c r="I33" s="14">
        <v>4590.6400000000003</v>
      </c>
      <c r="J33" s="14">
        <v>13714.28</v>
      </c>
      <c r="K33" s="14">
        <v>3688.76</v>
      </c>
      <c r="L33" s="14">
        <v>11700.96</v>
      </c>
      <c r="M33" s="14">
        <v>12057.59</v>
      </c>
      <c r="N33" s="14">
        <v>20133.7</v>
      </c>
      <c r="O33" s="14">
        <v>9866.11</v>
      </c>
      <c r="P33" s="14">
        <v>5778.63</v>
      </c>
      <c r="Q33" s="14">
        <v>9285.84</v>
      </c>
      <c r="R33" s="14">
        <v>9785.7099999999991</v>
      </c>
      <c r="S33" s="14">
        <v>5179.38</v>
      </c>
      <c r="T33" s="14">
        <v>3611.15</v>
      </c>
      <c r="U33" s="14">
        <v>1564.29</v>
      </c>
      <c r="V33" s="14">
        <v>510.73</v>
      </c>
      <c r="W33" s="14">
        <v>0</v>
      </c>
    </row>
    <row r="34" spans="1:23" x14ac:dyDescent="0.2">
      <c r="A34" s="4" t="s">
        <v>74</v>
      </c>
      <c r="B34" s="14">
        <v>22046.69</v>
      </c>
      <c r="C34" s="14">
        <v>2944.66</v>
      </c>
      <c r="D34" s="14">
        <v>3037.29</v>
      </c>
      <c r="E34" s="14">
        <v>1163.4100000000001</v>
      </c>
      <c r="F34" s="14">
        <v>1195.8699999999999</v>
      </c>
      <c r="G34" s="14">
        <v>464.15</v>
      </c>
      <c r="H34" s="14">
        <v>0</v>
      </c>
      <c r="I34" s="14">
        <v>0</v>
      </c>
      <c r="J34" s="14">
        <v>3560.35</v>
      </c>
      <c r="K34" s="14">
        <v>0</v>
      </c>
      <c r="L34" s="14">
        <v>213.08</v>
      </c>
      <c r="M34" s="14">
        <v>810</v>
      </c>
      <c r="N34" s="14">
        <v>4749.6099999999997</v>
      </c>
      <c r="O34" s="14">
        <v>251.06</v>
      </c>
      <c r="P34" s="14">
        <v>1270.72</v>
      </c>
      <c r="Q34" s="14">
        <v>954.66</v>
      </c>
      <c r="R34" s="14">
        <v>1389.64</v>
      </c>
      <c r="S34" s="14">
        <v>42.19</v>
      </c>
      <c r="T34" s="14">
        <v>0</v>
      </c>
      <c r="U34" s="14">
        <v>0</v>
      </c>
      <c r="V34" s="14">
        <v>0</v>
      </c>
      <c r="W34" s="14">
        <v>0</v>
      </c>
    </row>
    <row r="35" spans="1:23" x14ac:dyDescent="0.2">
      <c r="A35" s="4" t="s">
        <v>75</v>
      </c>
      <c r="B35" s="14">
        <v>1573.21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1473.21</v>
      </c>
      <c r="M35" s="14">
        <v>0</v>
      </c>
      <c r="N35" s="14">
        <v>100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</row>
    <row r="36" spans="1:23" x14ac:dyDescent="0.2">
      <c r="A36" s="4" t="s">
        <v>76</v>
      </c>
      <c r="B36" s="14">
        <v>71.430000000000007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50</v>
      </c>
      <c r="O36" s="14">
        <v>42.86</v>
      </c>
      <c r="P36" s="14">
        <v>0</v>
      </c>
      <c r="Q36" s="14">
        <v>-21.43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</row>
    <row r="37" spans="1:23" x14ac:dyDescent="0.2">
      <c r="A37" s="4" t="s">
        <v>77</v>
      </c>
      <c r="B37" s="14">
        <v>17536.98</v>
      </c>
      <c r="C37" s="14">
        <v>1478.37</v>
      </c>
      <c r="D37" s="14">
        <v>3991.92</v>
      </c>
      <c r="E37" s="14">
        <v>1407.66</v>
      </c>
      <c r="F37" s="14">
        <v>581.32000000000005</v>
      </c>
      <c r="G37" s="14">
        <v>161.77000000000001</v>
      </c>
      <c r="H37" s="14">
        <v>739.99</v>
      </c>
      <c r="I37" s="14">
        <v>0</v>
      </c>
      <c r="J37" s="14">
        <v>615.19000000000005</v>
      </c>
      <c r="K37" s="14">
        <v>-289.62</v>
      </c>
      <c r="L37" s="14">
        <v>623.53</v>
      </c>
      <c r="M37" s="14">
        <v>2404.04</v>
      </c>
      <c r="N37" s="14">
        <v>2196.5700000000002</v>
      </c>
      <c r="O37" s="14">
        <v>1030.2</v>
      </c>
      <c r="P37" s="14">
        <v>9.16</v>
      </c>
      <c r="Q37" s="14">
        <v>204.08</v>
      </c>
      <c r="R37" s="14">
        <v>1989.98</v>
      </c>
      <c r="S37" s="14">
        <v>0</v>
      </c>
      <c r="T37" s="14">
        <v>223.68</v>
      </c>
      <c r="U37" s="14">
        <v>156</v>
      </c>
      <c r="V37" s="14">
        <v>13.14</v>
      </c>
      <c r="W37" s="14">
        <v>0</v>
      </c>
    </row>
    <row r="38" spans="1:23" x14ac:dyDescent="0.2">
      <c r="A38" s="4" t="s">
        <v>284</v>
      </c>
      <c r="B38" s="19">
        <v>248523.07</v>
      </c>
      <c r="C38" s="19">
        <v>29924.01</v>
      </c>
      <c r="D38" s="19">
        <v>39768.25</v>
      </c>
      <c r="E38" s="19">
        <v>11224.21</v>
      </c>
      <c r="F38" s="19">
        <v>8731.94</v>
      </c>
      <c r="G38" s="19">
        <v>10344.42</v>
      </c>
      <c r="H38" s="19">
        <v>13000.57</v>
      </c>
      <c r="I38" s="19">
        <v>4590.6400000000003</v>
      </c>
      <c r="J38" s="19">
        <v>17889.82</v>
      </c>
      <c r="K38" s="19">
        <v>3399.14</v>
      </c>
      <c r="L38" s="19">
        <v>14010.78</v>
      </c>
      <c r="M38" s="19">
        <v>15271.63</v>
      </c>
      <c r="N38" s="19">
        <v>27229.88</v>
      </c>
      <c r="O38" s="19">
        <v>11190.23</v>
      </c>
      <c r="P38" s="19">
        <v>7058.51</v>
      </c>
      <c r="Q38" s="19">
        <v>10423.15</v>
      </c>
      <c r="R38" s="19">
        <v>13165.33</v>
      </c>
      <c r="S38" s="19">
        <v>5221.57</v>
      </c>
      <c r="T38" s="19">
        <v>3834.83</v>
      </c>
      <c r="U38" s="19">
        <v>1720.29</v>
      </c>
      <c r="V38" s="19">
        <v>523.87</v>
      </c>
      <c r="W38" s="19">
        <v>0</v>
      </c>
    </row>
    <row r="39" spans="1:23" x14ac:dyDescent="0.2">
      <c r="A39" s="4" t="s">
        <v>285</v>
      </c>
      <c r="B39" s="13" t="s">
        <v>72</v>
      </c>
      <c r="C39" s="13" t="s">
        <v>72</v>
      </c>
      <c r="D39" s="13" t="s">
        <v>72</v>
      </c>
      <c r="E39" s="13" t="s">
        <v>72</v>
      </c>
      <c r="F39" s="13" t="s">
        <v>72</v>
      </c>
      <c r="G39" s="13" t="s">
        <v>72</v>
      </c>
      <c r="H39" s="13" t="s">
        <v>72</v>
      </c>
      <c r="I39" s="13" t="s">
        <v>72</v>
      </c>
      <c r="J39" s="13" t="s">
        <v>72</v>
      </c>
      <c r="K39" s="13" t="s">
        <v>72</v>
      </c>
      <c r="L39" s="13" t="s">
        <v>72</v>
      </c>
      <c r="M39" s="13" t="s">
        <v>72</v>
      </c>
      <c r="N39" s="13" t="s">
        <v>72</v>
      </c>
      <c r="O39" s="13" t="s">
        <v>72</v>
      </c>
      <c r="P39" s="13" t="s">
        <v>72</v>
      </c>
      <c r="Q39" s="13" t="s">
        <v>72</v>
      </c>
      <c r="R39" s="13" t="s">
        <v>72</v>
      </c>
      <c r="S39" s="13" t="s">
        <v>72</v>
      </c>
      <c r="T39" s="13" t="s">
        <v>72</v>
      </c>
      <c r="U39" s="13" t="s">
        <v>72</v>
      </c>
      <c r="V39" s="13" t="s">
        <v>72</v>
      </c>
      <c r="W39" s="13" t="s">
        <v>72</v>
      </c>
    </row>
    <row r="40" spans="1:23" x14ac:dyDescent="0.2">
      <c r="A40" s="4" t="s">
        <v>73</v>
      </c>
      <c r="B40" s="14">
        <v>15246.7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3795</v>
      </c>
      <c r="K40" s="14">
        <v>0</v>
      </c>
      <c r="L40" s="14">
        <v>0</v>
      </c>
      <c r="M40" s="14">
        <v>0</v>
      </c>
      <c r="N40" s="14">
        <v>11451.7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</row>
    <row r="41" spans="1:23" x14ac:dyDescent="0.2">
      <c r="A41" s="4" t="s">
        <v>74</v>
      </c>
      <c r="B41" s="14">
        <v>441.77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441.77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</row>
    <row r="42" spans="1:23" x14ac:dyDescent="0.2">
      <c r="A42" s="4" t="s">
        <v>76</v>
      </c>
      <c r="B42" s="14">
        <v>148.22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148.22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</row>
    <row r="43" spans="1:23" x14ac:dyDescent="0.2">
      <c r="A43" s="4" t="s">
        <v>77</v>
      </c>
      <c r="B43" s="14">
        <v>949.49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322.68</v>
      </c>
      <c r="K43" s="14">
        <v>0</v>
      </c>
      <c r="L43" s="14">
        <v>0</v>
      </c>
      <c r="M43" s="14">
        <v>0</v>
      </c>
      <c r="N43" s="14">
        <v>626.80999999999995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</row>
    <row r="44" spans="1:23" x14ac:dyDescent="0.2">
      <c r="A44" s="4" t="s">
        <v>286</v>
      </c>
      <c r="B44" s="19">
        <v>16786.18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4117.68</v>
      </c>
      <c r="K44" s="19">
        <v>0</v>
      </c>
      <c r="L44" s="19">
        <v>0</v>
      </c>
      <c r="M44" s="19">
        <v>0</v>
      </c>
      <c r="N44" s="19">
        <v>12668.5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</row>
    <row r="45" spans="1:23" x14ac:dyDescent="0.2">
      <c r="A45" s="4" t="s">
        <v>287</v>
      </c>
      <c r="B45" s="13" t="s">
        <v>72</v>
      </c>
      <c r="C45" s="13" t="s">
        <v>72</v>
      </c>
      <c r="D45" s="13" t="s">
        <v>72</v>
      </c>
      <c r="E45" s="13" t="s">
        <v>72</v>
      </c>
      <c r="F45" s="13" t="s">
        <v>72</v>
      </c>
      <c r="G45" s="13" t="s">
        <v>72</v>
      </c>
      <c r="H45" s="13" t="s">
        <v>72</v>
      </c>
      <c r="I45" s="13" t="s">
        <v>72</v>
      </c>
      <c r="J45" s="13" t="s">
        <v>72</v>
      </c>
      <c r="K45" s="13" t="s">
        <v>72</v>
      </c>
      <c r="L45" s="13" t="s">
        <v>72</v>
      </c>
      <c r="M45" s="13" t="s">
        <v>72</v>
      </c>
      <c r="N45" s="13" t="s">
        <v>72</v>
      </c>
      <c r="O45" s="13" t="s">
        <v>72</v>
      </c>
      <c r="P45" s="13" t="s">
        <v>72</v>
      </c>
      <c r="Q45" s="13" t="s">
        <v>72</v>
      </c>
      <c r="R45" s="13" t="s">
        <v>72</v>
      </c>
      <c r="S45" s="13" t="s">
        <v>72</v>
      </c>
      <c r="T45" s="13" t="s">
        <v>72</v>
      </c>
      <c r="U45" s="13" t="s">
        <v>72</v>
      </c>
      <c r="V45" s="13" t="s">
        <v>72</v>
      </c>
      <c r="W45" s="13" t="s">
        <v>72</v>
      </c>
    </row>
    <row r="46" spans="1:23" x14ac:dyDescent="0.2">
      <c r="A46" s="4" t="s">
        <v>73</v>
      </c>
      <c r="B46" s="14">
        <v>6138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6138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</row>
    <row r="47" spans="1:23" x14ac:dyDescent="0.2">
      <c r="A47" s="4" t="s">
        <v>74</v>
      </c>
      <c r="B47" s="14">
        <v>1314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1314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</row>
    <row r="48" spans="1:23" x14ac:dyDescent="0.2">
      <c r="A48" s="4" t="s">
        <v>77</v>
      </c>
      <c r="B48" s="14">
        <v>3.69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3.69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</row>
    <row r="49" spans="1:23" x14ac:dyDescent="0.2">
      <c r="A49" s="4" t="s">
        <v>288</v>
      </c>
      <c r="B49" s="19">
        <v>7455.69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7455.69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</row>
    <row r="50" spans="1:23" x14ac:dyDescent="0.2">
      <c r="A50" s="4" t="s">
        <v>289</v>
      </c>
      <c r="B50" s="13" t="s">
        <v>72</v>
      </c>
      <c r="C50" s="13" t="s">
        <v>72</v>
      </c>
      <c r="D50" s="13" t="s">
        <v>72</v>
      </c>
      <c r="E50" s="13" t="s">
        <v>72</v>
      </c>
      <c r="F50" s="13" t="s">
        <v>72</v>
      </c>
      <c r="G50" s="13" t="s">
        <v>72</v>
      </c>
      <c r="H50" s="13" t="s">
        <v>72</v>
      </c>
      <c r="I50" s="13" t="s">
        <v>72</v>
      </c>
      <c r="J50" s="13" t="s">
        <v>72</v>
      </c>
      <c r="K50" s="13" t="s">
        <v>72</v>
      </c>
      <c r="L50" s="13" t="s">
        <v>72</v>
      </c>
      <c r="M50" s="13" t="s">
        <v>72</v>
      </c>
      <c r="N50" s="13" t="s">
        <v>72</v>
      </c>
      <c r="O50" s="13" t="s">
        <v>72</v>
      </c>
      <c r="P50" s="13" t="s">
        <v>72</v>
      </c>
      <c r="Q50" s="13" t="s">
        <v>72</v>
      </c>
      <c r="R50" s="13" t="s">
        <v>72</v>
      </c>
      <c r="S50" s="13" t="s">
        <v>72</v>
      </c>
      <c r="T50" s="13" t="s">
        <v>72</v>
      </c>
      <c r="U50" s="13" t="s">
        <v>72</v>
      </c>
      <c r="V50" s="13" t="s">
        <v>72</v>
      </c>
      <c r="W50" s="13" t="s">
        <v>72</v>
      </c>
    </row>
    <row r="51" spans="1:23" x14ac:dyDescent="0.2">
      <c r="A51" s="4" t="s">
        <v>73</v>
      </c>
      <c r="B51" s="14">
        <v>78310.559999999998</v>
      </c>
      <c r="C51" s="14">
        <v>6441.97</v>
      </c>
      <c r="D51" s="14">
        <v>6074.58</v>
      </c>
      <c r="E51" s="14">
        <v>7819.29</v>
      </c>
      <c r="F51" s="14">
        <v>5214.59</v>
      </c>
      <c r="G51" s="14">
        <v>245.89</v>
      </c>
      <c r="H51" s="14">
        <v>1653.75</v>
      </c>
      <c r="I51" s="14">
        <v>5858.11</v>
      </c>
      <c r="J51" s="14">
        <v>0</v>
      </c>
      <c r="K51" s="14">
        <v>0</v>
      </c>
      <c r="L51" s="14">
        <v>6513.14</v>
      </c>
      <c r="M51" s="14">
        <v>5809.29</v>
      </c>
      <c r="N51" s="14">
        <v>11901.99</v>
      </c>
      <c r="O51" s="14">
        <v>0</v>
      </c>
      <c r="P51" s="14">
        <v>7005.49</v>
      </c>
      <c r="Q51" s="14">
        <v>6445.72</v>
      </c>
      <c r="R51" s="14">
        <v>7326.75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</row>
    <row r="52" spans="1:23" x14ac:dyDescent="0.2">
      <c r="A52" s="4" t="s">
        <v>74</v>
      </c>
      <c r="B52" s="14">
        <v>2366.9</v>
      </c>
      <c r="C52" s="14">
        <v>619.49</v>
      </c>
      <c r="D52" s="14">
        <v>219.85</v>
      </c>
      <c r="E52" s="14">
        <v>0</v>
      </c>
      <c r="F52" s="14">
        <v>76.91</v>
      </c>
      <c r="G52" s="14">
        <v>0</v>
      </c>
      <c r="H52" s="14">
        <v>0</v>
      </c>
      <c r="I52" s="14">
        <v>390.9</v>
      </c>
      <c r="J52" s="14">
        <v>0</v>
      </c>
      <c r="K52" s="14">
        <v>0</v>
      </c>
      <c r="L52" s="14">
        <v>0</v>
      </c>
      <c r="M52" s="14">
        <v>915.95</v>
      </c>
      <c r="N52" s="14">
        <v>143.80000000000001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</row>
    <row r="53" spans="1:23" x14ac:dyDescent="0.2">
      <c r="A53" s="4" t="s">
        <v>75</v>
      </c>
      <c r="B53" s="14">
        <v>785.71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785.71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</row>
    <row r="54" spans="1:23" x14ac:dyDescent="0.2">
      <c r="A54" s="4" t="s">
        <v>76</v>
      </c>
      <c r="B54" s="14">
        <v>316.07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316.07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</row>
    <row r="55" spans="1:23" x14ac:dyDescent="0.2">
      <c r="A55" s="4" t="s">
        <v>77</v>
      </c>
      <c r="B55" s="14">
        <v>5928.85</v>
      </c>
      <c r="C55" s="14">
        <v>250.1</v>
      </c>
      <c r="D55" s="14">
        <v>1081.31</v>
      </c>
      <c r="E55" s="14">
        <v>277.23</v>
      </c>
      <c r="F55" s="14">
        <v>672.94</v>
      </c>
      <c r="G55" s="14">
        <v>-79.150000000000006</v>
      </c>
      <c r="H55" s="14">
        <v>0</v>
      </c>
      <c r="I55" s="14">
        <v>764.51</v>
      </c>
      <c r="J55" s="14">
        <v>0</v>
      </c>
      <c r="K55" s="14">
        <v>0</v>
      </c>
      <c r="L55" s="14">
        <v>767.33</v>
      </c>
      <c r="M55" s="14">
        <v>183.8</v>
      </c>
      <c r="N55" s="14">
        <v>975.35</v>
      </c>
      <c r="O55" s="14">
        <v>0</v>
      </c>
      <c r="P55" s="14">
        <v>125.54</v>
      </c>
      <c r="Q55" s="14">
        <v>780.66</v>
      </c>
      <c r="R55" s="14">
        <v>129.22999999999999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</row>
    <row r="56" spans="1:23" x14ac:dyDescent="0.2">
      <c r="A56" s="4" t="s">
        <v>290</v>
      </c>
      <c r="B56" s="19">
        <v>87708.09</v>
      </c>
      <c r="C56" s="19">
        <v>7311.56</v>
      </c>
      <c r="D56" s="19">
        <v>7375.74</v>
      </c>
      <c r="E56" s="19">
        <v>8096.52</v>
      </c>
      <c r="F56" s="19">
        <v>5964.44</v>
      </c>
      <c r="G56" s="19">
        <v>166.74</v>
      </c>
      <c r="H56" s="19">
        <v>1653.75</v>
      </c>
      <c r="I56" s="19">
        <v>7013.52</v>
      </c>
      <c r="J56" s="19">
        <v>0</v>
      </c>
      <c r="K56" s="19">
        <v>0</v>
      </c>
      <c r="L56" s="19">
        <v>7280.47</v>
      </c>
      <c r="M56" s="19">
        <v>6909.04</v>
      </c>
      <c r="N56" s="19">
        <v>13337.21</v>
      </c>
      <c r="O56" s="19">
        <v>0</v>
      </c>
      <c r="P56" s="19">
        <v>7916.74</v>
      </c>
      <c r="Q56" s="19">
        <v>7226.38</v>
      </c>
      <c r="R56" s="19">
        <v>7455.98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</row>
    <row r="57" spans="1:23" x14ac:dyDescent="0.2">
      <c r="A57" s="4" t="s">
        <v>291</v>
      </c>
      <c r="B57" s="13" t="s">
        <v>72</v>
      </c>
      <c r="C57" s="13" t="s">
        <v>72</v>
      </c>
      <c r="D57" s="13" t="s">
        <v>72</v>
      </c>
      <c r="E57" s="13" t="s">
        <v>72</v>
      </c>
      <c r="F57" s="13" t="s">
        <v>72</v>
      </c>
      <c r="G57" s="13" t="s">
        <v>72</v>
      </c>
      <c r="H57" s="13" t="s">
        <v>72</v>
      </c>
      <c r="I57" s="13" t="s">
        <v>72</v>
      </c>
      <c r="J57" s="13" t="s">
        <v>72</v>
      </c>
      <c r="K57" s="13" t="s">
        <v>72</v>
      </c>
      <c r="L57" s="13" t="s">
        <v>72</v>
      </c>
      <c r="M57" s="13" t="s">
        <v>72</v>
      </c>
      <c r="N57" s="13" t="s">
        <v>72</v>
      </c>
      <c r="O57" s="13" t="s">
        <v>72</v>
      </c>
      <c r="P57" s="13" t="s">
        <v>72</v>
      </c>
      <c r="Q57" s="13" t="s">
        <v>72</v>
      </c>
      <c r="R57" s="13" t="s">
        <v>72</v>
      </c>
      <c r="S57" s="13" t="s">
        <v>72</v>
      </c>
      <c r="T57" s="13" t="s">
        <v>72</v>
      </c>
      <c r="U57" s="13" t="s">
        <v>72</v>
      </c>
      <c r="V57" s="13" t="s">
        <v>72</v>
      </c>
      <c r="W57" s="13" t="s">
        <v>72</v>
      </c>
    </row>
    <row r="58" spans="1:23" x14ac:dyDescent="0.2">
      <c r="A58" s="4" t="s">
        <v>73</v>
      </c>
      <c r="B58" s="14">
        <v>433619.81</v>
      </c>
      <c r="C58" s="14">
        <v>10046.290000000001</v>
      </c>
      <c r="D58" s="14">
        <v>5890.6</v>
      </c>
      <c r="E58" s="14">
        <v>16271.04</v>
      </c>
      <c r="F58" s="14">
        <v>26256.6</v>
      </c>
      <c r="G58" s="14">
        <v>18547.07</v>
      </c>
      <c r="H58" s="14">
        <v>20853.07</v>
      </c>
      <c r="I58" s="14">
        <v>11110.28</v>
      </c>
      <c r="J58" s="14">
        <v>21506.31</v>
      </c>
      <c r="K58" s="14">
        <v>8069.91</v>
      </c>
      <c r="L58" s="14">
        <v>40503.300000000003</v>
      </c>
      <c r="M58" s="14">
        <v>36228.949999999997</v>
      </c>
      <c r="N58" s="14">
        <v>49467.3</v>
      </c>
      <c r="O58" s="14">
        <v>36226.61</v>
      </c>
      <c r="P58" s="14">
        <v>42516.23</v>
      </c>
      <c r="Q58" s="14">
        <v>39532.11</v>
      </c>
      <c r="R58" s="14">
        <v>27207.23</v>
      </c>
      <c r="S58" s="14">
        <v>4854.41</v>
      </c>
      <c r="T58" s="14">
        <v>3954.25</v>
      </c>
      <c r="U58" s="14">
        <v>5265.95</v>
      </c>
      <c r="V58" s="14">
        <v>9312.2999999999993</v>
      </c>
      <c r="W58" s="14">
        <v>0</v>
      </c>
    </row>
    <row r="59" spans="1:23" x14ac:dyDescent="0.2">
      <c r="A59" s="4" t="s">
        <v>74</v>
      </c>
      <c r="B59" s="14">
        <v>63093.96</v>
      </c>
      <c r="C59" s="14">
        <v>1890.85</v>
      </c>
      <c r="D59" s="14">
        <v>433.71</v>
      </c>
      <c r="E59" s="14">
        <v>3207.68</v>
      </c>
      <c r="F59" s="14">
        <v>5378.88</v>
      </c>
      <c r="G59" s="14">
        <v>5480.45</v>
      </c>
      <c r="H59" s="14">
        <v>1356.27</v>
      </c>
      <c r="I59" s="14">
        <v>1687.07</v>
      </c>
      <c r="J59" s="14">
        <v>1891.71</v>
      </c>
      <c r="K59" s="14">
        <v>319.7</v>
      </c>
      <c r="L59" s="14">
        <v>3167.62</v>
      </c>
      <c r="M59" s="14">
        <v>1208.8399999999999</v>
      </c>
      <c r="N59" s="14">
        <v>8585.14</v>
      </c>
      <c r="O59" s="14">
        <v>2572.04</v>
      </c>
      <c r="P59" s="14">
        <v>6941.92</v>
      </c>
      <c r="Q59" s="14">
        <v>10705.3</v>
      </c>
      <c r="R59" s="14">
        <v>8266.7800000000007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</row>
    <row r="60" spans="1:23" x14ac:dyDescent="0.2">
      <c r="A60" s="4" t="s">
        <v>75</v>
      </c>
      <c r="B60" s="14">
        <v>7026.79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883.93</v>
      </c>
      <c r="M60" s="14">
        <v>0</v>
      </c>
      <c r="N60" s="14">
        <v>1500</v>
      </c>
      <c r="O60" s="14">
        <v>1500</v>
      </c>
      <c r="P60" s="14">
        <v>3142.86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</row>
    <row r="61" spans="1:23" x14ac:dyDescent="0.2">
      <c r="A61" s="4" t="s">
        <v>76</v>
      </c>
      <c r="B61" s="14">
        <v>645.71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625</v>
      </c>
      <c r="M61" s="14">
        <v>0</v>
      </c>
      <c r="N61" s="14">
        <v>0</v>
      </c>
      <c r="O61" s="14">
        <v>0</v>
      </c>
      <c r="P61" s="14">
        <v>20.71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</row>
    <row r="62" spans="1:23" x14ac:dyDescent="0.2">
      <c r="A62" s="4" t="s">
        <v>77</v>
      </c>
      <c r="B62" s="14">
        <v>21463.3</v>
      </c>
      <c r="C62" s="14">
        <v>790.05</v>
      </c>
      <c r="D62" s="14">
        <v>855.62</v>
      </c>
      <c r="E62" s="14">
        <v>434.06</v>
      </c>
      <c r="F62" s="14">
        <v>-535.6</v>
      </c>
      <c r="G62" s="14">
        <v>829.76</v>
      </c>
      <c r="H62" s="14">
        <v>929.1</v>
      </c>
      <c r="I62" s="14">
        <v>168.85</v>
      </c>
      <c r="J62" s="14">
        <v>1067.6099999999999</v>
      </c>
      <c r="K62" s="14">
        <v>0</v>
      </c>
      <c r="L62" s="14">
        <v>4866.7299999999996</v>
      </c>
      <c r="M62" s="14">
        <v>1395.81</v>
      </c>
      <c r="N62" s="14">
        <v>2653.36</v>
      </c>
      <c r="O62" s="14">
        <v>2944.31</v>
      </c>
      <c r="P62" s="14">
        <v>1500.11</v>
      </c>
      <c r="Q62" s="14">
        <v>928.03</v>
      </c>
      <c r="R62" s="14">
        <v>675.95</v>
      </c>
      <c r="S62" s="14">
        <v>138.19</v>
      </c>
      <c r="T62" s="14">
        <v>197.77</v>
      </c>
      <c r="U62" s="14">
        <v>248.18</v>
      </c>
      <c r="V62" s="14">
        <v>1375.41</v>
      </c>
      <c r="W62" s="14">
        <v>0</v>
      </c>
    </row>
    <row r="63" spans="1:23" x14ac:dyDescent="0.2">
      <c r="A63" s="4" t="s">
        <v>292</v>
      </c>
      <c r="B63" s="19">
        <v>525849.56999999995</v>
      </c>
      <c r="C63" s="19">
        <v>12727.19</v>
      </c>
      <c r="D63" s="19">
        <v>7179.93</v>
      </c>
      <c r="E63" s="19">
        <v>19912.78</v>
      </c>
      <c r="F63" s="19">
        <v>31099.88</v>
      </c>
      <c r="G63" s="19">
        <v>24857.279999999999</v>
      </c>
      <c r="H63" s="19">
        <v>23138.44</v>
      </c>
      <c r="I63" s="19">
        <v>12966.2</v>
      </c>
      <c r="J63" s="19">
        <v>24465.63</v>
      </c>
      <c r="K63" s="19">
        <v>8389.61</v>
      </c>
      <c r="L63" s="19">
        <v>50046.58</v>
      </c>
      <c r="M63" s="19">
        <v>38833.599999999999</v>
      </c>
      <c r="N63" s="19">
        <v>62205.8</v>
      </c>
      <c r="O63" s="19">
        <v>43242.96</v>
      </c>
      <c r="P63" s="19">
        <v>54121.83</v>
      </c>
      <c r="Q63" s="19">
        <v>51165.440000000002</v>
      </c>
      <c r="R63" s="19">
        <v>36149.96</v>
      </c>
      <c r="S63" s="19">
        <v>4992.6000000000004</v>
      </c>
      <c r="T63" s="19">
        <v>4152.0200000000004</v>
      </c>
      <c r="U63" s="19">
        <v>5514.13</v>
      </c>
      <c r="V63" s="19">
        <v>10687.71</v>
      </c>
      <c r="W63" s="19">
        <v>0</v>
      </c>
    </row>
    <row r="64" spans="1:23" x14ac:dyDescent="0.2">
      <c r="A64" s="4" t="s">
        <v>293</v>
      </c>
      <c r="B64" s="13" t="s">
        <v>72</v>
      </c>
      <c r="C64" s="13" t="s">
        <v>72</v>
      </c>
      <c r="D64" s="13" t="s">
        <v>72</v>
      </c>
      <c r="E64" s="13" t="s">
        <v>72</v>
      </c>
      <c r="F64" s="13" t="s">
        <v>72</v>
      </c>
      <c r="G64" s="13" t="s">
        <v>72</v>
      </c>
      <c r="H64" s="13" t="s">
        <v>72</v>
      </c>
      <c r="I64" s="13" t="s">
        <v>72</v>
      </c>
      <c r="J64" s="13" t="s">
        <v>72</v>
      </c>
      <c r="K64" s="13" t="s">
        <v>72</v>
      </c>
      <c r="L64" s="13" t="s">
        <v>72</v>
      </c>
      <c r="M64" s="13" t="s">
        <v>72</v>
      </c>
      <c r="N64" s="13" t="s">
        <v>72</v>
      </c>
      <c r="O64" s="13" t="s">
        <v>72</v>
      </c>
      <c r="P64" s="13" t="s">
        <v>72</v>
      </c>
      <c r="Q64" s="13" t="s">
        <v>72</v>
      </c>
      <c r="R64" s="13" t="s">
        <v>72</v>
      </c>
      <c r="S64" s="13" t="s">
        <v>72</v>
      </c>
      <c r="T64" s="13" t="s">
        <v>72</v>
      </c>
      <c r="U64" s="13" t="s">
        <v>72</v>
      </c>
      <c r="V64" s="13" t="s">
        <v>72</v>
      </c>
      <c r="W64" s="13" t="s">
        <v>72</v>
      </c>
    </row>
    <row r="65" spans="1:23" x14ac:dyDescent="0.2">
      <c r="A65" s="4" t="s">
        <v>73</v>
      </c>
      <c r="B65" s="14">
        <v>1020497.17</v>
      </c>
      <c r="C65" s="14">
        <v>30310.880000000001</v>
      </c>
      <c r="D65" s="14">
        <v>57545.57</v>
      </c>
      <c r="E65" s="14">
        <v>58830.5</v>
      </c>
      <c r="F65" s="14">
        <v>59524.959999999999</v>
      </c>
      <c r="G65" s="14">
        <v>50151.48</v>
      </c>
      <c r="H65" s="14">
        <v>47375.89</v>
      </c>
      <c r="I65" s="14">
        <v>35598.29</v>
      </c>
      <c r="J65" s="14">
        <v>51703.69</v>
      </c>
      <c r="K65" s="14">
        <v>52664</v>
      </c>
      <c r="L65" s="14">
        <v>60560.45</v>
      </c>
      <c r="M65" s="14">
        <v>67424.600000000006</v>
      </c>
      <c r="N65" s="14">
        <v>135386.97</v>
      </c>
      <c r="O65" s="14">
        <v>74450.83</v>
      </c>
      <c r="P65" s="14">
        <v>88230.94</v>
      </c>
      <c r="Q65" s="14">
        <v>67675.520000000004</v>
      </c>
      <c r="R65" s="14">
        <v>56222.1</v>
      </c>
      <c r="S65" s="14">
        <v>7965.66</v>
      </c>
      <c r="T65" s="14">
        <v>2860.46</v>
      </c>
      <c r="U65" s="14">
        <v>4471.21</v>
      </c>
      <c r="V65" s="14">
        <v>8519.66</v>
      </c>
      <c r="W65" s="14">
        <v>3023.51</v>
      </c>
    </row>
    <row r="66" spans="1:23" x14ac:dyDescent="0.2">
      <c r="A66" s="4" t="s">
        <v>74</v>
      </c>
      <c r="B66" s="14">
        <v>86053.87</v>
      </c>
      <c r="C66" s="14">
        <v>6113.47</v>
      </c>
      <c r="D66" s="14">
        <v>1924.38</v>
      </c>
      <c r="E66" s="14">
        <v>3449.4</v>
      </c>
      <c r="F66" s="14">
        <v>2959.3</v>
      </c>
      <c r="G66" s="14">
        <v>2131.5300000000002</v>
      </c>
      <c r="H66" s="14">
        <v>740.95</v>
      </c>
      <c r="I66" s="14">
        <v>2364.42</v>
      </c>
      <c r="J66" s="14">
        <v>3311.51</v>
      </c>
      <c r="K66" s="14">
        <v>3839.08</v>
      </c>
      <c r="L66" s="14">
        <v>2028.09</v>
      </c>
      <c r="M66" s="14">
        <v>3599.8</v>
      </c>
      <c r="N66" s="14">
        <v>8640.07</v>
      </c>
      <c r="O66" s="14">
        <v>5188.2700000000004</v>
      </c>
      <c r="P66" s="14">
        <v>8721.2999999999993</v>
      </c>
      <c r="Q66" s="14">
        <v>16443.2</v>
      </c>
      <c r="R66" s="14">
        <v>13563.22</v>
      </c>
      <c r="S66" s="14">
        <v>15.47</v>
      </c>
      <c r="T66" s="14">
        <v>20.77</v>
      </c>
      <c r="U66" s="14">
        <v>375.43</v>
      </c>
      <c r="V66" s="14">
        <v>624.21</v>
      </c>
      <c r="W66" s="14">
        <v>0</v>
      </c>
    </row>
    <row r="67" spans="1:23" x14ac:dyDescent="0.2">
      <c r="A67" s="4" t="s">
        <v>75</v>
      </c>
      <c r="B67" s="14">
        <v>4017.86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2017.86</v>
      </c>
      <c r="L67" s="14">
        <v>0</v>
      </c>
      <c r="M67" s="14">
        <v>0</v>
      </c>
      <c r="N67" s="14">
        <v>1000</v>
      </c>
      <c r="O67" s="14">
        <v>0</v>
      </c>
      <c r="P67" s="14">
        <v>1000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</row>
    <row r="68" spans="1:23" x14ac:dyDescent="0.2">
      <c r="A68" s="4" t="s">
        <v>76</v>
      </c>
      <c r="B68" s="14">
        <v>1468.52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258.93</v>
      </c>
      <c r="O68" s="14">
        <v>187.14</v>
      </c>
      <c r="P68" s="14">
        <v>0</v>
      </c>
      <c r="Q68" s="14">
        <v>150</v>
      </c>
      <c r="R68" s="14">
        <v>872.45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</row>
    <row r="69" spans="1:23" x14ac:dyDescent="0.2">
      <c r="A69" s="4" t="s">
        <v>77</v>
      </c>
      <c r="B69" s="14">
        <v>43694.35</v>
      </c>
      <c r="C69" s="14">
        <v>-442.19</v>
      </c>
      <c r="D69" s="14">
        <v>3051.08</v>
      </c>
      <c r="E69" s="14">
        <v>3920.67</v>
      </c>
      <c r="F69" s="14">
        <v>2320.1</v>
      </c>
      <c r="G69" s="14">
        <v>1939.38</v>
      </c>
      <c r="H69" s="14">
        <v>3676.05</v>
      </c>
      <c r="I69" s="14">
        <v>1225.1099999999999</v>
      </c>
      <c r="J69" s="14">
        <v>2054.0500000000002</v>
      </c>
      <c r="K69" s="14">
        <v>1568.24</v>
      </c>
      <c r="L69" s="14">
        <v>2283.7199999999998</v>
      </c>
      <c r="M69" s="14">
        <v>2724.57</v>
      </c>
      <c r="N69" s="14">
        <v>6757.13</v>
      </c>
      <c r="O69" s="14">
        <v>2753.43</v>
      </c>
      <c r="P69" s="14">
        <v>3980.14</v>
      </c>
      <c r="Q69" s="14">
        <v>2757.14</v>
      </c>
      <c r="R69" s="14">
        <v>2530.9899999999998</v>
      </c>
      <c r="S69" s="14">
        <v>166.87</v>
      </c>
      <c r="T69" s="14">
        <v>35.74</v>
      </c>
      <c r="U69" s="14">
        <v>134.44</v>
      </c>
      <c r="V69" s="14">
        <v>209.93</v>
      </c>
      <c r="W69" s="14">
        <v>47.76</v>
      </c>
    </row>
    <row r="70" spans="1:23" x14ac:dyDescent="0.2">
      <c r="A70" s="4" t="s">
        <v>294</v>
      </c>
      <c r="B70" s="19">
        <v>1155731.77</v>
      </c>
      <c r="C70" s="19">
        <v>35982.160000000003</v>
      </c>
      <c r="D70" s="19">
        <v>62521.03</v>
      </c>
      <c r="E70" s="19">
        <v>66200.570000000007</v>
      </c>
      <c r="F70" s="19">
        <v>64804.36</v>
      </c>
      <c r="G70" s="19">
        <v>54222.39</v>
      </c>
      <c r="H70" s="19">
        <v>51792.89</v>
      </c>
      <c r="I70" s="19">
        <v>39187.82</v>
      </c>
      <c r="J70" s="19">
        <v>57069.25</v>
      </c>
      <c r="K70" s="19">
        <v>60089.18</v>
      </c>
      <c r="L70" s="19">
        <v>64872.26</v>
      </c>
      <c r="M70" s="19">
        <v>73748.97</v>
      </c>
      <c r="N70" s="19">
        <v>152043.1</v>
      </c>
      <c r="O70" s="19">
        <v>82579.67</v>
      </c>
      <c r="P70" s="19">
        <v>101932.38</v>
      </c>
      <c r="Q70" s="19">
        <v>87025.86</v>
      </c>
      <c r="R70" s="19">
        <v>73188.759999999995</v>
      </c>
      <c r="S70" s="19">
        <v>8148</v>
      </c>
      <c r="T70" s="19">
        <v>2916.97</v>
      </c>
      <c r="U70" s="19">
        <v>4981.08</v>
      </c>
      <c r="V70" s="19">
        <v>9353.7999999999993</v>
      </c>
      <c r="W70" s="19">
        <v>3071.27</v>
      </c>
    </row>
    <row r="71" spans="1:23" x14ac:dyDescent="0.2">
      <c r="A71" s="4" t="s">
        <v>295</v>
      </c>
      <c r="B71" s="13" t="s">
        <v>72</v>
      </c>
      <c r="C71" s="13" t="s">
        <v>72</v>
      </c>
      <c r="D71" s="13" t="s">
        <v>72</v>
      </c>
      <c r="E71" s="13" t="s">
        <v>72</v>
      </c>
      <c r="F71" s="13" t="s">
        <v>72</v>
      </c>
      <c r="G71" s="13" t="s">
        <v>72</v>
      </c>
      <c r="H71" s="13" t="s">
        <v>72</v>
      </c>
      <c r="I71" s="13" t="s">
        <v>72</v>
      </c>
      <c r="J71" s="13" t="s">
        <v>72</v>
      </c>
      <c r="K71" s="13" t="s">
        <v>72</v>
      </c>
      <c r="L71" s="13" t="s">
        <v>72</v>
      </c>
      <c r="M71" s="13" t="s">
        <v>72</v>
      </c>
      <c r="N71" s="13" t="s">
        <v>72</v>
      </c>
      <c r="O71" s="13" t="s">
        <v>72</v>
      </c>
      <c r="P71" s="13" t="s">
        <v>72</v>
      </c>
      <c r="Q71" s="13" t="s">
        <v>72</v>
      </c>
      <c r="R71" s="13" t="s">
        <v>72</v>
      </c>
      <c r="S71" s="13" t="s">
        <v>72</v>
      </c>
      <c r="T71" s="13" t="s">
        <v>72</v>
      </c>
      <c r="U71" s="13" t="s">
        <v>72</v>
      </c>
      <c r="V71" s="13" t="s">
        <v>72</v>
      </c>
      <c r="W71" s="13" t="s">
        <v>72</v>
      </c>
    </row>
    <row r="72" spans="1:23" x14ac:dyDescent="0.2">
      <c r="A72" s="4" t="s">
        <v>73</v>
      </c>
      <c r="B72" s="14">
        <v>43314.82</v>
      </c>
      <c r="C72" s="14">
        <v>3037.5</v>
      </c>
      <c r="D72" s="14">
        <v>2772.85</v>
      </c>
      <c r="E72" s="14">
        <v>2920.31</v>
      </c>
      <c r="F72" s="14">
        <v>3554.63</v>
      </c>
      <c r="G72" s="14">
        <v>2014</v>
      </c>
      <c r="H72" s="14">
        <v>2263.42</v>
      </c>
      <c r="I72" s="14">
        <v>2968.72</v>
      </c>
      <c r="J72" s="14">
        <v>0</v>
      </c>
      <c r="K72" s="14">
        <v>0</v>
      </c>
      <c r="L72" s="14">
        <v>3771.43</v>
      </c>
      <c r="M72" s="14">
        <v>1750.71</v>
      </c>
      <c r="N72" s="14">
        <v>2823.59</v>
      </c>
      <c r="O72" s="14">
        <v>3969.78</v>
      </c>
      <c r="P72" s="14">
        <v>3846.16</v>
      </c>
      <c r="Q72" s="14">
        <v>4285.72</v>
      </c>
      <c r="R72" s="14">
        <v>3336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</row>
    <row r="73" spans="1:23" x14ac:dyDescent="0.2">
      <c r="A73" s="4" t="s">
        <v>74</v>
      </c>
      <c r="B73" s="14">
        <v>1038.02</v>
      </c>
      <c r="C73" s="14">
        <v>288.81</v>
      </c>
      <c r="D73" s="14">
        <v>46.83</v>
      </c>
      <c r="E73" s="14">
        <v>101.73</v>
      </c>
      <c r="F73" s="14">
        <v>317.27</v>
      </c>
      <c r="G73" s="14">
        <v>0</v>
      </c>
      <c r="H73" s="14">
        <v>35.979999999999997</v>
      </c>
      <c r="I73" s="14">
        <v>111.86</v>
      </c>
      <c r="J73" s="14">
        <v>0</v>
      </c>
      <c r="K73" s="14">
        <v>0</v>
      </c>
      <c r="L73" s="14">
        <v>0</v>
      </c>
      <c r="M73" s="14">
        <v>0</v>
      </c>
      <c r="N73" s="14">
        <v>135.54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</row>
    <row r="74" spans="1:23" x14ac:dyDescent="0.2">
      <c r="A74" s="4" t="s">
        <v>77</v>
      </c>
      <c r="B74" s="14">
        <v>494.44</v>
      </c>
      <c r="C74" s="14">
        <v>108.02</v>
      </c>
      <c r="D74" s="14">
        <v>174.71</v>
      </c>
      <c r="E74" s="14">
        <v>100.63</v>
      </c>
      <c r="F74" s="14">
        <v>0</v>
      </c>
      <c r="G74" s="14">
        <v>0</v>
      </c>
      <c r="H74" s="14">
        <v>257.85000000000002</v>
      </c>
      <c r="I74" s="14">
        <v>109.38</v>
      </c>
      <c r="J74" s="14">
        <v>0</v>
      </c>
      <c r="K74" s="14">
        <v>0</v>
      </c>
      <c r="L74" s="14">
        <v>67.58</v>
      </c>
      <c r="M74" s="14">
        <v>-52.46</v>
      </c>
      <c r="N74" s="14">
        <v>-627.55999999999995</v>
      </c>
      <c r="O74" s="14">
        <v>224.94</v>
      </c>
      <c r="P74" s="14">
        <v>41.35</v>
      </c>
      <c r="Q74" s="14">
        <v>230.77</v>
      </c>
      <c r="R74" s="14">
        <v>-140.77000000000001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</row>
    <row r="75" spans="1:23" x14ac:dyDescent="0.2">
      <c r="A75" s="4" t="s">
        <v>296</v>
      </c>
      <c r="B75" s="19">
        <v>44847.28</v>
      </c>
      <c r="C75" s="19">
        <v>3434.33</v>
      </c>
      <c r="D75" s="19">
        <v>2994.39</v>
      </c>
      <c r="E75" s="19">
        <v>3122.67</v>
      </c>
      <c r="F75" s="19">
        <v>3871.9</v>
      </c>
      <c r="G75" s="19">
        <v>2014</v>
      </c>
      <c r="H75" s="19">
        <v>2557.25</v>
      </c>
      <c r="I75" s="19">
        <v>3189.96</v>
      </c>
      <c r="J75" s="19">
        <v>0</v>
      </c>
      <c r="K75" s="19">
        <v>0</v>
      </c>
      <c r="L75" s="19">
        <v>3839.01</v>
      </c>
      <c r="M75" s="19">
        <v>1698.25</v>
      </c>
      <c r="N75" s="19">
        <v>2331.5700000000002</v>
      </c>
      <c r="O75" s="19">
        <v>4194.72</v>
      </c>
      <c r="P75" s="19">
        <v>3887.51</v>
      </c>
      <c r="Q75" s="19">
        <v>4516.49</v>
      </c>
      <c r="R75" s="19">
        <v>3195.23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</row>
    <row r="76" spans="1:23" x14ac:dyDescent="0.2">
      <c r="A76" s="4" t="s">
        <v>297</v>
      </c>
      <c r="B76" s="13" t="s">
        <v>72</v>
      </c>
      <c r="C76" s="13" t="s">
        <v>72</v>
      </c>
      <c r="D76" s="13" t="s">
        <v>72</v>
      </c>
      <c r="E76" s="13" t="s">
        <v>72</v>
      </c>
      <c r="F76" s="13" t="s">
        <v>72</v>
      </c>
      <c r="G76" s="13" t="s">
        <v>72</v>
      </c>
      <c r="H76" s="13" t="s">
        <v>72</v>
      </c>
      <c r="I76" s="13" t="s">
        <v>72</v>
      </c>
      <c r="J76" s="13" t="s">
        <v>72</v>
      </c>
      <c r="K76" s="13" t="s">
        <v>72</v>
      </c>
      <c r="L76" s="13" t="s">
        <v>72</v>
      </c>
      <c r="M76" s="13" t="s">
        <v>72</v>
      </c>
      <c r="N76" s="13" t="s">
        <v>72</v>
      </c>
      <c r="O76" s="13" t="s">
        <v>72</v>
      </c>
      <c r="P76" s="13" t="s">
        <v>72</v>
      </c>
      <c r="Q76" s="13" t="s">
        <v>72</v>
      </c>
      <c r="R76" s="13" t="s">
        <v>72</v>
      </c>
      <c r="S76" s="13" t="s">
        <v>72</v>
      </c>
      <c r="T76" s="13" t="s">
        <v>72</v>
      </c>
      <c r="U76" s="13" t="s">
        <v>72</v>
      </c>
      <c r="V76" s="13" t="s">
        <v>72</v>
      </c>
      <c r="W76" s="13" t="s">
        <v>72</v>
      </c>
    </row>
    <row r="77" spans="1:23" x14ac:dyDescent="0.2">
      <c r="A77" s="4" t="s">
        <v>73</v>
      </c>
      <c r="B77" s="14">
        <v>12423.52</v>
      </c>
      <c r="C77" s="14">
        <v>0</v>
      </c>
      <c r="D77" s="14">
        <v>0</v>
      </c>
      <c r="E77" s="14">
        <v>0</v>
      </c>
      <c r="F77" s="14">
        <v>572</v>
      </c>
      <c r="G77" s="14">
        <v>226.29</v>
      </c>
      <c r="H77" s="14">
        <v>0</v>
      </c>
      <c r="I77" s="14">
        <v>0</v>
      </c>
      <c r="J77" s="14">
        <v>2956.7</v>
      </c>
      <c r="K77" s="14">
        <v>0</v>
      </c>
      <c r="L77" s="14">
        <v>0</v>
      </c>
      <c r="M77" s="14">
        <v>0</v>
      </c>
      <c r="N77" s="14">
        <v>6705.36</v>
      </c>
      <c r="O77" s="14">
        <v>0</v>
      </c>
      <c r="P77" s="14">
        <v>1963.17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</row>
    <row r="78" spans="1:23" x14ac:dyDescent="0.2">
      <c r="A78" s="4" t="s">
        <v>74</v>
      </c>
      <c r="B78" s="14">
        <v>436.99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87.71</v>
      </c>
      <c r="K78" s="14">
        <v>0</v>
      </c>
      <c r="L78" s="14">
        <v>0</v>
      </c>
      <c r="M78" s="14">
        <v>0</v>
      </c>
      <c r="N78" s="14">
        <v>349.28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</row>
    <row r="79" spans="1:23" x14ac:dyDescent="0.2">
      <c r="A79" s="4" t="s">
        <v>76</v>
      </c>
      <c r="B79" s="14">
        <v>339.29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339.29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</row>
    <row r="80" spans="1:23" x14ac:dyDescent="0.2">
      <c r="A80" s="4" t="s">
        <v>77</v>
      </c>
      <c r="B80" s="14">
        <v>536.48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260.73</v>
      </c>
      <c r="K80" s="14">
        <v>0</v>
      </c>
      <c r="L80" s="14">
        <v>0</v>
      </c>
      <c r="M80" s="14">
        <v>0</v>
      </c>
      <c r="N80" s="14">
        <v>114.91</v>
      </c>
      <c r="O80" s="14">
        <v>0</v>
      </c>
      <c r="P80" s="14">
        <v>160.84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</row>
    <row r="81" spans="1:23" x14ac:dyDescent="0.2">
      <c r="A81" s="4" t="s">
        <v>298</v>
      </c>
      <c r="B81" s="19">
        <v>13736.28</v>
      </c>
      <c r="C81" s="19">
        <v>0</v>
      </c>
      <c r="D81" s="19">
        <v>0</v>
      </c>
      <c r="E81" s="19">
        <v>0</v>
      </c>
      <c r="F81" s="19">
        <v>572</v>
      </c>
      <c r="G81" s="19">
        <v>226.29</v>
      </c>
      <c r="H81" s="19">
        <v>0</v>
      </c>
      <c r="I81" s="19">
        <v>0</v>
      </c>
      <c r="J81" s="19">
        <v>3305.14</v>
      </c>
      <c r="K81" s="19">
        <v>0</v>
      </c>
      <c r="L81" s="19">
        <v>0</v>
      </c>
      <c r="M81" s="19">
        <v>0</v>
      </c>
      <c r="N81" s="19">
        <v>7169.55</v>
      </c>
      <c r="O81" s="19">
        <v>0</v>
      </c>
      <c r="P81" s="19">
        <v>2463.3000000000002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</row>
    <row r="82" spans="1:23" x14ac:dyDescent="0.2">
      <c r="A82" s="4" t="s">
        <v>299</v>
      </c>
      <c r="B82" s="13" t="s">
        <v>72</v>
      </c>
      <c r="C82" s="13" t="s">
        <v>72</v>
      </c>
      <c r="D82" s="13" t="s">
        <v>72</v>
      </c>
      <c r="E82" s="13" t="s">
        <v>72</v>
      </c>
      <c r="F82" s="13" t="s">
        <v>72</v>
      </c>
      <c r="G82" s="13" t="s">
        <v>72</v>
      </c>
      <c r="H82" s="13" t="s">
        <v>72</v>
      </c>
      <c r="I82" s="13" t="s">
        <v>72</v>
      </c>
      <c r="J82" s="13" t="s">
        <v>72</v>
      </c>
      <c r="K82" s="13" t="s">
        <v>72</v>
      </c>
      <c r="L82" s="13" t="s">
        <v>72</v>
      </c>
      <c r="M82" s="13" t="s">
        <v>72</v>
      </c>
      <c r="N82" s="13" t="s">
        <v>72</v>
      </c>
      <c r="O82" s="13" t="s">
        <v>72</v>
      </c>
      <c r="P82" s="13" t="s">
        <v>72</v>
      </c>
      <c r="Q82" s="13" t="s">
        <v>72</v>
      </c>
      <c r="R82" s="13" t="s">
        <v>72</v>
      </c>
      <c r="S82" s="13" t="s">
        <v>72</v>
      </c>
      <c r="T82" s="13" t="s">
        <v>72</v>
      </c>
      <c r="U82" s="13" t="s">
        <v>72</v>
      </c>
      <c r="V82" s="13" t="s">
        <v>72</v>
      </c>
      <c r="W82" s="13" t="s">
        <v>72</v>
      </c>
    </row>
    <row r="83" spans="1:23" x14ac:dyDescent="0.2">
      <c r="A83" s="4" t="s">
        <v>73</v>
      </c>
      <c r="B83" s="14">
        <v>44184.81</v>
      </c>
      <c r="C83" s="14">
        <v>2864.86</v>
      </c>
      <c r="D83" s="14">
        <v>1970.28</v>
      </c>
      <c r="E83" s="14">
        <v>2766.22</v>
      </c>
      <c r="F83" s="14">
        <v>2627.68</v>
      </c>
      <c r="G83" s="14">
        <v>2579.11</v>
      </c>
      <c r="H83" s="14">
        <v>1972.29</v>
      </c>
      <c r="I83" s="14">
        <v>2515.4299999999998</v>
      </c>
      <c r="J83" s="14">
        <v>2768.63</v>
      </c>
      <c r="K83" s="14">
        <v>3029.15</v>
      </c>
      <c r="L83" s="14">
        <v>4467.8599999999997</v>
      </c>
      <c r="M83" s="14">
        <v>2915.71</v>
      </c>
      <c r="N83" s="14">
        <v>2827.28</v>
      </c>
      <c r="O83" s="14">
        <v>3085.72</v>
      </c>
      <c r="P83" s="14">
        <v>2768.79</v>
      </c>
      <c r="Q83" s="14">
        <v>3017.14</v>
      </c>
      <c r="R83" s="14">
        <v>2008.66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</row>
    <row r="84" spans="1:23" x14ac:dyDescent="0.2">
      <c r="A84" s="4" t="s">
        <v>74</v>
      </c>
      <c r="B84" s="14">
        <v>1315.01</v>
      </c>
      <c r="C84" s="14">
        <v>355.97</v>
      </c>
      <c r="D84" s="14">
        <v>28.71</v>
      </c>
      <c r="E84" s="14">
        <v>0</v>
      </c>
      <c r="F84" s="14">
        <v>201.54</v>
      </c>
      <c r="G84" s="14">
        <v>0</v>
      </c>
      <c r="H84" s="14">
        <v>0</v>
      </c>
      <c r="I84" s="14">
        <v>57</v>
      </c>
      <c r="J84" s="14">
        <v>146.25</v>
      </c>
      <c r="K84" s="14">
        <v>203.95</v>
      </c>
      <c r="L84" s="14">
        <v>0</v>
      </c>
      <c r="M84" s="14">
        <v>67.5</v>
      </c>
      <c r="N84" s="14">
        <v>106.07</v>
      </c>
      <c r="O84" s="14">
        <v>0</v>
      </c>
      <c r="P84" s="14">
        <v>148.02000000000001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</row>
    <row r="85" spans="1:23" x14ac:dyDescent="0.2">
      <c r="A85" s="4" t="s">
        <v>77</v>
      </c>
      <c r="B85" s="14">
        <v>3321.25</v>
      </c>
      <c r="C85" s="14">
        <v>226.64</v>
      </c>
      <c r="D85" s="14">
        <v>343.74</v>
      </c>
      <c r="E85" s="14">
        <v>145.26</v>
      </c>
      <c r="F85" s="14">
        <v>430.84</v>
      </c>
      <c r="G85" s="14">
        <v>106.62</v>
      </c>
      <c r="H85" s="14">
        <v>72.040000000000006</v>
      </c>
      <c r="I85" s="14">
        <v>206.3</v>
      </c>
      <c r="J85" s="14">
        <v>566.14</v>
      </c>
      <c r="K85" s="14">
        <v>0</v>
      </c>
      <c r="L85" s="14">
        <v>150.52000000000001</v>
      </c>
      <c r="M85" s="14">
        <v>51.16</v>
      </c>
      <c r="N85" s="14">
        <v>223.73</v>
      </c>
      <c r="O85" s="14">
        <v>55.29</v>
      </c>
      <c r="P85" s="14">
        <v>268.08999999999997</v>
      </c>
      <c r="Q85" s="14">
        <v>436.04</v>
      </c>
      <c r="R85" s="14">
        <v>45.99</v>
      </c>
      <c r="S85" s="14">
        <v>0</v>
      </c>
      <c r="T85" s="14">
        <v>-7.15</v>
      </c>
      <c r="U85" s="14">
        <v>0</v>
      </c>
      <c r="V85" s="14">
        <v>0</v>
      </c>
      <c r="W85" s="14">
        <v>0</v>
      </c>
    </row>
    <row r="86" spans="1:23" x14ac:dyDescent="0.2">
      <c r="A86" s="4" t="s">
        <v>300</v>
      </c>
      <c r="B86" s="19">
        <v>48821.07</v>
      </c>
      <c r="C86" s="19">
        <v>3447.47</v>
      </c>
      <c r="D86" s="19">
        <v>2342.73</v>
      </c>
      <c r="E86" s="19">
        <v>2911.48</v>
      </c>
      <c r="F86" s="19">
        <v>3260.06</v>
      </c>
      <c r="G86" s="19">
        <v>2685.73</v>
      </c>
      <c r="H86" s="19">
        <v>2044.33</v>
      </c>
      <c r="I86" s="19">
        <v>2778.73</v>
      </c>
      <c r="J86" s="19">
        <v>3481.02</v>
      </c>
      <c r="K86" s="19">
        <v>3233.1</v>
      </c>
      <c r="L86" s="19">
        <v>4618.38</v>
      </c>
      <c r="M86" s="19">
        <v>3034.37</v>
      </c>
      <c r="N86" s="19">
        <v>3157.08</v>
      </c>
      <c r="O86" s="19">
        <v>3141.01</v>
      </c>
      <c r="P86" s="19">
        <v>3184.9</v>
      </c>
      <c r="Q86" s="19">
        <v>3453.18</v>
      </c>
      <c r="R86" s="19">
        <v>2054.65</v>
      </c>
      <c r="S86" s="19">
        <v>0</v>
      </c>
      <c r="T86" s="19">
        <v>-7.15</v>
      </c>
      <c r="U86" s="19">
        <v>0</v>
      </c>
      <c r="V86" s="19">
        <v>0</v>
      </c>
      <c r="W86" s="19">
        <v>0</v>
      </c>
    </row>
    <row r="87" spans="1:23" x14ac:dyDescent="0.2">
      <c r="A87" s="4" t="s">
        <v>301</v>
      </c>
      <c r="B87" s="13" t="s">
        <v>72</v>
      </c>
      <c r="C87" s="13" t="s">
        <v>72</v>
      </c>
      <c r="D87" s="13" t="s">
        <v>72</v>
      </c>
      <c r="E87" s="13" t="s">
        <v>72</v>
      </c>
      <c r="F87" s="13" t="s">
        <v>72</v>
      </c>
      <c r="G87" s="13" t="s">
        <v>72</v>
      </c>
      <c r="H87" s="13" t="s">
        <v>72</v>
      </c>
      <c r="I87" s="13" t="s">
        <v>72</v>
      </c>
      <c r="J87" s="13" t="s">
        <v>72</v>
      </c>
      <c r="K87" s="13" t="s">
        <v>72</v>
      </c>
      <c r="L87" s="13" t="s">
        <v>72</v>
      </c>
      <c r="M87" s="13" t="s">
        <v>72</v>
      </c>
      <c r="N87" s="13" t="s">
        <v>72</v>
      </c>
      <c r="O87" s="13" t="s">
        <v>72</v>
      </c>
      <c r="P87" s="13" t="s">
        <v>72</v>
      </c>
      <c r="Q87" s="13" t="s">
        <v>72</v>
      </c>
      <c r="R87" s="13" t="s">
        <v>72</v>
      </c>
      <c r="S87" s="13" t="s">
        <v>72</v>
      </c>
      <c r="T87" s="13" t="s">
        <v>72</v>
      </c>
      <c r="U87" s="13" t="s">
        <v>72</v>
      </c>
      <c r="V87" s="13" t="s">
        <v>72</v>
      </c>
      <c r="W87" s="13" t="s">
        <v>72</v>
      </c>
    </row>
    <row r="88" spans="1:23" x14ac:dyDescent="0.2">
      <c r="A88" s="4" t="s">
        <v>73</v>
      </c>
      <c r="B88" s="14">
        <v>32789.86</v>
      </c>
      <c r="C88" s="14">
        <v>2432.86</v>
      </c>
      <c r="D88" s="14">
        <v>0</v>
      </c>
      <c r="E88" s="14">
        <v>2925.8</v>
      </c>
      <c r="F88" s="14">
        <v>0</v>
      </c>
      <c r="G88" s="14">
        <v>218.04</v>
      </c>
      <c r="H88" s="14">
        <v>0</v>
      </c>
      <c r="I88" s="14">
        <v>0</v>
      </c>
      <c r="J88" s="14">
        <v>2341.34</v>
      </c>
      <c r="K88" s="14">
        <v>1258.93</v>
      </c>
      <c r="L88" s="14">
        <v>1748.04</v>
      </c>
      <c r="M88" s="14">
        <v>3466.58</v>
      </c>
      <c r="N88" s="14">
        <v>7954.55</v>
      </c>
      <c r="O88" s="14">
        <v>2105.36</v>
      </c>
      <c r="P88" s="14">
        <v>5866.08</v>
      </c>
      <c r="Q88" s="14">
        <v>0</v>
      </c>
      <c r="R88" s="14">
        <v>2472.2800000000002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</row>
    <row r="89" spans="1:23" x14ac:dyDescent="0.2">
      <c r="A89" s="4" t="s">
        <v>74</v>
      </c>
      <c r="B89" s="14">
        <v>1073.69</v>
      </c>
      <c r="C89" s="14">
        <v>39</v>
      </c>
      <c r="D89" s="14">
        <v>0</v>
      </c>
      <c r="E89" s="14">
        <v>188.17</v>
      </c>
      <c r="F89" s="14">
        <v>0</v>
      </c>
      <c r="G89" s="14">
        <v>0</v>
      </c>
      <c r="H89" s="14">
        <v>0</v>
      </c>
      <c r="I89" s="14">
        <v>0</v>
      </c>
      <c r="J89" s="14">
        <v>4.0199999999999996</v>
      </c>
      <c r="K89" s="14">
        <v>0</v>
      </c>
      <c r="L89" s="14">
        <v>0</v>
      </c>
      <c r="M89" s="14">
        <v>84.78</v>
      </c>
      <c r="N89" s="14">
        <v>78.760000000000005</v>
      </c>
      <c r="O89" s="14">
        <v>16.88</v>
      </c>
      <c r="P89" s="14">
        <v>25.32</v>
      </c>
      <c r="Q89" s="14">
        <v>0</v>
      </c>
      <c r="R89" s="14">
        <v>636.76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</row>
    <row r="90" spans="1:23" x14ac:dyDescent="0.2">
      <c r="A90" s="4" t="s">
        <v>76</v>
      </c>
      <c r="B90" s="14">
        <v>17.86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17.86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</row>
    <row r="91" spans="1:23" x14ac:dyDescent="0.2">
      <c r="A91" s="4" t="s">
        <v>77</v>
      </c>
      <c r="B91" s="14">
        <v>1089.72</v>
      </c>
      <c r="C91" s="14">
        <v>144.12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26.71</v>
      </c>
      <c r="K91" s="14">
        <v>0</v>
      </c>
      <c r="L91" s="14">
        <v>245.35</v>
      </c>
      <c r="M91" s="14">
        <v>83.75</v>
      </c>
      <c r="N91" s="14">
        <v>359.33</v>
      </c>
      <c r="O91" s="14">
        <v>37.729999999999997</v>
      </c>
      <c r="P91" s="14">
        <v>103.11</v>
      </c>
      <c r="Q91" s="14">
        <v>0</v>
      </c>
      <c r="R91" s="14">
        <v>92.3</v>
      </c>
      <c r="S91" s="14">
        <v>0</v>
      </c>
      <c r="T91" s="14">
        <v>0</v>
      </c>
      <c r="U91" s="14">
        <v>0</v>
      </c>
      <c r="V91" s="14">
        <v>-2.68</v>
      </c>
      <c r="W91" s="14">
        <v>0</v>
      </c>
    </row>
    <row r="92" spans="1:23" x14ac:dyDescent="0.2">
      <c r="A92" s="4" t="s">
        <v>302</v>
      </c>
      <c r="B92" s="19">
        <v>34971.129999999997</v>
      </c>
      <c r="C92" s="19">
        <v>2615.98</v>
      </c>
      <c r="D92" s="19">
        <v>0</v>
      </c>
      <c r="E92" s="19">
        <v>3113.97</v>
      </c>
      <c r="F92" s="19">
        <v>0</v>
      </c>
      <c r="G92" s="19">
        <v>218.04</v>
      </c>
      <c r="H92" s="19">
        <v>0</v>
      </c>
      <c r="I92" s="19">
        <v>0</v>
      </c>
      <c r="J92" s="19">
        <v>2372.0700000000002</v>
      </c>
      <c r="K92" s="19">
        <v>1258.93</v>
      </c>
      <c r="L92" s="19">
        <v>1993.39</v>
      </c>
      <c r="M92" s="19">
        <v>3635.11</v>
      </c>
      <c r="N92" s="19">
        <v>8410.5</v>
      </c>
      <c r="O92" s="19">
        <v>2159.9699999999998</v>
      </c>
      <c r="P92" s="19">
        <v>5994.51</v>
      </c>
      <c r="Q92" s="19">
        <v>0</v>
      </c>
      <c r="R92" s="19">
        <v>3201.34</v>
      </c>
      <c r="S92" s="19">
        <v>0</v>
      </c>
      <c r="T92" s="19">
        <v>0</v>
      </c>
      <c r="U92" s="19">
        <v>0</v>
      </c>
      <c r="V92" s="19">
        <v>-2.68</v>
      </c>
      <c r="W92" s="19">
        <v>0</v>
      </c>
    </row>
    <row r="93" spans="1:23" x14ac:dyDescent="0.2">
      <c r="A93" s="4" t="s">
        <v>303</v>
      </c>
      <c r="B93" s="13" t="s">
        <v>72</v>
      </c>
      <c r="C93" s="13" t="s">
        <v>72</v>
      </c>
      <c r="D93" s="13" t="s">
        <v>72</v>
      </c>
      <c r="E93" s="13" t="s">
        <v>72</v>
      </c>
      <c r="F93" s="13" t="s">
        <v>72</v>
      </c>
      <c r="G93" s="13" t="s">
        <v>72</v>
      </c>
      <c r="H93" s="13" t="s">
        <v>72</v>
      </c>
      <c r="I93" s="13" t="s">
        <v>72</v>
      </c>
      <c r="J93" s="13" t="s">
        <v>72</v>
      </c>
      <c r="K93" s="13" t="s">
        <v>72</v>
      </c>
      <c r="L93" s="13" t="s">
        <v>72</v>
      </c>
      <c r="M93" s="13" t="s">
        <v>72</v>
      </c>
      <c r="N93" s="13" t="s">
        <v>72</v>
      </c>
      <c r="O93" s="13" t="s">
        <v>72</v>
      </c>
      <c r="P93" s="13" t="s">
        <v>72</v>
      </c>
      <c r="Q93" s="13" t="s">
        <v>72</v>
      </c>
      <c r="R93" s="13" t="s">
        <v>72</v>
      </c>
      <c r="S93" s="13" t="s">
        <v>72</v>
      </c>
      <c r="T93" s="13" t="s">
        <v>72</v>
      </c>
      <c r="U93" s="13" t="s">
        <v>72</v>
      </c>
      <c r="V93" s="13" t="s">
        <v>72</v>
      </c>
      <c r="W93" s="13" t="s">
        <v>72</v>
      </c>
    </row>
    <row r="94" spans="1:23" x14ac:dyDescent="0.2">
      <c r="A94" s="4" t="s">
        <v>73</v>
      </c>
      <c r="B94" s="14">
        <v>90200.88</v>
      </c>
      <c r="C94" s="14">
        <v>8593.7099999999991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300.54000000000002</v>
      </c>
      <c r="L94" s="14">
        <v>0</v>
      </c>
      <c r="M94" s="14">
        <v>0</v>
      </c>
      <c r="N94" s="14">
        <v>13142.11</v>
      </c>
      <c r="O94" s="14">
        <v>0</v>
      </c>
      <c r="P94" s="14">
        <v>0</v>
      </c>
      <c r="Q94" s="14">
        <v>0</v>
      </c>
      <c r="R94" s="14">
        <v>0</v>
      </c>
      <c r="S94" s="14">
        <v>23262.71</v>
      </c>
      <c r="T94" s="14">
        <v>20032.05</v>
      </c>
      <c r="U94" s="14">
        <v>6460.18</v>
      </c>
      <c r="V94" s="14">
        <v>10119.51</v>
      </c>
      <c r="W94" s="14">
        <v>8290.07</v>
      </c>
    </row>
    <row r="95" spans="1:23" x14ac:dyDescent="0.2">
      <c r="A95" s="4" t="s">
        <v>74</v>
      </c>
      <c r="B95" s="14">
        <v>3153.73</v>
      </c>
      <c r="C95" s="14">
        <v>1572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187.67</v>
      </c>
      <c r="O95" s="14">
        <v>0</v>
      </c>
      <c r="P95" s="14">
        <v>0</v>
      </c>
      <c r="Q95" s="14">
        <v>0</v>
      </c>
      <c r="R95" s="14">
        <v>0</v>
      </c>
      <c r="S95" s="14">
        <v>84.17</v>
      </c>
      <c r="T95" s="14">
        <v>974.39</v>
      </c>
      <c r="U95" s="14">
        <v>39.78</v>
      </c>
      <c r="V95" s="14">
        <v>102.46</v>
      </c>
      <c r="W95" s="14">
        <v>193.26</v>
      </c>
    </row>
    <row r="96" spans="1:23" x14ac:dyDescent="0.2">
      <c r="A96" s="4" t="s">
        <v>76</v>
      </c>
      <c r="B96" s="14">
        <v>8.93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8.93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</row>
    <row r="97" spans="1:23" x14ac:dyDescent="0.2">
      <c r="A97" s="4" t="s">
        <v>77</v>
      </c>
      <c r="B97" s="14">
        <v>3631.06</v>
      </c>
      <c r="C97" s="14">
        <v>189.55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658.55</v>
      </c>
      <c r="O97" s="14">
        <v>0</v>
      </c>
      <c r="P97" s="14">
        <v>0</v>
      </c>
      <c r="Q97" s="14">
        <v>0</v>
      </c>
      <c r="R97" s="14">
        <v>0</v>
      </c>
      <c r="S97" s="14">
        <v>558.77</v>
      </c>
      <c r="T97" s="14">
        <v>663.12</v>
      </c>
      <c r="U97" s="14">
        <v>695.06</v>
      </c>
      <c r="V97" s="14">
        <v>591.91999999999996</v>
      </c>
      <c r="W97" s="14">
        <v>274.08999999999997</v>
      </c>
    </row>
    <row r="98" spans="1:23" x14ac:dyDescent="0.2">
      <c r="A98" s="4" t="s">
        <v>304</v>
      </c>
      <c r="B98" s="19">
        <v>96994.6</v>
      </c>
      <c r="C98" s="19">
        <v>10355.26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300.54000000000002</v>
      </c>
      <c r="L98" s="19">
        <v>0</v>
      </c>
      <c r="M98" s="19">
        <v>0</v>
      </c>
      <c r="N98" s="19">
        <v>13997.26</v>
      </c>
      <c r="O98" s="19">
        <v>0</v>
      </c>
      <c r="P98" s="19">
        <v>0</v>
      </c>
      <c r="Q98" s="19">
        <v>0</v>
      </c>
      <c r="R98" s="19">
        <v>0</v>
      </c>
      <c r="S98" s="19">
        <v>23905.65</v>
      </c>
      <c r="T98" s="19">
        <v>21669.56</v>
      </c>
      <c r="U98" s="19">
        <v>7195.02</v>
      </c>
      <c r="V98" s="19">
        <v>10813.89</v>
      </c>
      <c r="W98" s="19">
        <v>8757.42</v>
      </c>
    </row>
    <row r="99" spans="1:23" x14ac:dyDescent="0.2">
      <c r="A99" s="4" t="s">
        <v>305</v>
      </c>
      <c r="B99" s="13" t="s">
        <v>72</v>
      </c>
      <c r="C99" s="13" t="s">
        <v>72</v>
      </c>
      <c r="D99" s="13" t="s">
        <v>72</v>
      </c>
      <c r="E99" s="13" t="s">
        <v>72</v>
      </c>
      <c r="F99" s="13" t="s">
        <v>72</v>
      </c>
      <c r="G99" s="13" t="s">
        <v>72</v>
      </c>
      <c r="H99" s="13" t="s">
        <v>72</v>
      </c>
      <c r="I99" s="13" t="s">
        <v>72</v>
      </c>
      <c r="J99" s="13" t="s">
        <v>72</v>
      </c>
      <c r="K99" s="13" t="s">
        <v>72</v>
      </c>
      <c r="L99" s="13" t="s">
        <v>72</v>
      </c>
      <c r="M99" s="13" t="s">
        <v>72</v>
      </c>
      <c r="N99" s="13" t="s">
        <v>72</v>
      </c>
      <c r="O99" s="13" t="s">
        <v>72</v>
      </c>
      <c r="P99" s="13" t="s">
        <v>72</v>
      </c>
      <c r="Q99" s="13" t="s">
        <v>72</v>
      </c>
      <c r="R99" s="13" t="s">
        <v>72</v>
      </c>
      <c r="S99" s="13" t="s">
        <v>72</v>
      </c>
      <c r="T99" s="13" t="s">
        <v>72</v>
      </c>
      <c r="U99" s="13" t="s">
        <v>72</v>
      </c>
      <c r="V99" s="13" t="s">
        <v>72</v>
      </c>
      <c r="W99" s="13" t="s">
        <v>72</v>
      </c>
    </row>
    <row r="100" spans="1:23" x14ac:dyDescent="0.2">
      <c r="A100" s="4" t="s">
        <v>73</v>
      </c>
      <c r="B100" s="14">
        <v>28756.58</v>
      </c>
      <c r="C100" s="14">
        <v>0</v>
      </c>
      <c r="D100" s="14">
        <v>3480.8</v>
      </c>
      <c r="E100" s="14">
        <v>0</v>
      </c>
      <c r="F100" s="14">
        <v>2772.22</v>
      </c>
      <c r="G100" s="14">
        <v>0</v>
      </c>
      <c r="H100" s="14">
        <v>0</v>
      </c>
      <c r="I100" s="14">
        <v>0</v>
      </c>
      <c r="J100" s="14">
        <v>0</v>
      </c>
      <c r="K100" s="14">
        <v>487.37</v>
      </c>
      <c r="L100" s="14">
        <v>0</v>
      </c>
      <c r="M100" s="14">
        <v>3428.57</v>
      </c>
      <c r="N100" s="14">
        <v>4966.32</v>
      </c>
      <c r="O100" s="14">
        <v>2888.57</v>
      </c>
      <c r="P100" s="14">
        <v>3662.16</v>
      </c>
      <c r="Q100" s="14">
        <v>3085.72</v>
      </c>
      <c r="R100" s="14">
        <v>2588.25</v>
      </c>
      <c r="S100" s="14">
        <v>0</v>
      </c>
      <c r="T100" s="14">
        <v>504.64</v>
      </c>
      <c r="U100" s="14">
        <v>213.48</v>
      </c>
      <c r="V100" s="14">
        <v>678.48</v>
      </c>
      <c r="W100" s="14">
        <v>0</v>
      </c>
    </row>
    <row r="101" spans="1:23" x14ac:dyDescent="0.2">
      <c r="A101" s="4" t="s">
        <v>74</v>
      </c>
      <c r="B101" s="14">
        <v>2569.33</v>
      </c>
      <c r="C101" s="14">
        <v>0</v>
      </c>
      <c r="D101" s="14">
        <v>233.71</v>
      </c>
      <c r="E101" s="14">
        <v>0</v>
      </c>
      <c r="F101" s="14">
        <v>502.72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743.04</v>
      </c>
      <c r="N101" s="14">
        <v>0</v>
      </c>
      <c r="O101" s="14">
        <v>532.5</v>
      </c>
      <c r="P101" s="14">
        <v>0</v>
      </c>
      <c r="Q101" s="14">
        <v>557.36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</row>
    <row r="102" spans="1:23" x14ac:dyDescent="0.2">
      <c r="A102" s="4" t="s">
        <v>75</v>
      </c>
      <c r="B102" s="14">
        <v>651.61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323.74</v>
      </c>
      <c r="O102" s="14">
        <v>0</v>
      </c>
      <c r="P102" s="14">
        <v>327.87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</row>
    <row r="103" spans="1:23" x14ac:dyDescent="0.2">
      <c r="A103" s="4" t="s">
        <v>77</v>
      </c>
      <c r="B103" s="14">
        <v>973.5</v>
      </c>
      <c r="C103" s="14">
        <v>0</v>
      </c>
      <c r="D103" s="14">
        <v>-183.57</v>
      </c>
      <c r="E103" s="14">
        <v>0</v>
      </c>
      <c r="F103" s="14">
        <v>137.69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218.6</v>
      </c>
      <c r="N103" s="14">
        <v>-177.85</v>
      </c>
      <c r="O103" s="14">
        <v>327.38</v>
      </c>
      <c r="P103" s="14">
        <v>397.87</v>
      </c>
      <c r="Q103" s="14">
        <v>277.70999999999998</v>
      </c>
      <c r="R103" s="14">
        <v>104.61</v>
      </c>
      <c r="S103" s="14">
        <v>0</v>
      </c>
      <c r="T103" s="14">
        <v>10.16</v>
      </c>
      <c r="U103" s="14">
        <v>-190.42</v>
      </c>
      <c r="V103" s="14">
        <v>51.32</v>
      </c>
      <c r="W103" s="14">
        <v>0</v>
      </c>
    </row>
    <row r="104" spans="1:23" x14ac:dyDescent="0.2">
      <c r="A104" s="4" t="s">
        <v>306</v>
      </c>
      <c r="B104" s="19">
        <v>32951.019999999997</v>
      </c>
      <c r="C104" s="19">
        <v>0</v>
      </c>
      <c r="D104" s="19">
        <v>3530.94</v>
      </c>
      <c r="E104" s="19">
        <v>0</v>
      </c>
      <c r="F104" s="19">
        <v>3412.63</v>
      </c>
      <c r="G104" s="19">
        <v>0</v>
      </c>
      <c r="H104" s="19">
        <v>0</v>
      </c>
      <c r="I104" s="19">
        <v>0</v>
      </c>
      <c r="J104" s="19">
        <v>0</v>
      </c>
      <c r="K104" s="19">
        <v>487.37</v>
      </c>
      <c r="L104" s="19">
        <v>0</v>
      </c>
      <c r="M104" s="19">
        <v>4390.21</v>
      </c>
      <c r="N104" s="19">
        <v>5112.21</v>
      </c>
      <c r="O104" s="19">
        <v>3748.45</v>
      </c>
      <c r="P104" s="19">
        <v>4387.8999999999996</v>
      </c>
      <c r="Q104" s="19">
        <v>3920.79</v>
      </c>
      <c r="R104" s="19">
        <v>2692.86</v>
      </c>
      <c r="S104" s="19">
        <v>0</v>
      </c>
      <c r="T104" s="19">
        <v>514.79999999999995</v>
      </c>
      <c r="U104" s="19">
        <v>23.06</v>
      </c>
      <c r="V104" s="19">
        <v>729.8</v>
      </c>
      <c r="W104" s="19">
        <v>0</v>
      </c>
    </row>
    <row r="105" spans="1:23" x14ac:dyDescent="0.2">
      <c r="A105" s="4" t="s">
        <v>307</v>
      </c>
      <c r="B105" s="13" t="s">
        <v>72</v>
      </c>
      <c r="C105" s="13" t="s">
        <v>72</v>
      </c>
      <c r="D105" s="13" t="s">
        <v>72</v>
      </c>
      <c r="E105" s="13" t="s">
        <v>72</v>
      </c>
      <c r="F105" s="13" t="s">
        <v>72</v>
      </c>
      <c r="G105" s="13" t="s">
        <v>72</v>
      </c>
      <c r="H105" s="13" t="s">
        <v>72</v>
      </c>
      <c r="I105" s="13" t="s">
        <v>72</v>
      </c>
      <c r="J105" s="13" t="s">
        <v>72</v>
      </c>
      <c r="K105" s="13" t="s">
        <v>72</v>
      </c>
      <c r="L105" s="13" t="s">
        <v>72</v>
      </c>
      <c r="M105" s="13" t="s">
        <v>72</v>
      </c>
      <c r="N105" s="13" t="s">
        <v>72</v>
      </c>
      <c r="O105" s="13" t="s">
        <v>72</v>
      </c>
      <c r="P105" s="13" t="s">
        <v>72</v>
      </c>
      <c r="Q105" s="13" t="s">
        <v>72</v>
      </c>
      <c r="R105" s="13" t="s">
        <v>72</v>
      </c>
      <c r="S105" s="13" t="s">
        <v>72</v>
      </c>
      <c r="T105" s="13" t="s">
        <v>72</v>
      </c>
      <c r="U105" s="13" t="s">
        <v>72</v>
      </c>
      <c r="V105" s="13" t="s">
        <v>72</v>
      </c>
      <c r="W105" s="13" t="s">
        <v>72</v>
      </c>
    </row>
    <row r="106" spans="1:23" x14ac:dyDescent="0.2">
      <c r="A106" s="4" t="s">
        <v>73</v>
      </c>
      <c r="B106" s="14">
        <v>34768.68</v>
      </c>
      <c r="C106" s="14">
        <v>2244.2800000000002</v>
      </c>
      <c r="D106" s="14">
        <v>2761.1</v>
      </c>
      <c r="E106" s="14">
        <v>2642.57</v>
      </c>
      <c r="F106" s="14">
        <v>2625.24</v>
      </c>
      <c r="G106" s="14">
        <v>2854.78</v>
      </c>
      <c r="H106" s="14">
        <v>2400.9499999999998</v>
      </c>
      <c r="I106" s="14">
        <v>2828.57</v>
      </c>
      <c r="J106" s="14">
        <v>0</v>
      </c>
      <c r="K106" s="14">
        <v>0</v>
      </c>
      <c r="L106" s="14">
        <v>0</v>
      </c>
      <c r="M106" s="14">
        <v>0</v>
      </c>
      <c r="N106" s="14">
        <v>3029.14</v>
      </c>
      <c r="O106" s="14">
        <v>0</v>
      </c>
      <c r="P106" s="14">
        <v>4160.3500000000004</v>
      </c>
      <c r="Q106" s="14">
        <v>2020.48</v>
      </c>
      <c r="R106" s="14">
        <v>4628.57</v>
      </c>
      <c r="S106" s="14">
        <v>1343.72</v>
      </c>
      <c r="T106" s="14">
        <v>0</v>
      </c>
      <c r="U106" s="14">
        <v>1228.93</v>
      </c>
      <c r="V106" s="14">
        <v>0</v>
      </c>
      <c r="W106" s="14">
        <v>0</v>
      </c>
    </row>
    <row r="107" spans="1:23" x14ac:dyDescent="0.2">
      <c r="A107" s="4" t="s">
        <v>74</v>
      </c>
      <c r="B107" s="14">
        <v>1516.22</v>
      </c>
      <c r="C107" s="14">
        <v>804</v>
      </c>
      <c r="D107" s="14">
        <v>9.73</v>
      </c>
      <c r="E107" s="14">
        <v>209.58</v>
      </c>
      <c r="F107" s="14">
        <v>11.01</v>
      </c>
      <c r="G107" s="14">
        <v>249.99</v>
      </c>
      <c r="H107" s="14">
        <v>0</v>
      </c>
      <c r="I107" s="14">
        <v>148.02000000000001</v>
      </c>
      <c r="J107" s="14">
        <v>0</v>
      </c>
      <c r="K107" s="14">
        <v>0</v>
      </c>
      <c r="L107" s="14">
        <v>0</v>
      </c>
      <c r="M107" s="14">
        <v>0</v>
      </c>
      <c r="N107" s="14">
        <v>83.89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</row>
    <row r="108" spans="1:23" x14ac:dyDescent="0.2">
      <c r="A108" s="4" t="s">
        <v>77</v>
      </c>
      <c r="B108" s="14">
        <v>3724.7</v>
      </c>
      <c r="C108" s="14">
        <v>663.86</v>
      </c>
      <c r="D108" s="14">
        <v>196.99</v>
      </c>
      <c r="E108" s="14">
        <v>205.16</v>
      </c>
      <c r="F108" s="14">
        <v>533.15</v>
      </c>
      <c r="G108" s="14">
        <v>220.28</v>
      </c>
      <c r="H108" s="14">
        <v>420.78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149.91999999999999</v>
      </c>
      <c r="O108" s="14">
        <v>0</v>
      </c>
      <c r="P108" s="14">
        <v>298.7</v>
      </c>
      <c r="Q108" s="14">
        <v>415.93</v>
      </c>
      <c r="R108" s="14">
        <v>332.3</v>
      </c>
      <c r="S108" s="14">
        <v>283.86</v>
      </c>
      <c r="T108" s="14">
        <v>0</v>
      </c>
      <c r="U108" s="14">
        <v>3.77</v>
      </c>
      <c r="V108" s="14">
        <v>0</v>
      </c>
      <c r="W108" s="14">
        <v>0</v>
      </c>
    </row>
    <row r="109" spans="1:23" x14ac:dyDescent="0.2">
      <c r="A109" s="4" t="s">
        <v>308</v>
      </c>
      <c r="B109" s="19">
        <v>40009.599999999999</v>
      </c>
      <c r="C109" s="19">
        <v>3712.14</v>
      </c>
      <c r="D109" s="19">
        <v>2967.82</v>
      </c>
      <c r="E109" s="19">
        <v>3057.31</v>
      </c>
      <c r="F109" s="19">
        <v>3169.4</v>
      </c>
      <c r="G109" s="19">
        <v>3325.05</v>
      </c>
      <c r="H109" s="19">
        <v>2821.73</v>
      </c>
      <c r="I109" s="19">
        <v>2976.59</v>
      </c>
      <c r="J109" s="19">
        <v>0</v>
      </c>
      <c r="K109" s="19">
        <v>0</v>
      </c>
      <c r="L109" s="19">
        <v>0</v>
      </c>
      <c r="M109" s="19">
        <v>0</v>
      </c>
      <c r="N109" s="19">
        <v>3262.95</v>
      </c>
      <c r="O109" s="19">
        <v>0</v>
      </c>
      <c r="P109" s="19">
        <v>4459.05</v>
      </c>
      <c r="Q109" s="19">
        <v>2436.41</v>
      </c>
      <c r="R109" s="19">
        <v>4960.87</v>
      </c>
      <c r="S109" s="19">
        <v>1627.58</v>
      </c>
      <c r="T109" s="19">
        <v>0</v>
      </c>
      <c r="U109" s="19">
        <v>1232.7</v>
      </c>
      <c r="V109" s="19">
        <v>0</v>
      </c>
      <c r="W109" s="19">
        <v>0</v>
      </c>
    </row>
    <row r="110" spans="1:23" x14ac:dyDescent="0.2">
      <c r="A110" s="4" t="s">
        <v>309</v>
      </c>
      <c r="B110" s="13" t="s">
        <v>72</v>
      </c>
      <c r="C110" s="13" t="s">
        <v>72</v>
      </c>
      <c r="D110" s="13" t="s">
        <v>72</v>
      </c>
      <c r="E110" s="13" t="s">
        <v>72</v>
      </c>
      <c r="F110" s="13" t="s">
        <v>72</v>
      </c>
      <c r="G110" s="13" t="s">
        <v>72</v>
      </c>
      <c r="H110" s="13" t="s">
        <v>72</v>
      </c>
      <c r="I110" s="13" t="s">
        <v>72</v>
      </c>
      <c r="J110" s="13" t="s">
        <v>72</v>
      </c>
      <c r="K110" s="13" t="s">
        <v>72</v>
      </c>
      <c r="L110" s="13" t="s">
        <v>72</v>
      </c>
      <c r="M110" s="13" t="s">
        <v>72</v>
      </c>
      <c r="N110" s="13" t="s">
        <v>72</v>
      </c>
      <c r="O110" s="13" t="s">
        <v>72</v>
      </c>
      <c r="P110" s="13" t="s">
        <v>72</v>
      </c>
      <c r="Q110" s="13" t="s">
        <v>72</v>
      </c>
      <c r="R110" s="13" t="s">
        <v>72</v>
      </c>
      <c r="S110" s="13" t="s">
        <v>72</v>
      </c>
      <c r="T110" s="13" t="s">
        <v>72</v>
      </c>
      <c r="U110" s="13" t="s">
        <v>72</v>
      </c>
      <c r="V110" s="13" t="s">
        <v>72</v>
      </c>
      <c r="W110" s="13" t="s">
        <v>72</v>
      </c>
    </row>
    <row r="111" spans="1:23" x14ac:dyDescent="0.2">
      <c r="A111" s="4" t="s">
        <v>73</v>
      </c>
      <c r="B111" s="14">
        <v>171287.02</v>
      </c>
      <c r="C111" s="14">
        <v>11066.51</v>
      </c>
      <c r="D111" s="14">
        <v>11490</v>
      </c>
      <c r="E111" s="14">
        <v>9799.85</v>
      </c>
      <c r="F111" s="14">
        <v>10569.37</v>
      </c>
      <c r="G111" s="14">
        <v>6556.34</v>
      </c>
      <c r="H111" s="14">
        <v>11014.03</v>
      </c>
      <c r="I111" s="14">
        <v>4254.1099999999997</v>
      </c>
      <c r="J111" s="14">
        <v>7802</v>
      </c>
      <c r="K111" s="14">
        <v>7140.93</v>
      </c>
      <c r="L111" s="14">
        <v>10047.82</v>
      </c>
      <c r="M111" s="14">
        <v>10911.85</v>
      </c>
      <c r="N111" s="14">
        <v>24201.83</v>
      </c>
      <c r="O111" s="14">
        <v>9785.4</v>
      </c>
      <c r="P111" s="14">
        <v>10230.67</v>
      </c>
      <c r="Q111" s="14">
        <v>11771.25</v>
      </c>
      <c r="R111" s="14">
        <v>13098.71</v>
      </c>
      <c r="S111" s="14">
        <v>0</v>
      </c>
      <c r="T111" s="14">
        <v>1120.73</v>
      </c>
      <c r="U111" s="14">
        <v>0</v>
      </c>
      <c r="V111" s="14">
        <v>0</v>
      </c>
      <c r="W111" s="14">
        <v>425.62</v>
      </c>
    </row>
    <row r="112" spans="1:23" x14ac:dyDescent="0.2">
      <c r="A112" s="4" t="s">
        <v>74</v>
      </c>
      <c r="B112" s="14">
        <v>3330.65</v>
      </c>
      <c r="C112" s="14">
        <v>181.21</v>
      </c>
      <c r="D112" s="14">
        <v>56.25</v>
      </c>
      <c r="E112" s="14">
        <v>12.46</v>
      </c>
      <c r="F112" s="14">
        <v>0</v>
      </c>
      <c r="G112" s="14">
        <v>45.41</v>
      </c>
      <c r="H112" s="14">
        <v>0</v>
      </c>
      <c r="I112" s="14">
        <v>97.23</v>
      </c>
      <c r="J112" s="14">
        <v>169.26</v>
      </c>
      <c r="K112" s="14">
        <v>651.96</v>
      </c>
      <c r="L112" s="14">
        <v>290.27999999999997</v>
      </c>
      <c r="M112" s="14">
        <v>1576.63</v>
      </c>
      <c r="N112" s="14">
        <v>128.57</v>
      </c>
      <c r="O112" s="14">
        <v>0</v>
      </c>
      <c r="P112" s="14">
        <v>20.94</v>
      </c>
      <c r="Q112" s="14">
        <v>100.45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</row>
    <row r="113" spans="1:23" x14ac:dyDescent="0.2">
      <c r="A113" s="4" t="s">
        <v>76</v>
      </c>
      <c r="B113" s="14">
        <v>30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30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</row>
    <row r="114" spans="1:23" x14ac:dyDescent="0.2">
      <c r="A114" s="4" t="s">
        <v>77</v>
      </c>
      <c r="B114" s="14">
        <v>6718.02</v>
      </c>
      <c r="C114" s="14">
        <v>317.02</v>
      </c>
      <c r="D114" s="14">
        <v>577.41999999999996</v>
      </c>
      <c r="E114" s="14">
        <v>335.32</v>
      </c>
      <c r="F114" s="14">
        <v>554.36</v>
      </c>
      <c r="G114" s="14">
        <v>220.27</v>
      </c>
      <c r="H114" s="14">
        <v>498.04</v>
      </c>
      <c r="I114" s="14">
        <v>34.840000000000003</v>
      </c>
      <c r="J114" s="14">
        <v>389.6</v>
      </c>
      <c r="K114" s="14">
        <v>145.18</v>
      </c>
      <c r="L114" s="14">
        <v>-16.48</v>
      </c>
      <c r="M114" s="14">
        <v>67.91</v>
      </c>
      <c r="N114" s="14">
        <v>1351.4</v>
      </c>
      <c r="O114" s="14">
        <v>405.79</v>
      </c>
      <c r="P114" s="14">
        <v>689.78</v>
      </c>
      <c r="Q114" s="14">
        <v>622.91</v>
      </c>
      <c r="R114" s="14">
        <v>696.55</v>
      </c>
      <c r="S114" s="14">
        <v>0</v>
      </c>
      <c r="T114" s="14">
        <v>-219.66</v>
      </c>
      <c r="U114" s="14">
        <v>0</v>
      </c>
      <c r="V114" s="14">
        <v>-28.28</v>
      </c>
      <c r="W114" s="14">
        <v>76.05</v>
      </c>
    </row>
    <row r="115" spans="1:23" x14ac:dyDescent="0.2">
      <c r="A115" s="4" t="s">
        <v>310</v>
      </c>
      <c r="B115" s="19">
        <v>181365.69</v>
      </c>
      <c r="C115" s="19">
        <v>11564.74</v>
      </c>
      <c r="D115" s="19">
        <v>12123.67</v>
      </c>
      <c r="E115" s="19">
        <v>10147.629999999999</v>
      </c>
      <c r="F115" s="19">
        <v>11123.73</v>
      </c>
      <c r="G115" s="19">
        <v>6822.02</v>
      </c>
      <c r="H115" s="19">
        <v>11512.07</v>
      </c>
      <c r="I115" s="19">
        <v>4386.18</v>
      </c>
      <c r="J115" s="19">
        <v>8360.86</v>
      </c>
      <c r="K115" s="19">
        <v>7938.07</v>
      </c>
      <c r="L115" s="19">
        <v>10321.620000000001</v>
      </c>
      <c r="M115" s="19">
        <v>12556.39</v>
      </c>
      <c r="N115" s="19">
        <v>25681.8</v>
      </c>
      <c r="O115" s="19">
        <v>10221.19</v>
      </c>
      <c r="P115" s="19">
        <v>10941.39</v>
      </c>
      <c r="Q115" s="19">
        <v>12494.61</v>
      </c>
      <c r="R115" s="19">
        <v>13795.26</v>
      </c>
      <c r="S115" s="19">
        <v>0</v>
      </c>
      <c r="T115" s="19">
        <v>901.07</v>
      </c>
      <c r="U115" s="19">
        <v>0</v>
      </c>
      <c r="V115" s="19">
        <v>-28.28</v>
      </c>
      <c r="W115" s="19">
        <v>501.67</v>
      </c>
    </row>
    <row r="116" spans="1:23" x14ac:dyDescent="0.2">
      <c r="A116" s="4" t="s">
        <v>311</v>
      </c>
      <c r="B116" s="13" t="s">
        <v>72</v>
      </c>
      <c r="C116" s="13" t="s">
        <v>72</v>
      </c>
      <c r="D116" s="13" t="s">
        <v>72</v>
      </c>
      <c r="E116" s="13" t="s">
        <v>72</v>
      </c>
      <c r="F116" s="13" t="s">
        <v>72</v>
      </c>
      <c r="G116" s="13" t="s">
        <v>72</v>
      </c>
      <c r="H116" s="13" t="s">
        <v>72</v>
      </c>
      <c r="I116" s="13" t="s">
        <v>72</v>
      </c>
      <c r="J116" s="13" t="s">
        <v>72</v>
      </c>
      <c r="K116" s="13" t="s">
        <v>72</v>
      </c>
      <c r="L116" s="13" t="s">
        <v>72</v>
      </c>
      <c r="M116" s="13" t="s">
        <v>72</v>
      </c>
      <c r="N116" s="13" t="s">
        <v>72</v>
      </c>
      <c r="O116" s="13" t="s">
        <v>72</v>
      </c>
      <c r="P116" s="13" t="s">
        <v>72</v>
      </c>
      <c r="Q116" s="13" t="s">
        <v>72</v>
      </c>
      <c r="R116" s="13" t="s">
        <v>72</v>
      </c>
      <c r="S116" s="13" t="s">
        <v>72</v>
      </c>
      <c r="T116" s="13" t="s">
        <v>72</v>
      </c>
      <c r="U116" s="13" t="s">
        <v>72</v>
      </c>
      <c r="V116" s="13" t="s">
        <v>72</v>
      </c>
      <c r="W116" s="13" t="s">
        <v>72</v>
      </c>
    </row>
    <row r="117" spans="1:23" x14ac:dyDescent="0.2">
      <c r="A117" s="4" t="s">
        <v>73</v>
      </c>
      <c r="B117" s="14">
        <v>66161.36</v>
      </c>
      <c r="C117" s="14">
        <v>2819.57</v>
      </c>
      <c r="D117" s="14">
        <v>3128.66</v>
      </c>
      <c r="E117" s="14">
        <v>3525.5</v>
      </c>
      <c r="F117" s="14">
        <v>3335.25</v>
      </c>
      <c r="G117" s="14">
        <v>2721.79</v>
      </c>
      <c r="H117" s="14">
        <v>3459.43</v>
      </c>
      <c r="I117" s="14">
        <v>3142.86</v>
      </c>
      <c r="J117" s="14">
        <v>1710.11</v>
      </c>
      <c r="K117" s="14">
        <v>3942.85</v>
      </c>
      <c r="L117" s="14">
        <v>4114.28</v>
      </c>
      <c r="M117" s="14">
        <v>3428.57</v>
      </c>
      <c r="N117" s="14">
        <v>3471.43</v>
      </c>
      <c r="O117" s="14">
        <v>4114.28</v>
      </c>
      <c r="P117" s="14">
        <v>4285.72</v>
      </c>
      <c r="Q117" s="14">
        <v>4407.68</v>
      </c>
      <c r="R117" s="14">
        <v>4285.72</v>
      </c>
      <c r="S117" s="14">
        <v>3435.58</v>
      </c>
      <c r="T117" s="14">
        <v>2717.08</v>
      </c>
      <c r="U117" s="14">
        <v>1469.89</v>
      </c>
      <c r="V117" s="14">
        <v>2645.11</v>
      </c>
      <c r="W117" s="14">
        <v>0</v>
      </c>
    </row>
    <row r="118" spans="1:23" x14ac:dyDescent="0.2">
      <c r="A118" s="4" t="s">
        <v>74</v>
      </c>
      <c r="B118" s="14">
        <v>2134.65</v>
      </c>
      <c r="C118" s="14">
        <v>41.94</v>
      </c>
      <c r="D118" s="14">
        <v>18.21</v>
      </c>
      <c r="E118" s="14">
        <v>334.13</v>
      </c>
      <c r="F118" s="14">
        <v>2.81</v>
      </c>
      <c r="G118" s="14">
        <v>30</v>
      </c>
      <c r="H118" s="14">
        <v>0</v>
      </c>
      <c r="I118" s="14">
        <v>235.71</v>
      </c>
      <c r="J118" s="14">
        <v>23.57</v>
      </c>
      <c r="K118" s="14">
        <v>34.5</v>
      </c>
      <c r="L118" s="14">
        <v>0</v>
      </c>
      <c r="M118" s="14">
        <v>710.36</v>
      </c>
      <c r="N118" s="14">
        <v>60.75</v>
      </c>
      <c r="O118" s="14">
        <v>0</v>
      </c>
      <c r="P118" s="14">
        <v>433.95</v>
      </c>
      <c r="Q118" s="14">
        <v>0</v>
      </c>
      <c r="R118" s="14">
        <v>0</v>
      </c>
      <c r="S118" s="14">
        <v>175.16</v>
      </c>
      <c r="T118" s="14">
        <v>7.04</v>
      </c>
      <c r="U118" s="14">
        <v>0</v>
      </c>
      <c r="V118" s="14">
        <v>26.52</v>
      </c>
      <c r="W118" s="14">
        <v>0</v>
      </c>
    </row>
    <row r="119" spans="1:23" x14ac:dyDescent="0.2">
      <c r="A119" s="4" t="s">
        <v>76</v>
      </c>
      <c r="B119" s="14">
        <v>117.86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117.86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</row>
    <row r="120" spans="1:23" x14ac:dyDescent="0.2">
      <c r="A120" s="4" t="s">
        <v>77</v>
      </c>
      <c r="B120" s="14">
        <v>3392.55</v>
      </c>
      <c r="C120" s="14">
        <v>187.11</v>
      </c>
      <c r="D120" s="14">
        <v>281.45999999999998</v>
      </c>
      <c r="E120" s="14">
        <v>424.2</v>
      </c>
      <c r="F120" s="14">
        <v>0</v>
      </c>
      <c r="G120" s="14">
        <v>-113.08</v>
      </c>
      <c r="H120" s="14">
        <v>78.12</v>
      </c>
      <c r="I120" s="14">
        <v>-3.38</v>
      </c>
      <c r="J120" s="14">
        <v>676.04</v>
      </c>
      <c r="K120" s="14">
        <v>141.31</v>
      </c>
      <c r="L120" s="14">
        <v>0</v>
      </c>
      <c r="M120" s="14">
        <v>61.44</v>
      </c>
      <c r="N120" s="14">
        <v>249.23</v>
      </c>
      <c r="O120" s="14">
        <v>295.38</v>
      </c>
      <c r="P120" s="14">
        <v>76.8</v>
      </c>
      <c r="Q120" s="14">
        <v>198.28</v>
      </c>
      <c r="R120" s="14">
        <v>153.85</v>
      </c>
      <c r="S120" s="14">
        <v>203.26</v>
      </c>
      <c r="T120" s="14">
        <v>361.15</v>
      </c>
      <c r="U120" s="14">
        <v>191.79</v>
      </c>
      <c r="V120" s="14">
        <v>-70.41</v>
      </c>
      <c r="W120" s="14">
        <v>0</v>
      </c>
    </row>
    <row r="121" spans="1:23" x14ac:dyDescent="0.2">
      <c r="A121" s="4" t="s">
        <v>312</v>
      </c>
      <c r="B121" s="19">
        <v>71806.42</v>
      </c>
      <c r="C121" s="19">
        <v>3048.62</v>
      </c>
      <c r="D121" s="19">
        <v>3428.33</v>
      </c>
      <c r="E121" s="19">
        <v>4283.83</v>
      </c>
      <c r="F121" s="19">
        <v>3338.06</v>
      </c>
      <c r="G121" s="19">
        <v>2638.71</v>
      </c>
      <c r="H121" s="19">
        <v>3537.55</v>
      </c>
      <c r="I121" s="19">
        <v>3375.19</v>
      </c>
      <c r="J121" s="19">
        <v>2409.7199999999998</v>
      </c>
      <c r="K121" s="19">
        <v>4118.66</v>
      </c>
      <c r="L121" s="19">
        <v>4114.28</v>
      </c>
      <c r="M121" s="19">
        <v>4200.37</v>
      </c>
      <c r="N121" s="19">
        <v>3781.41</v>
      </c>
      <c r="O121" s="19">
        <v>4527.5200000000004</v>
      </c>
      <c r="P121" s="19">
        <v>4796.47</v>
      </c>
      <c r="Q121" s="19">
        <v>4605.96</v>
      </c>
      <c r="R121" s="19">
        <v>4439.57</v>
      </c>
      <c r="S121" s="19">
        <v>3814</v>
      </c>
      <c r="T121" s="19">
        <v>3085.27</v>
      </c>
      <c r="U121" s="19">
        <v>1661.68</v>
      </c>
      <c r="V121" s="19">
        <v>2601.2199999999998</v>
      </c>
      <c r="W121" s="19">
        <v>0</v>
      </c>
    </row>
    <row r="122" spans="1:23" x14ac:dyDescent="0.2">
      <c r="A122" s="4" t="s">
        <v>313</v>
      </c>
      <c r="B122" s="13" t="s">
        <v>72</v>
      </c>
      <c r="C122" s="13" t="s">
        <v>72</v>
      </c>
      <c r="D122" s="13" t="s">
        <v>72</v>
      </c>
      <c r="E122" s="13" t="s">
        <v>72</v>
      </c>
      <c r="F122" s="13" t="s">
        <v>72</v>
      </c>
      <c r="G122" s="13" t="s">
        <v>72</v>
      </c>
      <c r="H122" s="13" t="s">
        <v>72</v>
      </c>
      <c r="I122" s="13" t="s">
        <v>72</v>
      </c>
      <c r="J122" s="13" t="s">
        <v>72</v>
      </c>
      <c r="K122" s="13" t="s">
        <v>72</v>
      </c>
      <c r="L122" s="13" t="s">
        <v>72</v>
      </c>
      <c r="M122" s="13" t="s">
        <v>72</v>
      </c>
      <c r="N122" s="13" t="s">
        <v>72</v>
      </c>
      <c r="O122" s="13" t="s">
        <v>72</v>
      </c>
      <c r="P122" s="13" t="s">
        <v>72</v>
      </c>
      <c r="Q122" s="13" t="s">
        <v>72</v>
      </c>
      <c r="R122" s="13" t="s">
        <v>72</v>
      </c>
      <c r="S122" s="13" t="s">
        <v>72</v>
      </c>
      <c r="T122" s="13" t="s">
        <v>72</v>
      </c>
      <c r="U122" s="13" t="s">
        <v>72</v>
      </c>
      <c r="V122" s="13" t="s">
        <v>72</v>
      </c>
      <c r="W122" s="13" t="s">
        <v>72</v>
      </c>
    </row>
    <row r="123" spans="1:23" x14ac:dyDescent="0.2">
      <c r="A123" s="4" t="s">
        <v>73</v>
      </c>
      <c r="B123" s="14">
        <v>12355.02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64.819999999999993</v>
      </c>
      <c r="K123" s="14">
        <v>0</v>
      </c>
      <c r="L123" s="14">
        <v>0</v>
      </c>
      <c r="M123" s="14">
        <v>0</v>
      </c>
      <c r="N123" s="14">
        <v>3034.38</v>
      </c>
      <c r="O123" s="14">
        <v>2794.83</v>
      </c>
      <c r="P123" s="14">
        <v>3139.41</v>
      </c>
      <c r="Q123" s="14">
        <v>2454.4299999999998</v>
      </c>
      <c r="R123" s="14">
        <v>0</v>
      </c>
      <c r="S123" s="14">
        <v>0</v>
      </c>
      <c r="T123" s="14">
        <v>0</v>
      </c>
      <c r="U123" s="14">
        <v>797.11</v>
      </c>
      <c r="V123" s="14">
        <v>70.040000000000006</v>
      </c>
      <c r="W123" s="14">
        <v>0</v>
      </c>
    </row>
    <row r="124" spans="1:23" x14ac:dyDescent="0.2">
      <c r="A124" s="4" t="s">
        <v>74</v>
      </c>
      <c r="B124" s="14">
        <v>333.88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116.96</v>
      </c>
      <c r="P124" s="14">
        <v>218.85</v>
      </c>
      <c r="Q124" s="14">
        <v>-1.9300000000000002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</row>
    <row r="125" spans="1:23" x14ac:dyDescent="0.2">
      <c r="A125" s="4" t="s">
        <v>77</v>
      </c>
      <c r="B125" s="14">
        <v>596.53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494.05</v>
      </c>
      <c r="O125" s="14">
        <v>44.11</v>
      </c>
      <c r="P125" s="14">
        <v>58.37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</row>
    <row r="126" spans="1:23" x14ac:dyDescent="0.2">
      <c r="A126" s="4" t="s">
        <v>314</v>
      </c>
      <c r="B126" s="19">
        <v>13285.43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64.819999999999993</v>
      </c>
      <c r="K126" s="19">
        <v>0</v>
      </c>
      <c r="L126" s="19">
        <v>0</v>
      </c>
      <c r="M126" s="19">
        <v>0</v>
      </c>
      <c r="N126" s="19">
        <v>3528.43</v>
      </c>
      <c r="O126" s="19">
        <v>2955.9</v>
      </c>
      <c r="P126" s="19">
        <v>3416.63</v>
      </c>
      <c r="Q126" s="19">
        <v>2452.5</v>
      </c>
      <c r="R126" s="19">
        <v>0</v>
      </c>
      <c r="S126" s="19">
        <v>0</v>
      </c>
      <c r="T126" s="19">
        <v>0</v>
      </c>
      <c r="U126" s="19">
        <v>797.11</v>
      </c>
      <c r="V126" s="19">
        <v>70.040000000000006</v>
      </c>
      <c r="W126" s="19">
        <v>0</v>
      </c>
    </row>
    <row r="127" spans="1:23" x14ac:dyDescent="0.2">
      <c r="A127" s="4" t="s">
        <v>315</v>
      </c>
      <c r="B127" s="13" t="s">
        <v>72</v>
      </c>
      <c r="C127" s="13" t="s">
        <v>72</v>
      </c>
      <c r="D127" s="13" t="s">
        <v>72</v>
      </c>
      <c r="E127" s="13" t="s">
        <v>72</v>
      </c>
      <c r="F127" s="13" t="s">
        <v>72</v>
      </c>
      <c r="G127" s="13" t="s">
        <v>72</v>
      </c>
      <c r="H127" s="13" t="s">
        <v>72</v>
      </c>
      <c r="I127" s="13" t="s">
        <v>72</v>
      </c>
      <c r="J127" s="13" t="s">
        <v>72</v>
      </c>
      <c r="K127" s="13" t="s">
        <v>72</v>
      </c>
      <c r="L127" s="13" t="s">
        <v>72</v>
      </c>
      <c r="M127" s="13" t="s">
        <v>72</v>
      </c>
      <c r="N127" s="13" t="s">
        <v>72</v>
      </c>
      <c r="O127" s="13" t="s">
        <v>72</v>
      </c>
      <c r="P127" s="13" t="s">
        <v>72</v>
      </c>
      <c r="Q127" s="13" t="s">
        <v>72</v>
      </c>
      <c r="R127" s="13" t="s">
        <v>72</v>
      </c>
      <c r="S127" s="13" t="s">
        <v>72</v>
      </c>
      <c r="T127" s="13" t="s">
        <v>72</v>
      </c>
      <c r="U127" s="13" t="s">
        <v>72</v>
      </c>
      <c r="V127" s="13" t="s">
        <v>72</v>
      </c>
      <c r="W127" s="13" t="s">
        <v>72</v>
      </c>
    </row>
    <row r="128" spans="1:23" x14ac:dyDescent="0.2">
      <c r="A128" s="4" t="s">
        <v>73</v>
      </c>
      <c r="B128" s="14">
        <v>57004.59</v>
      </c>
      <c r="C128" s="14">
        <v>2198.04</v>
      </c>
      <c r="D128" s="14">
        <v>2814.11</v>
      </c>
      <c r="E128" s="14">
        <v>2199</v>
      </c>
      <c r="F128" s="14">
        <v>2964.07</v>
      </c>
      <c r="G128" s="14">
        <v>3057.86</v>
      </c>
      <c r="H128" s="14">
        <v>2704.51</v>
      </c>
      <c r="I128" s="14">
        <v>3021.43</v>
      </c>
      <c r="J128" s="14">
        <v>2698.75</v>
      </c>
      <c r="K128" s="14">
        <v>2395.64</v>
      </c>
      <c r="L128" s="14">
        <v>3942.85</v>
      </c>
      <c r="M128" s="14">
        <v>3211.43</v>
      </c>
      <c r="N128" s="14">
        <v>3239.74</v>
      </c>
      <c r="O128" s="14">
        <v>3053.08</v>
      </c>
      <c r="P128" s="14">
        <v>3428.57</v>
      </c>
      <c r="Q128" s="14">
        <v>2820</v>
      </c>
      <c r="R128" s="14">
        <v>3455.71</v>
      </c>
      <c r="S128" s="14">
        <v>0</v>
      </c>
      <c r="T128" s="14">
        <v>3072.22</v>
      </c>
      <c r="U128" s="14">
        <v>1777.29</v>
      </c>
      <c r="V128" s="14">
        <v>2913.43</v>
      </c>
      <c r="W128" s="14">
        <v>2036.86</v>
      </c>
    </row>
    <row r="129" spans="1:23" x14ac:dyDescent="0.2">
      <c r="A129" s="4" t="s">
        <v>74</v>
      </c>
      <c r="B129" s="14">
        <v>6668.31</v>
      </c>
      <c r="C129" s="14">
        <v>231</v>
      </c>
      <c r="D129" s="14">
        <v>159.11000000000001</v>
      </c>
      <c r="E129" s="14">
        <v>0</v>
      </c>
      <c r="F129" s="14">
        <v>352.61</v>
      </c>
      <c r="G129" s="14">
        <v>1761.79</v>
      </c>
      <c r="H129" s="14">
        <v>136.16</v>
      </c>
      <c r="I129" s="14">
        <v>617.62</v>
      </c>
      <c r="J129" s="14">
        <v>50.09</v>
      </c>
      <c r="K129" s="14">
        <v>0</v>
      </c>
      <c r="L129" s="14">
        <v>0</v>
      </c>
      <c r="M129" s="14">
        <v>1938.02</v>
      </c>
      <c r="N129" s="14">
        <v>128.49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852.91</v>
      </c>
      <c r="U129" s="14">
        <v>0</v>
      </c>
      <c r="V129" s="14">
        <v>440.51</v>
      </c>
      <c r="W129" s="14">
        <v>0</v>
      </c>
    </row>
    <row r="130" spans="1:23" x14ac:dyDescent="0.2">
      <c r="A130" s="4" t="s">
        <v>76</v>
      </c>
      <c r="B130" s="14">
        <v>39.29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39.29</v>
      </c>
      <c r="W130" s="14">
        <v>0</v>
      </c>
    </row>
    <row r="131" spans="1:23" x14ac:dyDescent="0.2">
      <c r="A131" s="4" t="s">
        <v>77</v>
      </c>
      <c r="B131" s="14">
        <v>3273.33</v>
      </c>
      <c r="C131" s="14">
        <v>742.74</v>
      </c>
      <c r="D131" s="14">
        <v>415.98</v>
      </c>
      <c r="E131" s="14">
        <v>0</v>
      </c>
      <c r="F131" s="14">
        <v>-172.38</v>
      </c>
      <c r="G131" s="14">
        <v>135.4</v>
      </c>
      <c r="H131" s="14">
        <v>318.64</v>
      </c>
      <c r="I131" s="14">
        <v>7.14</v>
      </c>
      <c r="J131" s="14">
        <v>210.01</v>
      </c>
      <c r="K131" s="14">
        <v>-51.27</v>
      </c>
      <c r="L131" s="14">
        <v>0</v>
      </c>
      <c r="M131" s="14">
        <v>79.959999999999994</v>
      </c>
      <c r="N131" s="14">
        <v>365.8</v>
      </c>
      <c r="O131" s="14">
        <v>225.53</v>
      </c>
      <c r="P131" s="14">
        <v>61.44</v>
      </c>
      <c r="Q131" s="14">
        <v>871.65</v>
      </c>
      <c r="R131" s="14">
        <v>146.87</v>
      </c>
      <c r="S131" s="14">
        <v>0</v>
      </c>
      <c r="T131" s="14">
        <v>55.3</v>
      </c>
      <c r="U131" s="14">
        <v>32.97</v>
      </c>
      <c r="V131" s="14">
        <v>-335.56</v>
      </c>
      <c r="W131" s="14">
        <v>163.11000000000001</v>
      </c>
    </row>
    <row r="132" spans="1:23" x14ac:dyDescent="0.2">
      <c r="A132" s="4" t="s">
        <v>316</v>
      </c>
      <c r="B132" s="19">
        <v>66985.52</v>
      </c>
      <c r="C132" s="19">
        <v>3171.78</v>
      </c>
      <c r="D132" s="19">
        <v>3389.2</v>
      </c>
      <c r="E132" s="19">
        <v>2199</v>
      </c>
      <c r="F132" s="19">
        <v>3144.3</v>
      </c>
      <c r="G132" s="19">
        <v>4955.05</v>
      </c>
      <c r="H132" s="19">
        <v>3159.31</v>
      </c>
      <c r="I132" s="19">
        <v>3646.19</v>
      </c>
      <c r="J132" s="19">
        <v>2958.85</v>
      </c>
      <c r="K132" s="19">
        <v>2344.37</v>
      </c>
      <c r="L132" s="19">
        <v>3942.85</v>
      </c>
      <c r="M132" s="19">
        <v>5229.41</v>
      </c>
      <c r="N132" s="19">
        <v>3734.03</v>
      </c>
      <c r="O132" s="19">
        <v>3278.61</v>
      </c>
      <c r="P132" s="19">
        <v>3490.01</v>
      </c>
      <c r="Q132" s="19">
        <v>3691.65</v>
      </c>
      <c r="R132" s="19">
        <v>3602.58</v>
      </c>
      <c r="S132" s="19">
        <v>0</v>
      </c>
      <c r="T132" s="19">
        <v>3980.43</v>
      </c>
      <c r="U132" s="19">
        <v>1810.26</v>
      </c>
      <c r="V132" s="19">
        <v>3057.67</v>
      </c>
      <c r="W132" s="19">
        <v>2199.9699999999998</v>
      </c>
    </row>
    <row r="133" spans="1:23" x14ac:dyDescent="0.2">
      <c r="A133" s="4" t="s">
        <v>317</v>
      </c>
      <c r="B133" s="13" t="s">
        <v>72</v>
      </c>
      <c r="C133" s="13" t="s">
        <v>72</v>
      </c>
      <c r="D133" s="13" t="s">
        <v>72</v>
      </c>
      <c r="E133" s="13" t="s">
        <v>72</v>
      </c>
      <c r="F133" s="13" t="s">
        <v>72</v>
      </c>
      <c r="G133" s="13" t="s">
        <v>72</v>
      </c>
      <c r="H133" s="13" t="s">
        <v>72</v>
      </c>
      <c r="I133" s="13" t="s">
        <v>72</v>
      </c>
      <c r="J133" s="13" t="s">
        <v>72</v>
      </c>
      <c r="K133" s="13" t="s">
        <v>72</v>
      </c>
      <c r="L133" s="13" t="s">
        <v>72</v>
      </c>
      <c r="M133" s="13" t="s">
        <v>72</v>
      </c>
      <c r="N133" s="13" t="s">
        <v>72</v>
      </c>
      <c r="O133" s="13" t="s">
        <v>72</v>
      </c>
      <c r="P133" s="13" t="s">
        <v>72</v>
      </c>
      <c r="Q133" s="13" t="s">
        <v>72</v>
      </c>
      <c r="R133" s="13" t="s">
        <v>72</v>
      </c>
      <c r="S133" s="13" t="s">
        <v>72</v>
      </c>
      <c r="T133" s="13" t="s">
        <v>72</v>
      </c>
      <c r="U133" s="13" t="s">
        <v>72</v>
      </c>
      <c r="V133" s="13" t="s">
        <v>72</v>
      </c>
      <c r="W133" s="13" t="s">
        <v>72</v>
      </c>
    </row>
    <row r="134" spans="1:23" x14ac:dyDescent="0.2">
      <c r="A134" s="4" t="s">
        <v>73</v>
      </c>
      <c r="B134" s="14">
        <v>3022.72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3022.72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</row>
    <row r="135" spans="1:23" x14ac:dyDescent="0.2">
      <c r="A135" s="4" t="s">
        <v>74</v>
      </c>
      <c r="B135" s="14">
        <v>194.79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194.79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</row>
    <row r="136" spans="1:23" x14ac:dyDescent="0.2">
      <c r="A136" s="4" t="s">
        <v>77</v>
      </c>
      <c r="B136" s="14">
        <v>254.6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254.6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</row>
    <row r="137" spans="1:23" x14ac:dyDescent="0.2">
      <c r="A137" s="4" t="s">
        <v>318</v>
      </c>
      <c r="B137" s="19">
        <v>3472.11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3472.11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</row>
    <row r="138" spans="1:23" x14ac:dyDescent="0.2">
      <c r="A138" s="4" t="s">
        <v>319</v>
      </c>
      <c r="B138" s="13" t="s">
        <v>72</v>
      </c>
      <c r="C138" s="13" t="s">
        <v>72</v>
      </c>
      <c r="D138" s="13" t="s">
        <v>72</v>
      </c>
      <c r="E138" s="13" t="s">
        <v>72</v>
      </c>
      <c r="F138" s="13" t="s">
        <v>72</v>
      </c>
      <c r="G138" s="13" t="s">
        <v>72</v>
      </c>
      <c r="H138" s="13" t="s">
        <v>72</v>
      </c>
      <c r="I138" s="13" t="s">
        <v>72</v>
      </c>
      <c r="J138" s="13" t="s">
        <v>72</v>
      </c>
      <c r="K138" s="13" t="s">
        <v>72</v>
      </c>
      <c r="L138" s="13" t="s">
        <v>72</v>
      </c>
      <c r="M138" s="13" t="s">
        <v>72</v>
      </c>
      <c r="N138" s="13" t="s">
        <v>72</v>
      </c>
      <c r="O138" s="13" t="s">
        <v>72</v>
      </c>
      <c r="P138" s="13" t="s">
        <v>72</v>
      </c>
      <c r="Q138" s="13" t="s">
        <v>72</v>
      </c>
      <c r="R138" s="13" t="s">
        <v>72</v>
      </c>
      <c r="S138" s="13" t="s">
        <v>72</v>
      </c>
      <c r="T138" s="13" t="s">
        <v>72</v>
      </c>
      <c r="U138" s="13" t="s">
        <v>72</v>
      </c>
      <c r="V138" s="13" t="s">
        <v>72</v>
      </c>
      <c r="W138" s="13" t="s">
        <v>72</v>
      </c>
    </row>
    <row r="139" spans="1:23" x14ac:dyDescent="0.2">
      <c r="A139" s="4" t="s">
        <v>73</v>
      </c>
      <c r="B139" s="14">
        <v>132102.70000000001</v>
      </c>
      <c r="C139" s="14">
        <v>5811.32</v>
      </c>
      <c r="D139" s="14">
        <v>12004.2</v>
      </c>
      <c r="E139" s="14">
        <v>7263.78</v>
      </c>
      <c r="F139" s="14">
        <v>11197.55</v>
      </c>
      <c r="G139" s="14">
        <v>3461.25</v>
      </c>
      <c r="H139" s="14">
        <v>8225.09</v>
      </c>
      <c r="I139" s="14">
        <v>4761.42</v>
      </c>
      <c r="J139" s="14">
        <v>5294.19</v>
      </c>
      <c r="K139" s="14">
        <v>2948.57</v>
      </c>
      <c r="L139" s="14">
        <v>8991.41</v>
      </c>
      <c r="M139" s="14">
        <v>9661.52</v>
      </c>
      <c r="N139" s="14">
        <v>19694.64</v>
      </c>
      <c r="O139" s="14">
        <v>9590.6200000000008</v>
      </c>
      <c r="P139" s="14">
        <v>9019.91</v>
      </c>
      <c r="Q139" s="14">
        <v>2742.61</v>
      </c>
      <c r="R139" s="14">
        <v>6551.32</v>
      </c>
      <c r="S139" s="14">
        <v>0</v>
      </c>
      <c r="T139" s="14">
        <v>1141.07</v>
      </c>
      <c r="U139" s="14">
        <v>0</v>
      </c>
      <c r="V139" s="14">
        <v>3742.23</v>
      </c>
      <c r="W139" s="14">
        <v>0</v>
      </c>
    </row>
    <row r="140" spans="1:23" x14ac:dyDescent="0.2">
      <c r="A140" s="4" t="s">
        <v>74</v>
      </c>
      <c r="B140" s="14">
        <v>1148.53</v>
      </c>
      <c r="C140" s="14">
        <v>10.050000000000001</v>
      </c>
      <c r="D140" s="14">
        <v>0</v>
      </c>
      <c r="E140" s="14">
        <v>409.38</v>
      </c>
      <c r="F140" s="14">
        <v>284.76</v>
      </c>
      <c r="G140" s="14">
        <v>0</v>
      </c>
      <c r="H140" s="14">
        <v>57.46</v>
      </c>
      <c r="I140" s="14">
        <v>8.84</v>
      </c>
      <c r="J140" s="14">
        <v>0</v>
      </c>
      <c r="K140" s="14">
        <v>0</v>
      </c>
      <c r="L140" s="14">
        <v>117.86</v>
      </c>
      <c r="M140" s="14">
        <v>0</v>
      </c>
      <c r="N140" s="14">
        <v>127.98</v>
      </c>
      <c r="O140" s="14">
        <v>67.91</v>
      </c>
      <c r="P140" s="14">
        <v>64.290000000000006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</row>
    <row r="141" spans="1:23" x14ac:dyDescent="0.2">
      <c r="A141" s="4" t="s">
        <v>77</v>
      </c>
      <c r="B141" s="14">
        <v>3106.94</v>
      </c>
      <c r="C141" s="14">
        <v>97.63</v>
      </c>
      <c r="D141" s="14">
        <v>486.64</v>
      </c>
      <c r="E141" s="14">
        <v>-86.5</v>
      </c>
      <c r="F141" s="14">
        <v>-441.45</v>
      </c>
      <c r="G141" s="14">
        <v>-117.52</v>
      </c>
      <c r="H141" s="14">
        <v>362.7</v>
      </c>
      <c r="I141" s="14">
        <v>171.65</v>
      </c>
      <c r="J141" s="14">
        <v>85.17</v>
      </c>
      <c r="K141" s="14">
        <v>78.48</v>
      </c>
      <c r="L141" s="14">
        <v>566.03</v>
      </c>
      <c r="M141" s="14">
        <v>228.68</v>
      </c>
      <c r="N141" s="14">
        <v>809</v>
      </c>
      <c r="O141" s="14">
        <v>252.02</v>
      </c>
      <c r="P141" s="14">
        <v>204.33</v>
      </c>
      <c r="Q141" s="14">
        <v>156.16999999999999</v>
      </c>
      <c r="R141" s="14">
        <v>122.8</v>
      </c>
      <c r="S141" s="14">
        <v>0</v>
      </c>
      <c r="T141" s="14">
        <v>22.39</v>
      </c>
      <c r="U141" s="14">
        <v>0</v>
      </c>
      <c r="V141" s="14">
        <v>108.72</v>
      </c>
      <c r="W141" s="14">
        <v>0</v>
      </c>
    </row>
    <row r="142" spans="1:23" x14ac:dyDescent="0.2">
      <c r="A142" s="4" t="s">
        <v>320</v>
      </c>
      <c r="B142" s="19">
        <v>136358.17000000001</v>
      </c>
      <c r="C142" s="19">
        <v>5919</v>
      </c>
      <c r="D142" s="19">
        <v>12490.84</v>
      </c>
      <c r="E142" s="19">
        <v>7586.66</v>
      </c>
      <c r="F142" s="19">
        <v>11040.86</v>
      </c>
      <c r="G142" s="19">
        <v>3343.73</v>
      </c>
      <c r="H142" s="19">
        <v>8645.25</v>
      </c>
      <c r="I142" s="19">
        <v>4941.91</v>
      </c>
      <c r="J142" s="19">
        <v>5379.36</v>
      </c>
      <c r="K142" s="19">
        <v>3027.05</v>
      </c>
      <c r="L142" s="19">
        <v>9675.2999999999993</v>
      </c>
      <c r="M142" s="19">
        <v>9890.2000000000007</v>
      </c>
      <c r="N142" s="19">
        <v>20631.62</v>
      </c>
      <c r="O142" s="19">
        <v>9910.5499999999993</v>
      </c>
      <c r="P142" s="19">
        <v>9288.5300000000007</v>
      </c>
      <c r="Q142" s="19">
        <v>2898.78</v>
      </c>
      <c r="R142" s="19">
        <v>6674.12</v>
      </c>
      <c r="S142" s="19">
        <v>0</v>
      </c>
      <c r="T142" s="19">
        <v>1163.46</v>
      </c>
      <c r="U142" s="19">
        <v>0</v>
      </c>
      <c r="V142" s="19">
        <v>3850.95</v>
      </c>
      <c r="W142" s="19">
        <v>0</v>
      </c>
    </row>
    <row r="143" spans="1:23" x14ac:dyDescent="0.2">
      <c r="A143" s="4" t="s">
        <v>321</v>
      </c>
      <c r="B143" s="13" t="s">
        <v>72</v>
      </c>
      <c r="C143" s="13" t="s">
        <v>72</v>
      </c>
      <c r="D143" s="13" t="s">
        <v>72</v>
      </c>
      <c r="E143" s="13" t="s">
        <v>72</v>
      </c>
      <c r="F143" s="13" t="s">
        <v>72</v>
      </c>
      <c r="G143" s="13" t="s">
        <v>72</v>
      </c>
      <c r="H143" s="13" t="s">
        <v>72</v>
      </c>
      <c r="I143" s="13" t="s">
        <v>72</v>
      </c>
      <c r="J143" s="13" t="s">
        <v>72</v>
      </c>
      <c r="K143" s="13" t="s">
        <v>72</v>
      </c>
      <c r="L143" s="13" t="s">
        <v>72</v>
      </c>
      <c r="M143" s="13" t="s">
        <v>72</v>
      </c>
      <c r="N143" s="13" t="s">
        <v>72</v>
      </c>
      <c r="O143" s="13" t="s">
        <v>72</v>
      </c>
      <c r="P143" s="13" t="s">
        <v>72</v>
      </c>
      <c r="Q143" s="13" t="s">
        <v>72</v>
      </c>
      <c r="R143" s="13" t="s">
        <v>72</v>
      </c>
      <c r="S143" s="13" t="s">
        <v>72</v>
      </c>
      <c r="T143" s="13" t="s">
        <v>72</v>
      </c>
      <c r="U143" s="13" t="s">
        <v>72</v>
      </c>
      <c r="V143" s="13" t="s">
        <v>72</v>
      </c>
      <c r="W143" s="13" t="s">
        <v>72</v>
      </c>
    </row>
    <row r="144" spans="1:23" x14ac:dyDescent="0.2">
      <c r="A144" s="4" t="s">
        <v>73</v>
      </c>
      <c r="B144" s="14">
        <v>105370.74</v>
      </c>
      <c r="C144" s="14">
        <v>6580.32</v>
      </c>
      <c r="D144" s="14">
        <v>0</v>
      </c>
      <c r="E144" s="14">
        <v>5349.31</v>
      </c>
      <c r="F144" s="14">
        <v>1441.61</v>
      </c>
      <c r="G144" s="14">
        <v>7031.8</v>
      </c>
      <c r="H144" s="14">
        <v>3102.09</v>
      </c>
      <c r="I144" s="14">
        <v>2797.77</v>
      </c>
      <c r="J144" s="14">
        <v>7921.12</v>
      </c>
      <c r="K144" s="14">
        <v>8034.35</v>
      </c>
      <c r="L144" s="14">
        <v>5848</v>
      </c>
      <c r="M144" s="14">
        <v>5300.16</v>
      </c>
      <c r="N144" s="14">
        <v>6068.01</v>
      </c>
      <c r="O144" s="14">
        <v>6867.59</v>
      </c>
      <c r="P144" s="14">
        <v>5117.72</v>
      </c>
      <c r="Q144" s="14">
        <v>10956.88</v>
      </c>
      <c r="R144" s="14">
        <v>7746.41</v>
      </c>
      <c r="S144" s="14">
        <v>0</v>
      </c>
      <c r="T144" s="14">
        <v>4662.8599999999997</v>
      </c>
      <c r="U144" s="14">
        <v>3908.31</v>
      </c>
      <c r="V144" s="14">
        <v>2635.71</v>
      </c>
      <c r="W144" s="14">
        <v>4000.72</v>
      </c>
    </row>
    <row r="145" spans="1:23" x14ac:dyDescent="0.2">
      <c r="A145" s="4" t="s">
        <v>74</v>
      </c>
      <c r="B145" s="14">
        <v>2805.52</v>
      </c>
      <c r="C145" s="14">
        <v>187.26</v>
      </c>
      <c r="D145" s="14">
        <v>0</v>
      </c>
      <c r="E145" s="14">
        <v>80.760000000000005</v>
      </c>
      <c r="F145" s="14">
        <v>18.079999999999998</v>
      </c>
      <c r="G145" s="14">
        <v>275.55</v>
      </c>
      <c r="H145" s="14">
        <v>0</v>
      </c>
      <c r="I145" s="14">
        <v>0</v>
      </c>
      <c r="J145" s="14">
        <v>0</v>
      </c>
      <c r="K145" s="14">
        <v>344.34</v>
      </c>
      <c r="L145" s="14">
        <v>0</v>
      </c>
      <c r="M145" s="14">
        <v>0</v>
      </c>
      <c r="N145" s="14">
        <v>12</v>
      </c>
      <c r="O145" s="14">
        <v>0</v>
      </c>
      <c r="P145" s="14">
        <v>336</v>
      </c>
      <c r="Q145" s="14">
        <v>593.53</v>
      </c>
      <c r="R145" s="14">
        <v>106.6</v>
      </c>
      <c r="S145" s="14">
        <v>0</v>
      </c>
      <c r="T145" s="14">
        <v>851.4</v>
      </c>
      <c r="U145" s="14">
        <v>0</v>
      </c>
      <c r="V145" s="14">
        <v>0</v>
      </c>
      <c r="W145" s="14">
        <v>0</v>
      </c>
    </row>
    <row r="146" spans="1:23" x14ac:dyDescent="0.2">
      <c r="A146" s="4" t="s">
        <v>77</v>
      </c>
      <c r="B146" s="14">
        <v>2736.28</v>
      </c>
      <c r="C146" s="14">
        <v>92.47</v>
      </c>
      <c r="D146" s="14">
        <v>0</v>
      </c>
      <c r="E146" s="14">
        <v>-395.21</v>
      </c>
      <c r="F146" s="14">
        <v>0</v>
      </c>
      <c r="G146" s="14">
        <v>-101.55</v>
      </c>
      <c r="H146" s="14">
        <v>85.5</v>
      </c>
      <c r="I146" s="14">
        <v>50.52</v>
      </c>
      <c r="J146" s="14">
        <v>44.3</v>
      </c>
      <c r="K146" s="14">
        <v>99.21</v>
      </c>
      <c r="L146" s="14">
        <v>95.77</v>
      </c>
      <c r="M146" s="14">
        <v>242.44</v>
      </c>
      <c r="N146" s="14">
        <v>-93.76</v>
      </c>
      <c r="O146" s="14">
        <v>449.83</v>
      </c>
      <c r="P146" s="14">
        <v>-70.069999999999993</v>
      </c>
      <c r="Q146" s="14">
        <v>387.08</v>
      </c>
      <c r="R146" s="14">
        <v>802.54</v>
      </c>
      <c r="S146" s="14">
        <v>0</v>
      </c>
      <c r="T146" s="14">
        <v>454.84</v>
      </c>
      <c r="U146" s="14">
        <v>205.92</v>
      </c>
      <c r="V146" s="14">
        <v>85.36</v>
      </c>
      <c r="W146" s="14">
        <v>301.08999999999997</v>
      </c>
    </row>
    <row r="147" spans="1:23" x14ac:dyDescent="0.2">
      <c r="A147" s="4" t="s">
        <v>322</v>
      </c>
      <c r="B147" s="19">
        <v>110912.54</v>
      </c>
      <c r="C147" s="19">
        <v>6860.05</v>
      </c>
      <c r="D147" s="19">
        <v>0</v>
      </c>
      <c r="E147" s="19">
        <v>5034.8599999999997</v>
      </c>
      <c r="F147" s="19">
        <v>1459.69</v>
      </c>
      <c r="G147" s="19">
        <v>7205.8</v>
      </c>
      <c r="H147" s="19">
        <v>3187.59</v>
      </c>
      <c r="I147" s="19">
        <v>2848.29</v>
      </c>
      <c r="J147" s="19">
        <v>7965.42</v>
      </c>
      <c r="K147" s="19">
        <v>8477.9</v>
      </c>
      <c r="L147" s="19">
        <v>5943.77</v>
      </c>
      <c r="M147" s="19">
        <v>5542.6</v>
      </c>
      <c r="N147" s="19">
        <v>5986.25</v>
      </c>
      <c r="O147" s="19">
        <v>7317.42</v>
      </c>
      <c r="P147" s="19">
        <v>5383.65</v>
      </c>
      <c r="Q147" s="19">
        <v>11937.49</v>
      </c>
      <c r="R147" s="19">
        <v>8655.5499999999993</v>
      </c>
      <c r="S147" s="19">
        <v>0</v>
      </c>
      <c r="T147" s="19">
        <v>5969.1</v>
      </c>
      <c r="U147" s="19">
        <v>4114.2299999999996</v>
      </c>
      <c r="V147" s="19">
        <v>2721.07</v>
      </c>
      <c r="W147" s="19">
        <v>4301.8100000000004</v>
      </c>
    </row>
    <row r="148" spans="1:23" x14ac:dyDescent="0.2">
      <c r="A148" s="4" t="s">
        <v>323</v>
      </c>
      <c r="B148" s="13" t="s">
        <v>72</v>
      </c>
      <c r="C148" s="13" t="s">
        <v>72</v>
      </c>
      <c r="D148" s="13" t="s">
        <v>72</v>
      </c>
      <c r="E148" s="13" t="s">
        <v>72</v>
      </c>
      <c r="F148" s="13" t="s">
        <v>72</v>
      </c>
      <c r="G148" s="13" t="s">
        <v>72</v>
      </c>
      <c r="H148" s="13" t="s">
        <v>72</v>
      </c>
      <c r="I148" s="13" t="s">
        <v>72</v>
      </c>
      <c r="J148" s="13" t="s">
        <v>72</v>
      </c>
      <c r="K148" s="13" t="s">
        <v>72</v>
      </c>
      <c r="L148" s="13" t="s">
        <v>72</v>
      </c>
      <c r="M148" s="13" t="s">
        <v>72</v>
      </c>
      <c r="N148" s="13" t="s">
        <v>72</v>
      </c>
      <c r="O148" s="13" t="s">
        <v>72</v>
      </c>
      <c r="P148" s="13" t="s">
        <v>72</v>
      </c>
      <c r="Q148" s="13" t="s">
        <v>72</v>
      </c>
      <c r="R148" s="13" t="s">
        <v>72</v>
      </c>
      <c r="S148" s="13" t="s">
        <v>72</v>
      </c>
      <c r="T148" s="13" t="s">
        <v>72</v>
      </c>
      <c r="U148" s="13" t="s">
        <v>72</v>
      </c>
      <c r="V148" s="13" t="s">
        <v>72</v>
      </c>
      <c r="W148" s="13" t="s">
        <v>72</v>
      </c>
    </row>
    <row r="149" spans="1:23" x14ac:dyDescent="0.2">
      <c r="A149" s="4" t="s">
        <v>73</v>
      </c>
      <c r="B149" s="14">
        <v>40076.93</v>
      </c>
      <c r="C149" s="14">
        <v>0</v>
      </c>
      <c r="D149" s="14">
        <v>0</v>
      </c>
      <c r="E149" s="14">
        <v>3859.98</v>
      </c>
      <c r="F149" s="14">
        <v>0</v>
      </c>
      <c r="G149" s="14">
        <v>2291.25</v>
      </c>
      <c r="H149" s="14">
        <v>1281.1600000000001</v>
      </c>
      <c r="I149" s="14">
        <v>0</v>
      </c>
      <c r="J149" s="14">
        <v>5010.54</v>
      </c>
      <c r="K149" s="14">
        <v>1436.52</v>
      </c>
      <c r="L149" s="14">
        <v>4088.85</v>
      </c>
      <c r="M149" s="14">
        <v>3301.61</v>
      </c>
      <c r="N149" s="14">
        <v>5855.09</v>
      </c>
      <c r="O149" s="14">
        <v>6964.83</v>
      </c>
      <c r="P149" s="14">
        <v>1352.68</v>
      </c>
      <c r="Q149" s="14">
        <v>4634.42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</row>
    <row r="150" spans="1:23" x14ac:dyDescent="0.2">
      <c r="A150" s="4" t="s">
        <v>74</v>
      </c>
      <c r="B150" s="14">
        <v>374.29</v>
      </c>
      <c r="C150" s="14">
        <v>0</v>
      </c>
      <c r="D150" s="14">
        <v>0</v>
      </c>
      <c r="E150" s="14">
        <v>72.63</v>
      </c>
      <c r="F150" s="14">
        <v>0</v>
      </c>
      <c r="G150" s="14">
        <v>38.979999999999997</v>
      </c>
      <c r="H150" s="14">
        <v>0</v>
      </c>
      <c r="I150" s="14">
        <v>0</v>
      </c>
      <c r="J150" s="14">
        <v>41.36</v>
      </c>
      <c r="K150" s="14">
        <v>0</v>
      </c>
      <c r="L150" s="14">
        <v>74.64</v>
      </c>
      <c r="M150" s="14">
        <v>26.12</v>
      </c>
      <c r="N150" s="14">
        <v>0</v>
      </c>
      <c r="O150" s="14">
        <v>120.56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</row>
    <row r="151" spans="1:23" x14ac:dyDescent="0.2">
      <c r="A151" s="4" t="s">
        <v>77</v>
      </c>
      <c r="B151" s="14">
        <v>2645.44</v>
      </c>
      <c r="C151" s="14">
        <v>0</v>
      </c>
      <c r="D151" s="14">
        <v>0</v>
      </c>
      <c r="E151" s="14">
        <v>74.08</v>
      </c>
      <c r="F151" s="14">
        <v>0</v>
      </c>
      <c r="G151" s="14">
        <v>179.54</v>
      </c>
      <c r="H151" s="14">
        <v>45.22</v>
      </c>
      <c r="I151" s="14">
        <v>0</v>
      </c>
      <c r="J151" s="14">
        <v>583.71</v>
      </c>
      <c r="K151" s="14">
        <v>108.3</v>
      </c>
      <c r="L151" s="14">
        <v>300.8</v>
      </c>
      <c r="M151" s="14">
        <v>117.65</v>
      </c>
      <c r="N151" s="14">
        <v>408.68</v>
      </c>
      <c r="O151" s="14">
        <v>442.97</v>
      </c>
      <c r="P151" s="14">
        <v>174.84</v>
      </c>
      <c r="Q151" s="14">
        <v>209.65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</row>
    <row r="152" spans="1:23" x14ac:dyDescent="0.2">
      <c r="A152" s="4" t="s">
        <v>324</v>
      </c>
      <c r="B152" s="19">
        <v>43096.66</v>
      </c>
      <c r="C152" s="19">
        <v>0</v>
      </c>
      <c r="D152" s="19">
        <v>0</v>
      </c>
      <c r="E152" s="19">
        <v>4006.69</v>
      </c>
      <c r="F152" s="19">
        <v>0</v>
      </c>
      <c r="G152" s="19">
        <v>2509.77</v>
      </c>
      <c r="H152" s="19">
        <v>1326.38</v>
      </c>
      <c r="I152" s="19">
        <v>0</v>
      </c>
      <c r="J152" s="19">
        <v>5635.61</v>
      </c>
      <c r="K152" s="19">
        <v>1544.82</v>
      </c>
      <c r="L152" s="19">
        <v>4464.29</v>
      </c>
      <c r="M152" s="19">
        <v>3445.38</v>
      </c>
      <c r="N152" s="19">
        <v>6263.77</v>
      </c>
      <c r="O152" s="19">
        <v>7528.36</v>
      </c>
      <c r="P152" s="19">
        <v>1527.52</v>
      </c>
      <c r="Q152" s="19">
        <v>4844.07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</row>
    <row r="153" spans="1:23" x14ac:dyDescent="0.2">
      <c r="A153" s="4" t="s">
        <v>325</v>
      </c>
      <c r="B153" s="13" t="s">
        <v>72</v>
      </c>
      <c r="C153" s="13" t="s">
        <v>72</v>
      </c>
      <c r="D153" s="13" t="s">
        <v>72</v>
      </c>
      <c r="E153" s="13" t="s">
        <v>72</v>
      </c>
      <c r="F153" s="13" t="s">
        <v>72</v>
      </c>
      <c r="G153" s="13" t="s">
        <v>72</v>
      </c>
      <c r="H153" s="13" t="s">
        <v>72</v>
      </c>
      <c r="I153" s="13" t="s">
        <v>72</v>
      </c>
      <c r="J153" s="13" t="s">
        <v>72</v>
      </c>
      <c r="K153" s="13" t="s">
        <v>72</v>
      </c>
      <c r="L153" s="13" t="s">
        <v>72</v>
      </c>
      <c r="M153" s="13" t="s">
        <v>72</v>
      </c>
      <c r="N153" s="13" t="s">
        <v>72</v>
      </c>
      <c r="O153" s="13" t="s">
        <v>72</v>
      </c>
      <c r="P153" s="13" t="s">
        <v>72</v>
      </c>
      <c r="Q153" s="13" t="s">
        <v>72</v>
      </c>
      <c r="R153" s="13" t="s">
        <v>72</v>
      </c>
      <c r="S153" s="13" t="s">
        <v>72</v>
      </c>
      <c r="T153" s="13" t="s">
        <v>72</v>
      </c>
      <c r="U153" s="13" t="s">
        <v>72</v>
      </c>
      <c r="V153" s="13" t="s">
        <v>72</v>
      </c>
      <c r="W153" s="13" t="s">
        <v>72</v>
      </c>
    </row>
    <row r="154" spans="1:23" x14ac:dyDescent="0.2">
      <c r="A154" s="4" t="s">
        <v>73</v>
      </c>
      <c r="B154" s="14">
        <v>14681.83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6192.84</v>
      </c>
      <c r="M154" s="14">
        <v>0</v>
      </c>
      <c r="N154" s="14">
        <v>0</v>
      </c>
      <c r="O154" s="14">
        <v>0</v>
      </c>
      <c r="P154" s="14">
        <v>4532.95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3956.04</v>
      </c>
      <c r="W154" s="14">
        <v>0</v>
      </c>
    </row>
    <row r="155" spans="1:23" x14ac:dyDescent="0.2">
      <c r="A155" s="4" t="s">
        <v>77</v>
      </c>
      <c r="B155" s="14">
        <v>216.95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-6.07</v>
      </c>
      <c r="M155" s="14">
        <v>0</v>
      </c>
      <c r="N155" s="14">
        <v>0</v>
      </c>
      <c r="O155" s="14">
        <v>0</v>
      </c>
      <c r="P155" s="14">
        <v>81.23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141.79</v>
      </c>
      <c r="W155" s="14">
        <v>0</v>
      </c>
    </row>
    <row r="156" spans="1:23" x14ac:dyDescent="0.2">
      <c r="A156" s="4" t="s">
        <v>326</v>
      </c>
      <c r="B156" s="19">
        <v>14898.78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6186.77</v>
      </c>
      <c r="M156" s="19">
        <v>0</v>
      </c>
      <c r="N156" s="19">
        <v>0</v>
      </c>
      <c r="O156" s="19">
        <v>0</v>
      </c>
      <c r="P156" s="19">
        <v>4614.18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4097.83</v>
      </c>
      <c r="W156" s="19">
        <v>0</v>
      </c>
    </row>
    <row r="157" spans="1:23" x14ac:dyDescent="0.2">
      <c r="A157" s="4" t="s">
        <v>327</v>
      </c>
      <c r="B157" s="13" t="s">
        <v>72</v>
      </c>
      <c r="C157" s="13" t="s">
        <v>72</v>
      </c>
      <c r="D157" s="13" t="s">
        <v>72</v>
      </c>
      <c r="E157" s="13" t="s">
        <v>72</v>
      </c>
      <c r="F157" s="13" t="s">
        <v>72</v>
      </c>
      <c r="G157" s="13" t="s">
        <v>72</v>
      </c>
      <c r="H157" s="13" t="s">
        <v>72</v>
      </c>
      <c r="I157" s="13" t="s">
        <v>72</v>
      </c>
      <c r="J157" s="13" t="s">
        <v>72</v>
      </c>
      <c r="K157" s="13" t="s">
        <v>72</v>
      </c>
      <c r="L157" s="13" t="s">
        <v>72</v>
      </c>
      <c r="M157" s="13" t="s">
        <v>72</v>
      </c>
      <c r="N157" s="13" t="s">
        <v>72</v>
      </c>
      <c r="O157" s="13" t="s">
        <v>72</v>
      </c>
      <c r="P157" s="13" t="s">
        <v>72</v>
      </c>
      <c r="Q157" s="13" t="s">
        <v>72</v>
      </c>
      <c r="R157" s="13" t="s">
        <v>72</v>
      </c>
      <c r="S157" s="13" t="s">
        <v>72</v>
      </c>
      <c r="T157" s="13" t="s">
        <v>72</v>
      </c>
      <c r="U157" s="13" t="s">
        <v>72</v>
      </c>
      <c r="V157" s="13" t="s">
        <v>72</v>
      </c>
      <c r="W157" s="13" t="s">
        <v>72</v>
      </c>
    </row>
    <row r="158" spans="1:23" x14ac:dyDescent="0.2">
      <c r="A158" s="4" t="s">
        <v>73</v>
      </c>
      <c r="B158" s="14">
        <v>15960.37</v>
      </c>
      <c r="C158" s="14">
        <v>4094.2</v>
      </c>
      <c r="D158" s="14">
        <v>0</v>
      </c>
      <c r="E158" s="14">
        <v>694.28</v>
      </c>
      <c r="F158" s="14">
        <v>0</v>
      </c>
      <c r="G158" s="14">
        <v>3910.27</v>
      </c>
      <c r="H158" s="14">
        <v>2747.93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223.93</v>
      </c>
      <c r="O158" s="14">
        <v>0</v>
      </c>
      <c r="P158" s="14">
        <v>1027.94</v>
      </c>
      <c r="Q158" s="14">
        <v>1631.79</v>
      </c>
      <c r="R158" s="14">
        <v>1529.46</v>
      </c>
      <c r="S158" s="14">
        <v>100.57</v>
      </c>
      <c r="T158" s="14">
        <v>0</v>
      </c>
      <c r="U158" s="14">
        <v>0</v>
      </c>
      <c r="V158" s="14">
        <v>0</v>
      </c>
      <c r="W158" s="14">
        <v>0</v>
      </c>
    </row>
    <row r="159" spans="1:23" x14ac:dyDescent="0.2">
      <c r="A159" s="4" t="s">
        <v>74</v>
      </c>
      <c r="B159" s="14">
        <v>815.96</v>
      </c>
      <c r="C159" s="14">
        <v>742.07</v>
      </c>
      <c r="D159" s="14">
        <v>0</v>
      </c>
      <c r="E159" s="14">
        <v>0</v>
      </c>
      <c r="F159" s="14">
        <v>0</v>
      </c>
      <c r="G159" s="14">
        <v>51.57</v>
      </c>
      <c r="H159" s="14">
        <v>22.32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</row>
    <row r="160" spans="1:23" x14ac:dyDescent="0.2">
      <c r="A160" s="4" t="s">
        <v>76</v>
      </c>
      <c r="B160" s="14">
        <v>200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200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</row>
    <row r="161" spans="1:23" x14ac:dyDescent="0.2">
      <c r="A161" s="4" t="s">
        <v>77</v>
      </c>
      <c r="B161" s="14">
        <v>515.29</v>
      </c>
      <c r="C161" s="14">
        <v>111.05</v>
      </c>
      <c r="D161" s="14">
        <v>0</v>
      </c>
      <c r="E161" s="14">
        <v>24.2</v>
      </c>
      <c r="F161" s="14">
        <v>0</v>
      </c>
      <c r="G161" s="14">
        <v>0</v>
      </c>
      <c r="H161" s="14">
        <v>158.11000000000001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203.27</v>
      </c>
      <c r="R161" s="14">
        <v>18.66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</row>
    <row r="162" spans="1:23" x14ac:dyDescent="0.2">
      <c r="A162" s="4" t="s">
        <v>328</v>
      </c>
      <c r="B162" s="19">
        <v>17491.62</v>
      </c>
      <c r="C162" s="19">
        <v>4947.32</v>
      </c>
      <c r="D162" s="19">
        <v>0</v>
      </c>
      <c r="E162" s="19">
        <v>718.48</v>
      </c>
      <c r="F162" s="19">
        <v>0</v>
      </c>
      <c r="G162" s="19">
        <v>3961.84</v>
      </c>
      <c r="H162" s="19">
        <v>2928.36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223.93</v>
      </c>
      <c r="O162" s="19">
        <v>0</v>
      </c>
      <c r="P162" s="19">
        <v>1227.94</v>
      </c>
      <c r="Q162" s="19">
        <v>1835.06</v>
      </c>
      <c r="R162" s="19">
        <v>1548.12</v>
      </c>
      <c r="S162" s="19">
        <v>100.57</v>
      </c>
      <c r="T162" s="19">
        <v>0</v>
      </c>
      <c r="U162" s="19">
        <v>0</v>
      </c>
      <c r="V162" s="19">
        <v>0</v>
      </c>
      <c r="W162" s="19">
        <v>0</v>
      </c>
    </row>
    <row r="163" spans="1:23" x14ac:dyDescent="0.2">
      <c r="A163" s="4" t="s">
        <v>329</v>
      </c>
      <c r="B163" s="13" t="s">
        <v>72</v>
      </c>
      <c r="C163" s="13" t="s">
        <v>72</v>
      </c>
      <c r="D163" s="13" t="s">
        <v>72</v>
      </c>
      <c r="E163" s="13" t="s">
        <v>72</v>
      </c>
      <c r="F163" s="13" t="s">
        <v>72</v>
      </c>
      <c r="G163" s="13" t="s">
        <v>72</v>
      </c>
      <c r="H163" s="13" t="s">
        <v>72</v>
      </c>
      <c r="I163" s="13" t="s">
        <v>72</v>
      </c>
      <c r="J163" s="13" t="s">
        <v>72</v>
      </c>
      <c r="K163" s="13" t="s">
        <v>72</v>
      </c>
      <c r="L163" s="13" t="s">
        <v>72</v>
      </c>
      <c r="M163" s="13" t="s">
        <v>72</v>
      </c>
      <c r="N163" s="13" t="s">
        <v>72</v>
      </c>
      <c r="O163" s="13" t="s">
        <v>72</v>
      </c>
      <c r="P163" s="13" t="s">
        <v>72</v>
      </c>
      <c r="Q163" s="13" t="s">
        <v>72</v>
      </c>
      <c r="R163" s="13" t="s">
        <v>72</v>
      </c>
      <c r="S163" s="13" t="s">
        <v>72</v>
      </c>
      <c r="T163" s="13" t="s">
        <v>72</v>
      </c>
      <c r="U163" s="13" t="s">
        <v>72</v>
      </c>
      <c r="V163" s="13" t="s">
        <v>72</v>
      </c>
      <c r="W163" s="13" t="s">
        <v>72</v>
      </c>
    </row>
    <row r="164" spans="1:23" x14ac:dyDescent="0.2">
      <c r="A164" s="4" t="s">
        <v>73</v>
      </c>
      <c r="B164" s="14">
        <v>119446.12</v>
      </c>
      <c r="C164" s="14">
        <v>6387.25</v>
      </c>
      <c r="D164" s="14">
        <v>4865.38</v>
      </c>
      <c r="E164" s="14">
        <v>5769.22</v>
      </c>
      <c r="F164" s="14">
        <v>9581.01</v>
      </c>
      <c r="G164" s="14">
        <v>5954.68</v>
      </c>
      <c r="H164" s="14">
        <v>0</v>
      </c>
      <c r="I164" s="14">
        <v>5758.23</v>
      </c>
      <c r="J164" s="14">
        <v>6593.4</v>
      </c>
      <c r="K164" s="14">
        <v>0</v>
      </c>
      <c r="L164" s="14">
        <v>6799.45</v>
      </c>
      <c r="M164" s="14">
        <v>6181.33</v>
      </c>
      <c r="N164" s="14">
        <v>7087.91</v>
      </c>
      <c r="O164" s="14">
        <v>10714.28</v>
      </c>
      <c r="P164" s="14">
        <v>10302.19</v>
      </c>
      <c r="Q164" s="14">
        <v>9066.85</v>
      </c>
      <c r="R164" s="14">
        <v>5951.4</v>
      </c>
      <c r="S164" s="14">
        <v>5357.15</v>
      </c>
      <c r="T164" s="14">
        <v>4079.67</v>
      </c>
      <c r="U164" s="14">
        <v>2439.5700000000002</v>
      </c>
      <c r="V164" s="14">
        <v>6557.15</v>
      </c>
      <c r="W164" s="14">
        <v>0</v>
      </c>
    </row>
    <row r="165" spans="1:23" x14ac:dyDescent="0.2">
      <c r="A165" s="4" t="s">
        <v>75</v>
      </c>
      <c r="B165" s="14">
        <v>589.29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589.29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</row>
    <row r="166" spans="1:23" x14ac:dyDescent="0.2">
      <c r="A166" s="4" t="s">
        <v>77</v>
      </c>
      <c r="B166" s="14">
        <v>5952.02</v>
      </c>
      <c r="C166" s="14">
        <v>343.38</v>
      </c>
      <c r="D166" s="14">
        <v>1297.21</v>
      </c>
      <c r="E166" s="14">
        <v>103.38</v>
      </c>
      <c r="F166" s="14">
        <v>0</v>
      </c>
      <c r="G166" s="14">
        <v>670.31</v>
      </c>
      <c r="H166" s="14">
        <v>0</v>
      </c>
      <c r="I166" s="14">
        <v>1526.5</v>
      </c>
      <c r="J166" s="14">
        <v>118.15</v>
      </c>
      <c r="K166" s="14">
        <v>0</v>
      </c>
      <c r="L166" s="14">
        <v>0</v>
      </c>
      <c r="M166" s="14">
        <v>221.54</v>
      </c>
      <c r="N166" s="14">
        <v>725.28</v>
      </c>
      <c r="O166" s="14">
        <v>0</v>
      </c>
      <c r="P166" s="14">
        <v>184.62</v>
      </c>
      <c r="Q166" s="14">
        <v>488.21</v>
      </c>
      <c r="R166" s="14">
        <v>-780.54</v>
      </c>
      <c r="S166" s="14">
        <v>384.62</v>
      </c>
      <c r="T166" s="14">
        <v>-41.34</v>
      </c>
      <c r="U166" s="14">
        <v>475.7</v>
      </c>
      <c r="V166" s="14">
        <v>235</v>
      </c>
      <c r="W166" s="14">
        <v>0</v>
      </c>
    </row>
    <row r="167" spans="1:23" x14ac:dyDescent="0.2">
      <c r="A167" s="4" t="s">
        <v>78</v>
      </c>
      <c r="B167" s="14">
        <v>250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50</v>
      </c>
      <c r="K167" s="14">
        <v>0</v>
      </c>
      <c r="L167" s="14">
        <v>50</v>
      </c>
      <c r="M167" s="14">
        <v>50</v>
      </c>
      <c r="N167" s="14">
        <v>50</v>
      </c>
      <c r="O167" s="14">
        <v>0</v>
      </c>
      <c r="P167" s="14">
        <v>50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</row>
    <row r="168" spans="1:23" x14ac:dyDescent="0.2">
      <c r="A168" s="4" t="s">
        <v>330</v>
      </c>
      <c r="B168" s="19">
        <v>126237.43</v>
      </c>
      <c r="C168" s="19">
        <v>6730.63</v>
      </c>
      <c r="D168" s="19">
        <v>6162.59</v>
      </c>
      <c r="E168" s="19">
        <v>5872.6</v>
      </c>
      <c r="F168" s="19">
        <v>9581.01</v>
      </c>
      <c r="G168" s="19">
        <v>6624.99</v>
      </c>
      <c r="H168" s="19">
        <v>0</v>
      </c>
      <c r="I168" s="19">
        <v>7284.73</v>
      </c>
      <c r="J168" s="19">
        <v>6761.55</v>
      </c>
      <c r="K168" s="19">
        <v>0</v>
      </c>
      <c r="L168" s="19">
        <v>7438.74</v>
      </c>
      <c r="M168" s="19">
        <v>6452.87</v>
      </c>
      <c r="N168" s="19">
        <v>7863.19</v>
      </c>
      <c r="O168" s="19">
        <v>10714.28</v>
      </c>
      <c r="P168" s="19">
        <v>10536.81</v>
      </c>
      <c r="Q168" s="19">
        <v>9555.06</v>
      </c>
      <c r="R168" s="19">
        <v>5170.8599999999997</v>
      </c>
      <c r="S168" s="19">
        <v>5741.77</v>
      </c>
      <c r="T168" s="19">
        <v>4038.33</v>
      </c>
      <c r="U168" s="19">
        <v>2915.27</v>
      </c>
      <c r="V168" s="19">
        <v>6792.15</v>
      </c>
      <c r="W168" s="19">
        <v>0</v>
      </c>
    </row>
    <row r="169" spans="1:23" x14ac:dyDescent="0.2">
      <c r="A169" s="4" t="s">
        <v>331</v>
      </c>
      <c r="B169" s="13" t="s">
        <v>72</v>
      </c>
      <c r="C169" s="13" t="s">
        <v>72</v>
      </c>
      <c r="D169" s="13" t="s">
        <v>72</v>
      </c>
      <c r="E169" s="13" t="s">
        <v>72</v>
      </c>
      <c r="F169" s="13" t="s">
        <v>72</v>
      </c>
      <c r="G169" s="13" t="s">
        <v>72</v>
      </c>
      <c r="H169" s="13" t="s">
        <v>72</v>
      </c>
      <c r="I169" s="13" t="s">
        <v>72</v>
      </c>
      <c r="J169" s="13" t="s">
        <v>72</v>
      </c>
      <c r="K169" s="13" t="s">
        <v>72</v>
      </c>
      <c r="L169" s="13" t="s">
        <v>72</v>
      </c>
      <c r="M169" s="13" t="s">
        <v>72</v>
      </c>
      <c r="N169" s="13" t="s">
        <v>72</v>
      </c>
      <c r="O169" s="13" t="s">
        <v>72</v>
      </c>
      <c r="P169" s="13" t="s">
        <v>72</v>
      </c>
      <c r="Q169" s="13" t="s">
        <v>72</v>
      </c>
      <c r="R169" s="13" t="s">
        <v>72</v>
      </c>
      <c r="S169" s="13" t="s">
        <v>72</v>
      </c>
      <c r="T169" s="13" t="s">
        <v>72</v>
      </c>
      <c r="U169" s="13" t="s">
        <v>72</v>
      </c>
      <c r="V169" s="13" t="s">
        <v>72</v>
      </c>
      <c r="W169" s="13" t="s">
        <v>72</v>
      </c>
    </row>
    <row r="170" spans="1:23" x14ac:dyDescent="0.2">
      <c r="A170" s="4" t="s">
        <v>73</v>
      </c>
      <c r="B170" s="14">
        <v>5391.49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1133.24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4258.25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</row>
    <row r="171" spans="1:23" x14ac:dyDescent="0.2">
      <c r="A171" s="4" t="s">
        <v>74</v>
      </c>
      <c r="B171" s="14">
        <v>89.42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89.42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</row>
    <row r="172" spans="1:23" x14ac:dyDescent="0.2">
      <c r="A172" s="4" t="s">
        <v>77</v>
      </c>
      <c r="B172" s="14">
        <v>1011.99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1011.99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</row>
    <row r="173" spans="1:23" x14ac:dyDescent="0.2">
      <c r="A173" s="4" t="s">
        <v>332</v>
      </c>
      <c r="B173" s="19">
        <v>6492.9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1133.24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5359.66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</row>
    <row r="174" spans="1:23" x14ac:dyDescent="0.2">
      <c r="A174" s="4" t="s">
        <v>333</v>
      </c>
      <c r="B174" s="13" t="s">
        <v>72</v>
      </c>
      <c r="C174" s="13" t="s">
        <v>72</v>
      </c>
      <c r="D174" s="13" t="s">
        <v>72</v>
      </c>
      <c r="E174" s="13" t="s">
        <v>72</v>
      </c>
      <c r="F174" s="13" t="s">
        <v>72</v>
      </c>
      <c r="G174" s="13" t="s">
        <v>72</v>
      </c>
      <c r="H174" s="13" t="s">
        <v>72</v>
      </c>
      <c r="I174" s="13" t="s">
        <v>72</v>
      </c>
      <c r="J174" s="13" t="s">
        <v>72</v>
      </c>
      <c r="K174" s="13" t="s">
        <v>72</v>
      </c>
      <c r="L174" s="13" t="s">
        <v>72</v>
      </c>
      <c r="M174" s="13" t="s">
        <v>72</v>
      </c>
      <c r="N174" s="13" t="s">
        <v>72</v>
      </c>
      <c r="O174" s="13" t="s">
        <v>72</v>
      </c>
      <c r="P174" s="13" t="s">
        <v>72</v>
      </c>
      <c r="Q174" s="13" t="s">
        <v>72</v>
      </c>
      <c r="R174" s="13" t="s">
        <v>72</v>
      </c>
      <c r="S174" s="13" t="s">
        <v>72</v>
      </c>
      <c r="T174" s="13" t="s">
        <v>72</v>
      </c>
      <c r="U174" s="13" t="s">
        <v>72</v>
      </c>
      <c r="V174" s="13" t="s">
        <v>72</v>
      </c>
      <c r="W174" s="13" t="s">
        <v>72</v>
      </c>
    </row>
    <row r="175" spans="1:23" x14ac:dyDescent="0.2">
      <c r="A175" s="4" t="s">
        <v>73</v>
      </c>
      <c r="B175" s="14">
        <v>28821.599999999999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3298.5</v>
      </c>
      <c r="K175" s="14">
        <v>3234.73</v>
      </c>
      <c r="L175" s="14">
        <v>4532.57</v>
      </c>
      <c r="M175" s="14">
        <v>3403.57</v>
      </c>
      <c r="N175" s="14">
        <v>3428.57</v>
      </c>
      <c r="O175" s="14">
        <v>3428.57</v>
      </c>
      <c r="P175" s="14">
        <v>4159.6099999999997</v>
      </c>
      <c r="Q175" s="14">
        <v>0</v>
      </c>
      <c r="R175" s="14">
        <v>0</v>
      </c>
      <c r="S175" s="14">
        <v>3335.48</v>
      </c>
      <c r="T175" s="14">
        <v>0</v>
      </c>
      <c r="U175" s="14">
        <v>0</v>
      </c>
      <c r="V175" s="14">
        <v>0</v>
      </c>
      <c r="W175" s="14">
        <v>0</v>
      </c>
    </row>
    <row r="176" spans="1:23" x14ac:dyDescent="0.2">
      <c r="A176" s="4" t="s">
        <v>74</v>
      </c>
      <c r="B176" s="14">
        <v>843.09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405.56</v>
      </c>
      <c r="K176" s="14">
        <v>37.35</v>
      </c>
      <c r="L176" s="14">
        <v>0</v>
      </c>
      <c r="M176" s="14">
        <v>0</v>
      </c>
      <c r="N176" s="14">
        <v>397.5</v>
      </c>
      <c r="O176" s="14">
        <v>0</v>
      </c>
      <c r="P176" s="14">
        <v>0</v>
      </c>
      <c r="Q176" s="14">
        <v>0</v>
      </c>
      <c r="R176" s="14">
        <v>0</v>
      </c>
      <c r="S176" s="14">
        <v>2.68</v>
      </c>
      <c r="T176" s="14">
        <v>0</v>
      </c>
      <c r="U176" s="14">
        <v>0</v>
      </c>
      <c r="V176" s="14">
        <v>0</v>
      </c>
      <c r="W176" s="14">
        <v>0</v>
      </c>
    </row>
    <row r="177" spans="1:23" x14ac:dyDescent="0.2">
      <c r="A177" s="4" t="s">
        <v>77</v>
      </c>
      <c r="B177" s="14">
        <v>2592.5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372.4</v>
      </c>
      <c r="K177" s="14">
        <v>329.11</v>
      </c>
      <c r="L177" s="14">
        <v>81.22</v>
      </c>
      <c r="M177" s="14">
        <v>60.96</v>
      </c>
      <c r="N177" s="14">
        <v>184.62</v>
      </c>
      <c r="O177" s="14">
        <v>184.62</v>
      </c>
      <c r="P177" s="14">
        <v>1116.3399999999999</v>
      </c>
      <c r="Q177" s="14">
        <v>0</v>
      </c>
      <c r="R177" s="14">
        <v>0</v>
      </c>
      <c r="S177" s="14">
        <v>299.14999999999998</v>
      </c>
      <c r="T177" s="14">
        <v>0</v>
      </c>
      <c r="U177" s="14">
        <v>0</v>
      </c>
      <c r="V177" s="14">
        <v>-35.92</v>
      </c>
      <c r="W177" s="14">
        <v>0</v>
      </c>
    </row>
    <row r="178" spans="1:23" x14ac:dyDescent="0.2">
      <c r="A178" s="4" t="s">
        <v>334</v>
      </c>
      <c r="B178" s="19">
        <v>32257.19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4076.46</v>
      </c>
      <c r="K178" s="19">
        <v>3601.19</v>
      </c>
      <c r="L178" s="19">
        <v>4613.79</v>
      </c>
      <c r="M178" s="19">
        <v>3464.53</v>
      </c>
      <c r="N178" s="19">
        <v>4010.69</v>
      </c>
      <c r="O178" s="19">
        <v>3613.19</v>
      </c>
      <c r="P178" s="19">
        <v>5275.95</v>
      </c>
      <c r="Q178" s="19">
        <v>0</v>
      </c>
      <c r="R178" s="19">
        <v>0</v>
      </c>
      <c r="S178" s="19">
        <v>3637.31</v>
      </c>
      <c r="T178" s="19">
        <v>0</v>
      </c>
      <c r="U178" s="19">
        <v>0</v>
      </c>
      <c r="V178" s="19">
        <v>-35.92</v>
      </c>
      <c r="W178" s="19">
        <v>0</v>
      </c>
    </row>
    <row r="179" spans="1:23" x14ac:dyDescent="0.2">
      <c r="A179" s="4" t="s">
        <v>335</v>
      </c>
      <c r="B179" s="13" t="s">
        <v>72</v>
      </c>
      <c r="C179" s="13" t="s">
        <v>72</v>
      </c>
      <c r="D179" s="13" t="s">
        <v>72</v>
      </c>
      <c r="E179" s="13" t="s">
        <v>72</v>
      </c>
      <c r="F179" s="13" t="s">
        <v>72</v>
      </c>
      <c r="G179" s="13" t="s">
        <v>72</v>
      </c>
      <c r="H179" s="13" t="s">
        <v>72</v>
      </c>
      <c r="I179" s="13" t="s">
        <v>72</v>
      </c>
      <c r="J179" s="13" t="s">
        <v>72</v>
      </c>
      <c r="K179" s="13" t="s">
        <v>72</v>
      </c>
      <c r="L179" s="13" t="s">
        <v>72</v>
      </c>
      <c r="M179" s="13" t="s">
        <v>72</v>
      </c>
      <c r="N179" s="13" t="s">
        <v>72</v>
      </c>
      <c r="O179" s="13" t="s">
        <v>72</v>
      </c>
      <c r="P179" s="13" t="s">
        <v>72</v>
      </c>
      <c r="Q179" s="13" t="s">
        <v>72</v>
      </c>
      <c r="R179" s="13" t="s">
        <v>72</v>
      </c>
      <c r="S179" s="13" t="s">
        <v>72</v>
      </c>
      <c r="T179" s="13" t="s">
        <v>72</v>
      </c>
      <c r="U179" s="13" t="s">
        <v>72</v>
      </c>
      <c r="V179" s="13" t="s">
        <v>72</v>
      </c>
      <c r="W179" s="13" t="s">
        <v>72</v>
      </c>
    </row>
    <row r="180" spans="1:23" x14ac:dyDescent="0.2">
      <c r="A180" s="4" t="s">
        <v>73</v>
      </c>
      <c r="B180" s="14">
        <v>2412.17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2412.17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</row>
    <row r="181" spans="1:23" x14ac:dyDescent="0.2">
      <c r="A181" s="4" t="s">
        <v>74</v>
      </c>
      <c r="B181" s="14">
        <v>11.84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11.84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</row>
    <row r="182" spans="1:23" x14ac:dyDescent="0.2">
      <c r="A182" s="4" t="s">
        <v>77</v>
      </c>
      <c r="B182" s="14">
        <v>455.63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455.63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</row>
    <row r="183" spans="1:23" x14ac:dyDescent="0.2">
      <c r="A183" s="4" t="s">
        <v>336</v>
      </c>
      <c r="B183" s="19">
        <v>2879.64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2879.64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</row>
    <row r="184" spans="1:23" x14ac:dyDescent="0.2">
      <c r="A184" s="4" t="s">
        <v>337</v>
      </c>
      <c r="B184" s="13" t="s">
        <v>72</v>
      </c>
      <c r="C184" s="13" t="s">
        <v>72</v>
      </c>
      <c r="D184" s="13" t="s">
        <v>72</v>
      </c>
      <c r="E184" s="13" t="s">
        <v>72</v>
      </c>
      <c r="F184" s="13" t="s">
        <v>72</v>
      </c>
      <c r="G184" s="13" t="s">
        <v>72</v>
      </c>
      <c r="H184" s="13" t="s">
        <v>72</v>
      </c>
      <c r="I184" s="13" t="s">
        <v>72</v>
      </c>
      <c r="J184" s="13" t="s">
        <v>72</v>
      </c>
      <c r="K184" s="13" t="s">
        <v>72</v>
      </c>
      <c r="L184" s="13" t="s">
        <v>72</v>
      </c>
      <c r="M184" s="13" t="s">
        <v>72</v>
      </c>
      <c r="N184" s="13" t="s">
        <v>72</v>
      </c>
      <c r="O184" s="13" t="s">
        <v>72</v>
      </c>
      <c r="P184" s="13" t="s">
        <v>72</v>
      </c>
      <c r="Q184" s="13" t="s">
        <v>72</v>
      </c>
      <c r="R184" s="13" t="s">
        <v>72</v>
      </c>
      <c r="S184" s="13" t="s">
        <v>72</v>
      </c>
      <c r="T184" s="13" t="s">
        <v>72</v>
      </c>
      <c r="U184" s="13" t="s">
        <v>72</v>
      </c>
      <c r="V184" s="13" t="s">
        <v>72</v>
      </c>
      <c r="W184" s="13" t="s">
        <v>72</v>
      </c>
    </row>
    <row r="185" spans="1:23" x14ac:dyDescent="0.2">
      <c r="A185" s="4" t="s">
        <v>73</v>
      </c>
      <c r="B185" s="14">
        <v>24819.58</v>
      </c>
      <c r="C185" s="14">
        <v>2520</v>
      </c>
      <c r="D185" s="14">
        <v>2523.2800000000002</v>
      </c>
      <c r="E185" s="14">
        <v>1229.29</v>
      </c>
      <c r="F185" s="14">
        <v>3397.87</v>
      </c>
      <c r="G185" s="14">
        <v>4013.75</v>
      </c>
      <c r="H185" s="14">
        <v>3078.25</v>
      </c>
      <c r="I185" s="14">
        <v>3428.57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4628.57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</row>
    <row r="186" spans="1:23" x14ac:dyDescent="0.2">
      <c r="A186" s="4" t="s">
        <v>74</v>
      </c>
      <c r="B186" s="14">
        <v>662.71</v>
      </c>
      <c r="C186" s="14">
        <v>393.42</v>
      </c>
      <c r="D186" s="14">
        <v>0</v>
      </c>
      <c r="E186" s="14">
        <v>0</v>
      </c>
      <c r="F186" s="14">
        <v>18.57</v>
      </c>
      <c r="G186" s="14">
        <v>0</v>
      </c>
      <c r="H186" s="14">
        <v>11.79</v>
      </c>
      <c r="I186" s="14">
        <v>238.93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</row>
    <row r="187" spans="1:23" x14ac:dyDescent="0.2">
      <c r="A187" s="4" t="s">
        <v>77</v>
      </c>
      <c r="B187" s="14">
        <v>801.29</v>
      </c>
      <c r="C187" s="14">
        <v>62.03</v>
      </c>
      <c r="D187" s="14">
        <v>87.15</v>
      </c>
      <c r="E187" s="14">
        <v>144.47999999999999</v>
      </c>
      <c r="F187" s="14">
        <v>-5.37</v>
      </c>
      <c r="G187" s="14">
        <v>0</v>
      </c>
      <c r="H187" s="14">
        <v>199.74</v>
      </c>
      <c r="I187" s="14">
        <v>64.03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249.23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</row>
    <row r="188" spans="1:23" x14ac:dyDescent="0.2">
      <c r="A188" s="4" t="s">
        <v>338</v>
      </c>
      <c r="B188" s="19">
        <v>26283.58</v>
      </c>
      <c r="C188" s="19">
        <v>2975.45</v>
      </c>
      <c r="D188" s="19">
        <v>2610.4299999999998</v>
      </c>
      <c r="E188" s="19">
        <v>1373.77</v>
      </c>
      <c r="F188" s="19">
        <v>3411.07</v>
      </c>
      <c r="G188" s="19">
        <v>4013.75</v>
      </c>
      <c r="H188" s="19">
        <v>3289.78</v>
      </c>
      <c r="I188" s="19">
        <v>3731.53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4877.8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</row>
    <row r="189" spans="1:23" x14ac:dyDescent="0.2">
      <c r="A189" s="4" t="s">
        <v>339</v>
      </c>
      <c r="B189" s="13" t="s">
        <v>72</v>
      </c>
      <c r="C189" s="13" t="s">
        <v>72</v>
      </c>
      <c r="D189" s="13" t="s">
        <v>72</v>
      </c>
      <c r="E189" s="13" t="s">
        <v>72</v>
      </c>
      <c r="F189" s="13" t="s">
        <v>72</v>
      </c>
      <c r="G189" s="13" t="s">
        <v>72</v>
      </c>
      <c r="H189" s="13" t="s">
        <v>72</v>
      </c>
      <c r="I189" s="13" t="s">
        <v>72</v>
      </c>
      <c r="J189" s="13" t="s">
        <v>72</v>
      </c>
      <c r="K189" s="13" t="s">
        <v>72</v>
      </c>
      <c r="L189" s="13" t="s">
        <v>72</v>
      </c>
      <c r="M189" s="13" t="s">
        <v>72</v>
      </c>
      <c r="N189" s="13" t="s">
        <v>72</v>
      </c>
      <c r="O189" s="13" t="s">
        <v>72</v>
      </c>
      <c r="P189" s="13" t="s">
        <v>72</v>
      </c>
      <c r="Q189" s="13" t="s">
        <v>72</v>
      </c>
      <c r="R189" s="13" t="s">
        <v>72</v>
      </c>
      <c r="S189" s="13" t="s">
        <v>72</v>
      </c>
      <c r="T189" s="13" t="s">
        <v>72</v>
      </c>
      <c r="U189" s="13" t="s">
        <v>72</v>
      </c>
      <c r="V189" s="13" t="s">
        <v>72</v>
      </c>
      <c r="W189" s="13" t="s">
        <v>72</v>
      </c>
    </row>
    <row r="190" spans="1:23" x14ac:dyDescent="0.2">
      <c r="A190" s="4" t="s">
        <v>73</v>
      </c>
      <c r="B190" s="14">
        <v>11724.85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3514.28</v>
      </c>
      <c r="O190" s="14">
        <v>0</v>
      </c>
      <c r="P190" s="14">
        <v>0</v>
      </c>
      <c r="Q190" s="14">
        <v>3589.09</v>
      </c>
      <c r="R190" s="14">
        <v>4621.4799999999996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</row>
    <row r="191" spans="1:23" x14ac:dyDescent="0.2">
      <c r="A191" s="4" t="s">
        <v>74</v>
      </c>
      <c r="B191" s="14">
        <v>802.25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802.25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</row>
    <row r="192" spans="1:23" x14ac:dyDescent="0.2">
      <c r="A192" s="4" t="s">
        <v>77</v>
      </c>
      <c r="B192" s="14">
        <v>783.94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252.31</v>
      </c>
      <c r="O192" s="14">
        <v>0</v>
      </c>
      <c r="P192" s="14">
        <v>0</v>
      </c>
      <c r="Q192" s="14">
        <v>396.31</v>
      </c>
      <c r="R192" s="14">
        <v>135.32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</row>
    <row r="193" spans="1:23" x14ac:dyDescent="0.2">
      <c r="A193" s="4" t="s">
        <v>340</v>
      </c>
      <c r="B193" s="19">
        <v>13311.04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4568.84</v>
      </c>
      <c r="O193" s="19">
        <v>0</v>
      </c>
      <c r="P193" s="19">
        <v>0</v>
      </c>
      <c r="Q193" s="19">
        <v>3985.4</v>
      </c>
      <c r="R193" s="19">
        <v>4756.8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</row>
    <row r="194" spans="1:23" x14ac:dyDescent="0.2">
      <c r="A194" s="4" t="s">
        <v>341</v>
      </c>
      <c r="B194" s="13" t="s">
        <v>72</v>
      </c>
      <c r="C194" s="13" t="s">
        <v>72</v>
      </c>
      <c r="D194" s="13" t="s">
        <v>72</v>
      </c>
      <c r="E194" s="13" t="s">
        <v>72</v>
      </c>
      <c r="F194" s="13" t="s">
        <v>72</v>
      </c>
      <c r="G194" s="13" t="s">
        <v>72</v>
      </c>
      <c r="H194" s="13" t="s">
        <v>72</v>
      </c>
      <c r="I194" s="13" t="s">
        <v>72</v>
      </c>
      <c r="J194" s="13" t="s">
        <v>72</v>
      </c>
      <c r="K194" s="13" t="s">
        <v>72</v>
      </c>
      <c r="L194" s="13" t="s">
        <v>72</v>
      </c>
      <c r="M194" s="13" t="s">
        <v>72</v>
      </c>
      <c r="N194" s="13" t="s">
        <v>72</v>
      </c>
      <c r="O194" s="13" t="s">
        <v>72</v>
      </c>
      <c r="P194" s="13" t="s">
        <v>72</v>
      </c>
      <c r="Q194" s="13" t="s">
        <v>72</v>
      </c>
      <c r="R194" s="13" t="s">
        <v>72</v>
      </c>
      <c r="S194" s="13" t="s">
        <v>72</v>
      </c>
      <c r="T194" s="13" t="s">
        <v>72</v>
      </c>
      <c r="U194" s="13" t="s">
        <v>72</v>
      </c>
      <c r="V194" s="13" t="s">
        <v>72</v>
      </c>
      <c r="W194" s="13" t="s">
        <v>72</v>
      </c>
    </row>
    <row r="195" spans="1:23" x14ac:dyDescent="0.2">
      <c r="A195" s="4" t="s">
        <v>73</v>
      </c>
      <c r="B195" s="14">
        <v>23.57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23.57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</row>
    <row r="196" spans="1:23" x14ac:dyDescent="0.2">
      <c r="A196" s="4" t="s">
        <v>342</v>
      </c>
      <c r="B196" s="19">
        <v>23.57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23.57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</row>
    <row r="197" spans="1:23" x14ac:dyDescent="0.2">
      <c r="A197" s="4" t="s">
        <v>343</v>
      </c>
      <c r="B197" s="15">
        <v>3426998.3</v>
      </c>
      <c r="C197" s="15">
        <v>164993.46</v>
      </c>
      <c r="D197" s="15">
        <v>168885.89</v>
      </c>
      <c r="E197" s="15">
        <v>162131.82</v>
      </c>
      <c r="F197" s="15">
        <v>175415.01</v>
      </c>
      <c r="G197" s="15">
        <v>161017.82</v>
      </c>
      <c r="H197" s="15">
        <v>151178.92000000001</v>
      </c>
      <c r="I197" s="15">
        <v>109036.26</v>
      </c>
      <c r="J197" s="15">
        <v>163913.76</v>
      </c>
      <c r="K197" s="15">
        <v>115833.07</v>
      </c>
      <c r="L197" s="15">
        <v>211898.07</v>
      </c>
      <c r="M197" s="15">
        <v>214608.61</v>
      </c>
      <c r="N197" s="15">
        <v>424588.48</v>
      </c>
      <c r="O197" s="15">
        <v>226503.02</v>
      </c>
      <c r="P197" s="15">
        <v>274380.89</v>
      </c>
      <c r="Q197" s="15">
        <v>252444.12</v>
      </c>
      <c r="R197" s="15">
        <v>209397.13</v>
      </c>
      <c r="S197" s="15">
        <v>63617.62</v>
      </c>
      <c r="T197" s="15">
        <v>56988.77</v>
      </c>
      <c r="U197" s="15">
        <v>37291.39</v>
      </c>
      <c r="V197" s="15">
        <v>64042.05</v>
      </c>
      <c r="W197" s="15">
        <v>18832.14</v>
      </c>
    </row>
    <row r="198" spans="1:23" x14ac:dyDescent="0.2">
      <c r="A198" s="2" t="s">
        <v>6</v>
      </c>
    </row>
    <row r="199" spans="1:23" x14ac:dyDescent="0.2">
      <c r="A199" s="2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AC - Statement of Operations</vt:lpstr>
      <vt:lpstr>Operating Expenses by Departmen</vt:lpstr>
      <vt:lpstr>G&amp;A Expenses by Department</vt:lpstr>
      <vt:lpstr>Monthly Census by Payor</vt:lpstr>
      <vt:lpstr>Schedule of Resident Income</vt:lpstr>
      <vt:lpstr>Ancillary Expenses by Payor Sum</vt:lpstr>
      <vt:lpstr>Ancillary Expenses by Payor Det</vt:lpstr>
      <vt:lpstr>Payroll and Related Costs</vt:lpstr>
      <vt:lpstr>Salaries by 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Yoseph Bromberg</dc:creator>
  <cp:keywords/>
  <dc:description/>
  <cp:lastModifiedBy>Yoseph Bromberg</cp:lastModifiedBy>
  <dcterms:created xsi:type="dcterms:W3CDTF">2025-06-12T16:34:14Z</dcterms:created>
  <dcterms:modified xsi:type="dcterms:W3CDTF">2025-06-13T15:41:35Z</dcterms:modified>
  <cp:category/>
  <cp:contentStatus/>
</cp:coreProperties>
</file>