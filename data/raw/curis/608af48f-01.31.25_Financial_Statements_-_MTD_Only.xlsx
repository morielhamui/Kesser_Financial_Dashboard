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\\ad.aperioncare.com\files\FolderRedir\Cloud3\bgoldfarb\Documents\"/>
    </mc:Choice>
  </mc:AlternateContent>
  <xr:revisionPtr revIDLastSave="0" documentId="13_ncr:1_{1B8A0DB1-A4D4-4B34-ABBB-256A603841AE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Balance Sheet" sheetId="10" r:id="rId1"/>
    <sheet name="AC - Statement of Operations" sheetId="1" r:id="rId2"/>
    <sheet name="Operating Expenses by Departmen" sheetId="2" r:id="rId3"/>
    <sheet name="G&amp;A Expenses by Department" sheetId="3" r:id="rId4"/>
    <sheet name="Monthly Census by Payor" sheetId="4" r:id="rId5"/>
    <sheet name="Schedule of Resident Income" sheetId="5" r:id="rId6"/>
    <sheet name="Ancillary Expenses by Payor Sum" sheetId="6" r:id="rId7"/>
    <sheet name="Ancillary Expenses by Payor Det" sheetId="7" r:id="rId8"/>
    <sheet name="Payroll and Related Costs" sheetId="8" r:id="rId9"/>
    <sheet name="Salaries by Posi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B56" i="1"/>
  <c r="B55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B49" i="1"/>
</calcChain>
</file>

<file path=xl/sharedStrings.xml><?xml version="1.0" encoding="utf-8"?>
<sst xmlns="http://schemas.openxmlformats.org/spreadsheetml/2006/main" count="3107" uniqueCount="394">
  <si>
    <t>Petersen Group</t>
  </si>
  <si>
    <t>AC - Statement of Operations</t>
  </si>
  <si>
    <t>As of January 31, 2025</t>
  </si>
  <si>
    <t>As of Date:</t>
  </si>
  <si>
    <t>01/31/2025</t>
  </si>
  <si>
    <t>Facility Group:</t>
  </si>
  <si>
    <t xml:space="preserve"> </t>
  </si>
  <si>
    <t>Axiom Gardens Flora</t>
  </si>
  <si>
    <t>Axiom Flora</t>
  </si>
  <si>
    <t>Axiom Gardens Mount Vernon</t>
  </si>
  <si>
    <t>Axiom West Frankfort</t>
  </si>
  <si>
    <t>Axiom Mount Vernon</t>
  </si>
  <si>
    <t>Axiom Rosiclare</t>
  </si>
  <si>
    <t>Axiom Harrisburg</t>
  </si>
  <si>
    <t>Arcadia Aledo</t>
  </si>
  <si>
    <t>Avenues at Quad Cities</t>
  </si>
  <si>
    <t>Arcadia Havana</t>
  </si>
  <si>
    <t>Arcadia Kewanee</t>
  </si>
  <si>
    <t>Avenues at Royal Oaks</t>
  </si>
  <si>
    <t>Arcadia Toulon</t>
  </si>
  <si>
    <t>Arcadia Watseka</t>
  </si>
  <si>
    <t>Goldwater Peoria Heights</t>
  </si>
  <si>
    <t>Goldwater Roseville</t>
  </si>
  <si>
    <t>Gardens Kewanee</t>
  </si>
  <si>
    <t>Villas Bushnell</t>
  </si>
  <si>
    <t>Villas at Galva</t>
  </si>
  <si>
    <t>Villas Herscher</t>
  </si>
  <si>
    <t>Villas Kewanee</t>
  </si>
  <si>
    <t>Villas at Havana</t>
  </si>
  <si>
    <t>Month Ending</t>
  </si>
  <si>
    <t>Actual</t>
  </si>
  <si>
    <t xml:space="preserve">  Net Resident Income</t>
  </si>
  <si>
    <t xml:space="preserve">  </t>
  </si>
  <si>
    <t xml:space="preserve">    Gross Resident Income</t>
  </si>
  <si>
    <t xml:space="preserve">    Ancillary Expenses</t>
  </si>
  <si>
    <t xml:space="preserve">  Total Net Resident Income</t>
  </si>
  <si>
    <t xml:space="preserve">  Operating Expenses</t>
  </si>
  <si>
    <t xml:space="preserve">    Nursing Expenses</t>
  </si>
  <si>
    <t xml:space="preserve">    Activities Expenses</t>
  </si>
  <si>
    <t xml:space="preserve">    Housekeeping Expenses</t>
  </si>
  <si>
    <t xml:space="preserve">    Plant Expenses</t>
  </si>
  <si>
    <t xml:space="preserve">    Dietary Expenses</t>
  </si>
  <si>
    <t xml:space="preserve">    Employee Welfare Expenses</t>
  </si>
  <si>
    <t xml:space="preserve">    Laundry and Linen Expenses</t>
  </si>
  <si>
    <t xml:space="preserve">  Total Operating Expenses</t>
  </si>
  <si>
    <t xml:space="preserve">  Income Before General and Administrative Expenses</t>
  </si>
  <si>
    <t xml:space="preserve">  General and Administrative Expenses</t>
  </si>
  <si>
    <t xml:space="preserve">  Total Income Before Capital Expenses</t>
  </si>
  <si>
    <t xml:space="preserve">  Rent</t>
  </si>
  <si>
    <t xml:space="preserve">  Real Estate Tax - CY</t>
  </si>
  <si>
    <t xml:space="preserve">  Interest</t>
  </si>
  <si>
    <t xml:space="preserve">  Depreciation</t>
  </si>
  <si>
    <t xml:space="preserve">  Amortization</t>
  </si>
  <si>
    <t xml:space="preserve">  Total Capital Expenses</t>
  </si>
  <si>
    <t xml:space="preserve">  Total Income Before Management Fees</t>
  </si>
  <si>
    <t xml:space="preserve">  Management Fees</t>
  </si>
  <si>
    <t xml:space="preserve">  Total Income Before Other Income</t>
  </si>
  <si>
    <t xml:space="preserve">  Other Income / Expenses</t>
  </si>
  <si>
    <t xml:space="preserve">    Medical Records Income</t>
  </si>
  <si>
    <t xml:space="preserve">    Other Unclassified Income</t>
  </si>
  <si>
    <t xml:space="preserve">    Barber/Beauty Income</t>
  </si>
  <si>
    <t xml:space="preserve">    Visitor / Employee Meals</t>
  </si>
  <si>
    <t xml:space="preserve">    ALF Application Fee Income</t>
  </si>
  <si>
    <t xml:space="preserve">    Day Care Income</t>
  </si>
  <si>
    <t xml:space="preserve">    QIP Revenue (Illinois)</t>
  </si>
  <si>
    <t xml:space="preserve">    C.N.A. Incentive Payments</t>
  </si>
  <si>
    <t xml:space="preserve">  Total Other Income / Expenses</t>
  </si>
  <si>
    <t xml:space="preserve">  Total Income Before Taxes</t>
  </si>
  <si>
    <t xml:space="preserve">  Net Income</t>
  </si>
  <si>
    <t>Operating Expenses by Department</t>
  </si>
  <si>
    <t xml:space="preserve">    </t>
  </si>
  <si>
    <t xml:space="preserve">      504000 - Salaries - Regular</t>
  </si>
  <si>
    <t xml:space="preserve">      504010 - Salaries - Overtime</t>
  </si>
  <si>
    <t xml:space="preserve">      504020 - Salaries - Sign on Bonus</t>
  </si>
  <si>
    <t xml:space="preserve">      504030 - Salaries - Other Bonus</t>
  </si>
  <si>
    <t xml:space="preserve">      504040 - Salaries - PTO</t>
  </si>
  <si>
    <t xml:space="preserve">      504050 - Salaries - Holliday</t>
  </si>
  <si>
    <t xml:space="preserve">      505000 - Medical and Nursing Supplies</t>
  </si>
  <si>
    <t xml:space="preserve">      505001 - Medical and Nursing Supplies-Covid</t>
  </si>
  <si>
    <t xml:space="preserve">      505015 - Durable Medical Equipment</t>
  </si>
  <si>
    <t xml:space="preserve">      505025 - Equipment Rental - Nursing</t>
  </si>
  <si>
    <t xml:space="preserve">      505075 - Activity Program Expense</t>
  </si>
  <si>
    <t xml:space="preserve">      505080 - Activities - Food</t>
  </si>
  <si>
    <t xml:space="preserve">      505150 - Incontinency Supplies</t>
  </si>
  <si>
    <t xml:space="preserve">      505225 - Oxygen</t>
  </si>
  <si>
    <t xml:space="preserve">      505250 - Patient Transportation</t>
  </si>
  <si>
    <t xml:space="preserve">      505275 - Rehab Supplies</t>
  </si>
  <si>
    <t xml:space="preserve">      505325 - Respiratory Therapy</t>
  </si>
  <si>
    <t xml:space="preserve">      505350 - Temporary Nursing Agencies</t>
  </si>
  <si>
    <t xml:space="preserve">      505375 - Uniforms</t>
  </si>
  <si>
    <t xml:space="preserve">      505425 - Consultants - Activity</t>
  </si>
  <si>
    <t xml:space="preserve">      505500 - Consultants - Medical Director</t>
  </si>
  <si>
    <t xml:space="preserve">      505575 - Consultants - Pharmacy</t>
  </si>
  <si>
    <t xml:space="preserve">      505625 - Consultants - RN</t>
  </si>
  <si>
    <t xml:space="preserve">      505645 - Consultants - MDS</t>
  </si>
  <si>
    <t xml:space="preserve">      505675 - Consultants - Social Work</t>
  </si>
  <si>
    <t xml:space="preserve">    Total Nursing Expenses</t>
  </si>
  <si>
    <t xml:space="preserve">    Total Activities Expenses</t>
  </si>
  <si>
    <t xml:space="preserve">      506200 - Housekeeping Supplies</t>
  </si>
  <si>
    <t xml:space="preserve">    Total Housekeeping Expenses</t>
  </si>
  <si>
    <t xml:space="preserve">      506250 - Grounds Maintenance</t>
  </si>
  <si>
    <t xml:space="preserve">      506275 - Painting</t>
  </si>
  <si>
    <t xml:space="preserve">      506300 - Repairs &amp; Maintenance- Equipment</t>
  </si>
  <si>
    <t xml:space="preserve">      506325 - Repairs &amp; Maintenance - Building</t>
  </si>
  <si>
    <t xml:space="preserve">      506375 - Building Maintenance &amp; Supplies</t>
  </si>
  <si>
    <t xml:space="preserve">      506400 - Equipment Rental - Building</t>
  </si>
  <si>
    <t xml:space="preserve">      506425 - Snow Removal</t>
  </si>
  <si>
    <t xml:space="preserve">      506475 - Exterminating Services</t>
  </si>
  <si>
    <t xml:space="preserve">      506500 - Fire Service</t>
  </si>
  <si>
    <t xml:space="preserve">      506525 - Scavenger - Regular Waste</t>
  </si>
  <si>
    <t xml:space="preserve">      506550 - Scavenger - Medical Waste</t>
  </si>
  <si>
    <t xml:space="preserve">      506575 - Security Services</t>
  </si>
  <si>
    <t xml:space="preserve">      506600 - Electricity</t>
  </si>
  <si>
    <t xml:space="preserve">      506625 - Gas Heat</t>
  </si>
  <si>
    <t xml:space="preserve">      506650 - Water</t>
  </si>
  <si>
    <t xml:space="preserve">    Total Plant Expenses</t>
  </si>
  <si>
    <t xml:space="preserve">      507200 - Food</t>
  </si>
  <si>
    <t xml:space="preserve">      507225 - Nutritional &amp; Supplements</t>
  </si>
  <si>
    <t xml:space="preserve">      507250 - Tube Feeding Supplies</t>
  </si>
  <si>
    <t xml:space="preserve">      507275 - Dietary Supplies</t>
  </si>
  <si>
    <t xml:space="preserve">      507300 - Kitchen Supplies</t>
  </si>
  <si>
    <t xml:space="preserve">      507325 - Kitchen Chemicals</t>
  </si>
  <si>
    <t xml:space="preserve">      507350 - Repairs &amp; Maintenance - Dietary</t>
  </si>
  <si>
    <t xml:space="preserve">      507375 - Equipment Rental - Dietary</t>
  </si>
  <si>
    <t xml:space="preserve">      507425 - Consultant - Dietary</t>
  </si>
  <si>
    <t xml:space="preserve">    Total Dietary Expenses</t>
  </si>
  <si>
    <t xml:space="preserve">      504100 - Payroll Tax -FICA</t>
  </si>
  <si>
    <t xml:space="preserve">      504110 - Payroll Tax - SUTA</t>
  </si>
  <si>
    <t xml:space="preserve">      504120 - Payroll Tax - FUTA</t>
  </si>
  <si>
    <t xml:space="preserve">      504130 - Workmans Comp Insurance</t>
  </si>
  <si>
    <t xml:space="preserve">      504150 - Health Insurance - Non-Union</t>
  </si>
  <si>
    <t xml:space="preserve">      504180 - Life Insurance Expense</t>
  </si>
  <si>
    <t xml:space="preserve">      504190 - Employee Background/Fingerprint</t>
  </si>
  <si>
    <t xml:space="preserve">      504200 - Employee Physicals</t>
  </si>
  <si>
    <t xml:space="preserve">      504210 - Employee Want Ads</t>
  </si>
  <si>
    <t xml:space="preserve">      504220 - Employee Recruiting Expense</t>
  </si>
  <si>
    <t xml:space="preserve">      504230 - Employee Meals</t>
  </si>
  <si>
    <t xml:space="preserve">      504240 - Employee Benefits - Other</t>
  </si>
  <si>
    <t xml:space="preserve">    Total Employee Welfare Expenses</t>
  </si>
  <si>
    <t xml:space="preserve">      507525 - Laundry Supplies</t>
  </si>
  <si>
    <t xml:space="preserve">      507550 - Repair &amp; Maintenance - Laundry Equip</t>
  </si>
  <si>
    <t xml:space="preserve">      507600 - Linen Replacement</t>
  </si>
  <si>
    <t xml:space="preserve">    Total Laundry and Linen Expenses</t>
  </si>
  <si>
    <t>G&amp;A Expenses by Department</t>
  </si>
  <si>
    <t xml:space="preserve">    Marketing Expenses</t>
  </si>
  <si>
    <t xml:space="preserve">      508150 - Advertising/Marketing</t>
  </si>
  <si>
    <t xml:space="preserve">      508175 - Marketing - Food</t>
  </si>
  <si>
    <t xml:space="preserve">    Total Marketing Expenses</t>
  </si>
  <si>
    <t xml:space="preserve">    G&amp;A Dept Expenses</t>
  </si>
  <si>
    <t xml:space="preserve">      508250 - Auto Repairs / Maintenance</t>
  </si>
  <si>
    <t xml:space="preserve">      508275 - Bank Charges</t>
  </si>
  <si>
    <t xml:space="preserve">      508300 - Credit Card Processing</t>
  </si>
  <si>
    <t xml:space="preserve">      508350 - Data Processing Fees</t>
  </si>
  <si>
    <t xml:space="preserve">      508375 - Contributions - Charity</t>
  </si>
  <si>
    <t xml:space="preserve">      508425 - Cable TV - Service</t>
  </si>
  <si>
    <t xml:space="preserve">      508500 - Dues &amp; Subscriptions</t>
  </si>
  <si>
    <t xml:space="preserve">      508525 - Education &amp; Seminars</t>
  </si>
  <si>
    <t xml:space="preserve">      508575 - Entertainment - Non Patient Related</t>
  </si>
  <si>
    <t xml:space="preserve">      508625 - Fingerprint/Bckgrd - Resident</t>
  </si>
  <si>
    <t xml:space="preserve">      508650 - General Insurance</t>
  </si>
  <si>
    <t xml:space="preserve">      508700 - Bookeeping Fees</t>
  </si>
  <si>
    <t xml:space="preserve">      508725 - Internet Services</t>
  </si>
  <si>
    <t xml:space="preserve">      508800 - Licenses and permits</t>
  </si>
  <si>
    <t xml:space="preserve">      508850 - Office Expense</t>
  </si>
  <si>
    <t xml:space="preserve">      508875 - Office Equipment Rental</t>
  </si>
  <si>
    <t xml:space="preserve">      508900 - Office Equip Repairs &amp; Maint</t>
  </si>
  <si>
    <t xml:space="preserve">      508960 - Late Fees</t>
  </si>
  <si>
    <t xml:space="preserve">      509000 - Payroll Processing</t>
  </si>
  <si>
    <t xml:space="preserve">      509050 - Postage</t>
  </si>
  <si>
    <t xml:space="preserve">      509150 - Telephone</t>
  </si>
  <si>
    <t xml:space="preserve">      509175 - Theft &amp; Damage Loss</t>
  </si>
  <si>
    <t xml:space="preserve">      509200 - Patient Related Expenses</t>
  </si>
  <si>
    <t xml:space="preserve">      509225 - Travel - Staff</t>
  </si>
  <si>
    <t xml:space="preserve">      509230 - Website</t>
  </si>
  <si>
    <t xml:space="preserve">      509250 - Bad debts Write-Off</t>
  </si>
  <si>
    <t xml:space="preserve">      509850 - Sales / Use Tax</t>
  </si>
  <si>
    <t xml:space="preserve">    Other Professional</t>
  </si>
  <si>
    <t xml:space="preserve">  Total General and Administrative Expenses</t>
  </si>
  <si>
    <t>Curis Services</t>
  </si>
  <si>
    <t>Monthly Census by Payor</t>
  </si>
  <si>
    <t>Total Resident Days</t>
  </si>
  <si>
    <t>Current Avg Resident</t>
  </si>
  <si>
    <t xml:space="preserve">  Census</t>
  </si>
  <si>
    <t xml:space="preserve">    Private</t>
  </si>
  <si>
    <t xml:space="preserve">    Medicaid</t>
  </si>
  <si>
    <t xml:space="preserve">    Hospice Medicaid</t>
  </si>
  <si>
    <t xml:space="preserve">    Medicaid Pending</t>
  </si>
  <si>
    <t xml:space="preserve">    Medicare - Part A</t>
  </si>
  <si>
    <t xml:space="preserve">    Insurance - Commercial</t>
  </si>
  <si>
    <t xml:space="preserve">    ALF - Private</t>
  </si>
  <si>
    <t xml:space="preserve">    ILF</t>
  </si>
  <si>
    <t xml:space="preserve">    Managed Medicaid</t>
  </si>
  <si>
    <t xml:space="preserve">    Medicaid MMAI</t>
  </si>
  <si>
    <t xml:space="preserve">    Medicare Advantage</t>
  </si>
  <si>
    <t xml:space="preserve">    Medicare MMAI</t>
  </si>
  <si>
    <t xml:space="preserve">  Total Census</t>
  </si>
  <si>
    <t>Schedule of Resident Income</t>
  </si>
  <si>
    <t>Per Resident Day</t>
  </si>
  <si>
    <t xml:space="preserve">  Resident Income Detail</t>
  </si>
  <si>
    <t xml:space="preserve">    Resident Income Private</t>
  </si>
  <si>
    <t xml:space="preserve">    Resident Income Medicaid</t>
  </si>
  <si>
    <t xml:space="preserve">    Resident Income Medicare - Part A</t>
  </si>
  <si>
    <t xml:space="preserve">    Resident Income Insurance - Commercial</t>
  </si>
  <si>
    <t xml:space="preserve">    Resident Income Medicare - Part B</t>
  </si>
  <si>
    <t xml:space="preserve">    Resident Income ALF - Private</t>
  </si>
  <si>
    <t xml:space="preserve">    Resident Income ILF</t>
  </si>
  <si>
    <t xml:space="preserve">    Resident Income Managed Medicaid</t>
  </si>
  <si>
    <t xml:space="preserve">    Resident Income Medicare Advantage</t>
  </si>
  <si>
    <t xml:space="preserve">  Total Resident Income Detail</t>
  </si>
  <si>
    <t>Ancillary Expenses by Payor Summary</t>
  </si>
  <si>
    <t xml:space="preserve">  Ancillary Expense Detail</t>
  </si>
  <si>
    <t xml:space="preserve">    Ancillary Expense Medicaid</t>
  </si>
  <si>
    <t xml:space="preserve">    Ancillary Expense Medicare - Part A</t>
  </si>
  <si>
    <t xml:space="preserve">    Ancillary Expense Insurance - Commercial</t>
  </si>
  <si>
    <t xml:space="preserve">    Ancillary Expense Medicare - Part B</t>
  </si>
  <si>
    <t xml:space="preserve">    Ancillary Expense No Payor</t>
  </si>
  <si>
    <t xml:space="preserve">  Total Ancillary Expense Detail</t>
  </si>
  <si>
    <t>Ancillary Expenses by Payor Detail</t>
  </si>
  <si>
    <t xml:space="preserve">      503100 - Ancillary Costs - Physical Therapy</t>
  </si>
  <si>
    <t xml:space="preserve">      503125 - Ancillary Costs - Occupational Therapy</t>
  </si>
  <si>
    <t xml:space="preserve">      503150 - Ancillary Costs - Speech Therapy</t>
  </si>
  <si>
    <t xml:space="preserve">    Total Ancillary Expense Medicaid</t>
  </si>
  <si>
    <t xml:space="preserve">    Total Ancillary Expense Medicare - Part A</t>
  </si>
  <si>
    <t xml:space="preserve">    Total Ancillary Expense Insurance - Commercial</t>
  </si>
  <si>
    <t xml:space="preserve">    Total Ancillary Expense Medicare - Part B</t>
  </si>
  <si>
    <t xml:space="preserve">      503000 - Ancillary Costs - Medical Supplies</t>
  </si>
  <si>
    <t xml:space="preserve">      503025 - Ancillary Costs - Pharmacy</t>
  </si>
  <si>
    <t xml:space="preserve">      503050 - Ancillary Costs - Radiology/Telemetry/EKG</t>
  </si>
  <si>
    <t xml:space="preserve">      503075 - Ancillary Costs - Laboratory</t>
  </si>
  <si>
    <t xml:space="preserve">      503175 - Ancillary Costs - Respiratory Services</t>
  </si>
  <si>
    <t xml:space="preserve">      503200 - Ancillary Costs - Rentals</t>
  </si>
  <si>
    <t xml:space="preserve">      503250 - Ancillary Costs - Nursing Services</t>
  </si>
  <si>
    <t xml:space="preserve">      503300 - Ancillary Costs - Wound Therapy</t>
  </si>
  <si>
    <t xml:space="preserve">    Total Ancillary Expense No Payor</t>
  </si>
  <si>
    <t>Payroll and Related Costs</t>
  </si>
  <si>
    <t xml:space="preserve">  Payroll and Payroll Related Costs</t>
  </si>
  <si>
    <t xml:space="preserve">    Salaries</t>
  </si>
  <si>
    <t xml:space="preserve">      Director of Nursing</t>
  </si>
  <si>
    <t xml:space="preserve">      Asst. Director of Nursing</t>
  </si>
  <si>
    <t xml:space="preserve">      Nurse Supervisor</t>
  </si>
  <si>
    <t xml:space="preserve">      Registered Nurse</t>
  </si>
  <si>
    <t xml:space="preserve">      Wound Care Nurse</t>
  </si>
  <si>
    <t xml:space="preserve">      Quality Assurance</t>
  </si>
  <si>
    <t xml:space="preserve">      MDS Coordinator</t>
  </si>
  <si>
    <t xml:space="preserve">      Licensed Practical Nurse</t>
  </si>
  <si>
    <t xml:space="preserve">      Certified Nurse Aide</t>
  </si>
  <si>
    <t xml:space="preserve">      Psych Social</t>
  </si>
  <si>
    <t xml:space="preserve">      Social Services Director</t>
  </si>
  <si>
    <t xml:space="preserve">      Social Service Designee</t>
  </si>
  <si>
    <t xml:space="preserve">      Activity Director</t>
  </si>
  <si>
    <t xml:space="preserve">      Activity Assistant</t>
  </si>
  <si>
    <t xml:space="preserve">      Resident Escort/Assistant</t>
  </si>
  <si>
    <t xml:space="preserve">      Bus Driver</t>
  </si>
  <si>
    <t xml:space="preserve">      Housekeeping Supervisor</t>
  </si>
  <si>
    <t xml:space="preserve">      Housekeeping Staff</t>
  </si>
  <si>
    <t xml:space="preserve">      Maintenance Supervisor</t>
  </si>
  <si>
    <t xml:space="preserve">      Maintenance Staff</t>
  </si>
  <si>
    <t xml:space="preserve">      Dietary Manager</t>
  </si>
  <si>
    <t xml:space="preserve">      Asst. Dietery Manager</t>
  </si>
  <si>
    <t xml:space="preserve">      Dietary Aides</t>
  </si>
  <si>
    <t xml:space="preserve">      Cooks</t>
  </si>
  <si>
    <t xml:space="preserve">      Laundry Staff</t>
  </si>
  <si>
    <t xml:space="preserve">      Marketing Coordinator</t>
  </si>
  <si>
    <t xml:space="preserve">      Medical Records Staff</t>
  </si>
  <si>
    <t xml:space="preserve">      Administrator</t>
  </si>
  <si>
    <t xml:space="preserve">      Assistant Administrator</t>
  </si>
  <si>
    <t xml:space="preserve">      Business Office Manager</t>
  </si>
  <si>
    <t xml:space="preserve">      Financial Coordinator</t>
  </si>
  <si>
    <t xml:space="preserve">      Human Resource</t>
  </si>
  <si>
    <t xml:space="preserve">    Total Salaries</t>
  </si>
  <si>
    <t xml:space="preserve">    Payroll Related Costs</t>
  </si>
  <si>
    <t xml:space="preserve">      Payroll Taxes</t>
  </si>
  <si>
    <t xml:space="preserve">      Other Employee Costs</t>
  </si>
  <si>
    <t xml:space="preserve">    Total Payroll Related Costs</t>
  </si>
  <si>
    <t xml:space="preserve">  Total Payroll and Payroll Related Costs</t>
  </si>
  <si>
    <t>Salaries by Position</t>
  </si>
  <si>
    <t xml:space="preserve">  Salaries by Position Detail</t>
  </si>
  <si>
    <t xml:space="preserve">    Salaries Director of Nursing</t>
  </si>
  <si>
    <t xml:space="preserve">    Total Salaries Director of Nursing</t>
  </si>
  <si>
    <t xml:space="preserve">    Salaries Asst. Director of Nursing</t>
  </si>
  <si>
    <t xml:space="preserve">    Total Salaries Asst. Director of Nursing</t>
  </si>
  <si>
    <t xml:space="preserve">    Salaries Nurse Supervisor</t>
  </si>
  <si>
    <t xml:space="preserve">    Total Salaries Nurse Supervisor</t>
  </si>
  <si>
    <t xml:space="preserve">    Salaries Registered Nurse</t>
  </si>
  <si>
    <t xml:space="preserve">    Total Salaries Registered Nurse</t>
  </si>
  <si>
    <t xml:space="preserve">    Salaries Wound Care Nurse</t>
  </si>
  <si>
    <t xml:space="preserve">    Total Salaries Wound Care Nurse</t>
  </si>
  <si>
    <t xml:space="preserve">    Salaries Quality Assurance</t>
  </si>
  <si>
    <t xml:space="preserve">    Total Salaries Quality Assurance</t>
  </si>
  <si>
    <t xml:space="preserve">    Salaries MDS Coordinator</t>
  </si>
  <si>
    <t xml:space="preserve">    Total Salaries MDS Coordinator</t>
  </si>
  <si>
    <t xml:space="preserve">    Salaries Licensed Practical Nurse</t>
  </si>
  <si>
    <t xml:space="preserve">    Total Salaries Licensed Practical Nurse</t>
  </si>
  <si>
    <t xml:space="preserve">    Salaries Certified Nurse Aide</t>
  </si>
  <si>
    <t xml:space="preserve">    Total Salaries Certified Nurse Aide</t>
  </si>
  <si>
    <t xml:space="preserve">    Salaries Psych Social</t>
  </si>
  <si>
    <t xml:space="preserve">    Total Salaries Psych Social</t>
  </si>
  <si>
    <t xml:space="preserve">    Salaries Social Services Director</t>
  </si>
  <si>
    <t xml:space="preserve">    Total Salaries Social Services Director</t>
  </si>
  <si>
    <t xml:space="preserve">    Salaries Social Service Designee</t>
  </si>
  <si>
    <t xml:space="preserve">    Total Salaries Social Service Designee</t>
  </si>
  <si>
    <t xml:space="preserve">    Salaries Activity Director</t>
  </si>
  <si>
    <t xml:space="preserve">    Total Salaries Activity Director</t>
  </si>
  <si>
    <t xml:space="preserve">    Salaries Activity Assistant</t>
  </si>
  <si>
    <t xml:space="preserve">    Total Salaries Activity Assistant</t>
  </si>
  <si>
    <t xml:space="preserve">    Salaries Resident Escort/Assistant</t>
  </si>
  <si>
    <t xml:space="preserve">    Total Salaries Resident Escort/Assistant</t>
  </si>
  <si>
    <t xml:space="preserve">    Salaries Bus Driver</t>
  </si>
  <si>
    <t xml:space="preserve">    Total Salaries Bus Driver</t>
  </si>
  <si>
    <t xml:space="preserve">    Salaries Housekeeping Supervisor</t>
  </si>
  <si>
    <t xml:space="preserve">    Total Salaries Housekeeping Supervisor</t>
  </si>
  <si>
    <t xml:space="preserve">    Salaries Housekeeping Staff</t>
  </si>
  <si>
    <t xml:space="preserve">    Total Salaries Housekeeping Staff</t>
  </si>
  <si>
    <t xml:space="preserve">    Salaries Maintenance Supervisor</t>
  </si>
  <si>
    <t xml:space="preserve">    Total Salaries Maintenance Supervisor</t>
  </si>
  <si>
    <t xml:space="preserve">    Salaries Maintenance Staff</t>
  </si>
  <si>
    <t xml:space="preserve">    Total Salaries Maintenance Staff</t>
  </si>
  <si>
    <t xml:space="preserve">    Salaries Dietary Manager</t>
  </si>
  <si>
    <t xml:space="preserve">    Total Salaries Dietary Manager</t>
  </si>
  <si>
    <t xml:space="preserve">    Salaries Asst. Dietery Manager</t>
  </si>
  <si>
    <t xml:space="preserve">    Total Salaries Asst. Dietery Manager</t>
  </si>
  <si>
    <t xml:space="preserve">    Salaries Dietary Aides</t>
  </si>
  <si>
    <t xml:space="preserve">    Total Salaries Dietary Aides</t>
  </si>
  <si>
    <t xml:space="preserve">    Salaries Cooks</t>
  </si>
  <si>
    <t xml:space="preserve">    Total Salaries Cooks</t>
  </si>
  <si>
    <t xml:space="preserve">    Salaries Laundry Staff</t>
  </si>
  <si>
    <t xml:space="preserve">    Total Salaries Laundry Staff</t>
  </si>
  <si>
    <t xml:space="preserve">    Salaries Marketing Coordinator</t>
  </si>
  <si>
    <t xml:space="preserve">    Total Salaries Marketing Coordinator</t>
  </si>
  <si>
    <t xml:space="preserve">    Salaries Medical Records Staff</t>
  </si>
  <si>
    <t xml:space="preserve">    Total Salaries Medical Records Staff</t>
  </si>
  <si>
    <t xml:space="preserve">    Salaries Administrator</t>
  </si>
  <si>
    <t xml:space="preserve">    Total Salaries Administrator</t>
  </si>
  <si>
    <t xml:space="preserve">    Salaries Assistant Administrator</t>
  </si>
  <si>
    <t xml:space="preserve">    Total Salaries Assistant Administrator</t>
  </si>
  <si>
    <t xml:space="preserve">    Salaries Business Office Manager</t>
  </si>
  <si>
    <t xml:space="preserve">    Total Salaries Business Office Manager</t>
  </si>
  <si>
    <t xml:space="preserve">    Salaries Financial Coordinator</t>
  </si>
  <si>
    <t xml:space="preserve">    Total Salaries Financial Coordinator</t>
  </si>
  <si>
    <t xml:space="preserve">    Salaries Human Resource</t>
  </si>
  <si>
    <t xml:space="preserve">    Total Salaries Human Resource</t>
  </si>
  <si>
    <t xml:space="preserve">  Total Salaries by Position Detail</t>
  </si>
  <si>
    <t>EBITDAR</t>
  </si>
  <si>
    <t>Related Party/Non Recurring Addbacks</t>
  </si>
  <si>
    <t>Home Office</t>
  </si>
  <si>
    <t>Nurse Consultant</t>
  </si>
  <si>
    <t>Contributions - Charity</t>
  </si>
  <si>
    <t>Total Addbacks</t>
  </si>
  <si>
    <t>EBITDAR With Related Party Addbacks</t>
  </si>
  <si>
    <t>Balance Sheet</t>
  </si>
  <si>
    <t>All Facilities</t>
  </si>
  <si>
    <t>Year To Date</t>
  </si>
  <si>
    <t xml:space="preserve">  Assets</t>
  </si>
  <si>
    <t xml:space="preserve">    Current Assets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</si>
  <si>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</si>
  <si>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</si>
  <si>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</si>
  <si>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</si>
  <si>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</si>
  <si>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</si>
  <si>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</si>
  <si>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</si>
  <si>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</t>
  </si>
  <si>
    <t xml:space="preserve">        108050 - Building Improvements</t>
  </si>
  <si>
    <t xml:space="preserve">        108150 - Furniture, Fixture, Equipment</t>
  </si>
  <si>
    <t xml:space="preserve">        108200 - Vehicle</t>
  </si>
  <si>
    <t xml:space="preserve">        108250 - Deposits on Fixed Assets</t>
  </si>
  <si>
    <t xml:space="preserve">        108300 - Construction in Process</t>
  </si>
  <si>
    <t xml:space="preserve">      Total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</si>
  <si>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</si>
  <si>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</si>
  <si>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</si>
  <si>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Amortization</t>
  </si>
  <si>
    <t xml:space="preserve">    Total Intangible Assets, Net</t>
  </si>
  <si>
    <t xml:space="preserve">    Other Assets</t>
  </si>
  <si>
    <t xml:space="preserve">      Deposits and Prepayments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</si>
  <si>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</si>
  <si>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</si>
  <si>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</si>
  <si>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</si>
  <si>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Liabilities</t>
  </si>
  <si>
    <t xml:space="preserve">      Current Liabilities</t>
  </si>
  <si>
    <t xml:space="preserve">        Accounts Payable</t>
  </si>
  <si>
    <t xml:space="preserve">        Accrued Liabilities</t>
  </si>
  <si>
    <t xml:space="preserve">        Loan Payable</t>
  </si>
  <si>
    <t xml:space="preserve">        Other Current Liabilities</t>
  </si>
  <si>
    <t xml:space="preserve">      Total Current Liabilities</t>
  </si>
  <si>
    <t xml:space="preserve">    Total Liabilities</t>
  </si>
  <si>
    <t xml:space="preserve">    Stockholders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</si>
  <si>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</si>
  <si>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</si>
  <si>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</si>
  <si>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</si>
  <si>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Created on : 03/17/2025 7:13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</si>
</sst>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9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Helvetica"/>
      <family val="2"/>
    </font>
    <font>
      <sz val="6"/>
      <name val="Helvetica"/>
      <family val="2"/>
    </font>
    <font>
      <b/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0" fontId="5" fillId="2" borderId="0" xfId="0" applyFont="1" applyFill="1"/>
    <xf numFmtId="0" fontId="5" fillId="2" borderId="3" xfId="0" applyFont="1" applyFill="1" applyBorder="1"/>
    <xf numFmtId="164" fontId="0" fillId="2" borderId="0" xfId="0" applyNumberFormat="1" applyFill="1"/>
    <xf numFmtId="164" fontId="0" fillId="2" borderId="3" xfId="0" applyNumberFormat="1" applyFill="1" applyBorder="1"/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165" fontId="3" fillId="2" borderId="3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right"/>
    </xf>
    <xf numFmtId="165" fontId="8" fillId="2" borderId="4" xfId="0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0E05-76C2-40BF-86CF-4CD2931A93CA}">
  <dimension ref="A1:X52"/>
  <sheetViews>
    <sheetView tabSelected="1" workbookViewId="0">
      <selection activeCell="C11" sqref="C11"/>
    </sheetView>
  </sheetViews>
  <sheetFormatPr defaultColWidth="9.140625" defaultRowHeight="12.75" x14ac:dyDescent="0.2"/>
  <cols>
    <col min="1" max="1" width="30.85546875" style="3" customWidth="1"/>
    <col min="2" max="2" width="15.85546875" style="3" customWidth="1"/>
    <col min="3" max="3" width="10.42578125" style="3" customWidth="1"/>
    <col min="4" max="4" width="22.140625" style="3" customWidth="1"/>
    <col min="5" max="5" width="16.28515625" style="3" customWidth="1"/>
    <col min="6" max="6" width="15.7109375" style="3" customWidth="1"/>
    <col min="7" max="7" width="12.42578125" style="3" customWidth="1"/>
    <col min="8" max="8" width="13.28515625" style="3" customWidth="1"/>
    <col min="9" max="9" width="11.140625" style="3" customWidth="1"/>
    <col min="10" max="10" width="17.5703125" style="3" customWidth="1"/>
    <col min="11" max="11" width="12.42578125" style="3" customWidth="1"/>
    <col min="12" max="12" width="13.85546875" style="3" customWidth="1"/>
    <col min="13" max="13" width="17.5703125" style="3" customWidth="1"/>
    <col min="14" max="14" width="11.7109375" style="3" customWidth="1"/>
    <col min="15" max="15" width="13.140625" style="3" customWidth="1"/>
    <col min="16" max="16" width="18.85546875" style="3" customWidth="1"/>
    <col min="17" max="17" width="15.140625" style="3" customWidth="1"/>
    <col min="18" max="18" width="14.42578125" style="3" customWidth="1"/>
    <col min="19" max="19" width="11.28515625" style="3" customWidth="1"/>
    <col min="20" max="20" width="11.140625" style="3" customWidth="1"/>
    <col min="21" max="21" width="11.85546875" style="3" customWidth="1"/>
    <col min="22" max="22" width="12.140625" style="3" customWidth="1"/>
    <col min="23" max="23" width="12.42578125" style="3" customWidth="1"/>
    <col min="24" max="24" width="11.42578125" style="3" customWidth="1"/>
    <col min="25" max="16384" width="9.140625" style="3"/>
  </cols>
  <sheetData>
    <row r="1" spans="1:24" ht="15.75" x14ac:dyDescent="0.25">
      <c r="A1" s="26"/>
    </row>
    <row r="2" spans="1:24" ht="15.75" x14ac:dyDescent="0.25">
      <c r="A2" s="26" t="s">
        <v>349</v>
      </c>
    </row>
    <row r="3" spans="1:24" x14ac:dyDescent="0.2">
      <c r="A3" s="9" t="s">
        <v>3</v>
      </c>
      <c r="B3" s="9" t="s">
        <v>4</v>
      </c>
    </row>
    <row r="4" spans="1:24" x14ac:dyDescent="0.2">
      <c r="A4" s="9" t="s">
        <v>5</v>
      </c>
      <c r="B4" s="9" t="s">
        <v>0</v>
      </c>
    </row>
    <row r="5" spans="1:24" x14ac:dyDescent="0.2">
      <c r="A5" s="4" t="s">
        <v>6</v>
      </c>
    </row>
    <row r="6" spans="1:24" x14ac:dyDescent="0.2">
      <c r="A6" s="9" t="s">
        <v>6</v>
      </c>
      <c r="B6" s="27" t="s">
        <v>7</v>
      </c>
      <c r="C6" s="27" t="s">
        <v>8</v>
      </c>
      <c r="D6" s="27" t="s">
        <v>9</v>
      </c>
      <c r="E6" s="27" t="s">
        <v>10</v>
      </c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7" t="s">
        <v>17</v>
      </c>
      <c r="M6" s="27" t="s">
        <v>18</v>
      </c>
      <c r="N6" s="27" t="s">
        <v>19</v>
      </c>
      <c r="O6" s="27" t="s">
        <v>20</v>
      </c>
      <c r="P6" s="27" t="s">
        <v>21</v>
      </c>
      <c r="Q6" s="27" t="s">
        <v>22</v>
      </c>
      <c r="R6" s="27" t="s">
        <v>23</v>
      </c>
      <c r="S6" s="27" t="s">
        <v>24</v>
      </c>
      <c r="T6" s="27" t="s">
        <v>25</v>
      </c>
      <c r="U6" s="27" t="s">
        <v>26</v>
      </c>
      <c r="V6" s="27" t="s">
        <v>27</v>
      </c>
      <c r="W6" s="27" t="s">
        <v>28</v>
      </c>
      <c r="X6" s="27" t="s">
        <v>350</v>
      </c>
    </row>
    <row r="7" spans="1:24" x14ac:dyDescent="0.2">
      <c r="A7" s="9" t="s">
        <v>6</v>
      </c>
      <c r="B7" s="27" t="s">
        <v>351</v>
      </c>
      <c r="C7" s="27" t="s">
        <v>351</v>
      </c>
      <c r="D7" s="27" t="s">
        <v>351</v>
      </c>
      <c r="E7" s="27" t="s">
        <v>351</v>
      </c>
      <c r="F7" s="27" t="s">
        <v>351</v>
      </c>
      <c r="G7" s="27" t="s">
        <v>351</v>
      </c>
      <c r="H7" s="27" t="s">
        <v>351</v>
      </c>
      <c r="I7" s="27" t="s">
        <v>351</v>
      </c>
      <c r="J7" s="27" t="s">
        <v>351</v>
      </c>
      <c r="K7" s="27" t="s">
        <v>351</v>
      </c>
      <c r="L7" s="27" t="s">
        <v>351</v>
      </c>
      <c r="M7" s="27" t="s">
        <v>351</v>
      </c>
      <c r="N7" s="27" t="s">
        <v>351</v>
      </c>
      <c r="O7" s="27" t="s">
        <v>351</v>
      </c>
      <c r="P7" s="27" t="s">
        <v>351</v>
      </c>
      <c r="Q7" s="27" t="s">
        <v>351</v>
      </c>
      <c r="R7" s="27" t="s">
        <v>351</v>
      </c>
      <c r="S7" s="27" t="s">
        <v>351</v>
      </c>
      <c r="T7" s="27" t="s">
        <v>351</v>
      </c>
      <c r="U7" s="27" t="s">
        <v>351</v>
      </c>
      <c r="V7" s="27" t="s">
        <v>351</v>
      </c>
      <c r="W7" s="27" t="s">
        <v>351</v>
      </c>
      <c r="X7" s="27" t="s">
        <v>351</v>
      </c>
    </row>
    <row r="8" spans="1:24" x14ac:dyDescent="0.2">
      <c r="A8" s="9" t="s">
        <v>6</v>
      </c>
      <c r="B8" s="28" t="s">
        <v>4</v>
      </c>
      <c r="C8" s="28" t="s">
        <v>4</v>
      </c>
      <c r="D8" s="28" t="s">
        <v>4</v>
      </c>
      <c r="E8" s="28" t="s">
        <v>4</v>
      </c>
      <c r="F8" s="28" t="s">
        <v>4</v>
      </c>
      <c r="G8" s="28" t="s">
        <v>4</v>
      </c>
      <c r="H8" s="28" t="s">
        <v>4</v>
      </c>
      <c r="I8" s="28" t="s">
        <v>4</v>
      </c>
      <c r="J8" s="28" t="s">
        <v>4</v>
      </c>
      <c r="K8" s="28" t="s">
        <v>4</v>
      </c>
      <c r="L8" s="28" t="s">
        <v>4</v>
      </c>
      <c r="M8" s="28" t="s">
        <v>4</v>
      </c>
      <c r="N8" s="28" t="s">
        <v>4</v>
      </c>
      <c r="O8" s="28" t="s">
        <v>4</v>
      </c>
      <c r="P8" s="28" t="s">
        <v>4</v>
      </c>
      <c r="Q8" s="28" t="s">
        <v>4</v>
      </c>
      <c r="R8" s="28" t="s">
        <v>4</v>
      </c>
      <c r="S8" s="28" t="s">
        <v>4</v>
      </c>
      <c r="T8" s="28" t="s">
        <v>4</v>
      </c>
      <c r="U8" s="28" t="s">
        <v>4</v>
      </c>
      <c r="V8" s="28" t="s">
        <v>4</v>
      </c>
      <c r="W8" s="28" t="s">
        <v>4</v>
      </c>
      <c r="X8" s="28" t="s">
        <v>4</v>
      </c>
    </row>
    <row r="9" spans="1:24" x14ac:dyDescent="0.2">
      <c r="A9" s="29" t="s">
        <v>6</v>
      </c>
      <c r="B9" s="30" t="s">
        <v>6</v>
      </c>
      <c r="C9" s="30" t="s">
        <v>6</v>
      </c>
      <c r="D9" s="30" t="s">
        <v>6</v>
      </c>
      <c r="E9" s="30" t="s">
        <v>6</v>
      </c>
      <c r="F9" s="30" t="s">
        <v>6</v>
      </c>
      <c r="G9" s="30" t="s">
        <v>6</v>
      </c>
      <c r="H9" s="30" t="s">
        <v>6</v>
      </c>
      <c r="I9" s="30" t="s">
        <v>6</v>
      </c>
      <c r="J9" s="30" t="s">
        <v>6</v>
      </c>
      <c r="K9" s="30" t="s">
        <v>6</v>
      </c>
      <c r="L9" s="30" t="s">
        <v>6</v>
      </c>
      <c r="M9" s="30" t="s">
        <v>6</v>
      </c>
      <c r="N9" s="30" t="s">
        <v>6</v>
      </c>
      <c r="O9" s="30" t="s">
        <v>6</v>
      </c>
      <c r="P9" s="30" t="s">
        <v>6</v>
      </c>
      <c r="Q9" s="30" t="s">
        <v>6</v>
      </c>
      <c r="R9" s="30" t="s">
        <v>6</v>
      </c>
      <c r="S9" s="30" t="s">
        <v>6</v>
      </c>
      <c r="T9" s="30" t="s">
        <v>6</v>
      </c>
      <c r="U9" s="30" t="s">
        <v>6</v>
      </c>
      <c r="V9" s="30" t="s">
        <v>6</v>
      </c>
      <c r="W9" s="30" t="s">
        <v>6</v>
      </c>
      <c r="X9" s="30" t="s">
        <v>6</v>
      </c>
    </row>
    <row r="10" spans="1:24" x14ac:dyDescent="0.2">
      <c r="A10" s="31" t="s">
        <v>352</v>
      </c>
      <c r="B10" s="31" t="s">
        <v>32</v>
      </c>
      <c r="C10" s="31" t="s">
        <v>32</v>
      </c>
      <c r="D10" s="31" t="s">
        <v>32</v>
      </c>
      <c r="E10" s="31" t="s">
        <v>32</v>
      </c>
      <c r="F10" s="31" t="s">
        <v>32</v>
      </c>
      <c r="G10" s="31" t="s">
        <v>32</v>
      </c>
      <c r="H10" s="31" t="s">
        <v>32</v>
      </c>
      <c r="I10" s="31" t="s">
        <v>32</v>
      </c>
      <c r="J10" s="31" t="s">
        <v>32</v>
      </c>
      <c r="K10" s="31" t="s">
        <v>32</v>
      </c>
      <c r="L10" s="31" t="s">
        <v>32</v>
      </c>
      <c r="M10" s="31" t="s">
        <v>32</v>
      </c>
      <c r="N10" s="31" t="s">
        <v>32</v>
      </c>
      <c r="O10" s="31" t="s">
        <v>32</v>
      </c>
      <c r="P10" s="31" t="s">
        <v>32</v>
      </c>
      <c r="Q10" s="31" t="s">
        <v>32</v>
      </c>
      <c r="R10" s="31" t="s">
        <v>32</v>
      </c>
      <c r="S10" s="31" t="s">
        <v>32</v>
      </c>
      <c r="T10" s="31" t="s">
        <v>32</v>
      </c>
      <c r="U10" s="31" t="s">
        <v>32</v>
      </c>
      <c r="V10" s="31" t="s">
        <v>32</v>
      </c>
      <c r="W10" s="31" t="s">
        <v>32</v>
      </c>
      <c r="X10" s="31" t="s">
        <v>32</v>
      </c>
    </row>
    <row r="11" spans="1:24" x14ac:dyDescent="0.2">
      <c r="A11" s="9" t="s">
        <v>353</v>
      </c>
      <c r="B11" s="9" t="s">
        <v>70</v>
      </c>
      <c r="C11" s="9" t="s">
        <v>70</v>
      </c>
      <c r="D11" s="9" t="s">
        <v>70</v>
      </c>
      <c r="E11" s="9" t="s">
        <v>70</v>
      </c>
      <c r="F11" s="9" t="s">
        <v>70</v>
      </c>
      <c r="G11" s="9" t="s">
        <v>70</v>
      </c>
      <c r="H11" s="9" t="s">
        <v>70</v>
      </c>
      <c r="I11" s="9" t="s">
        <v>70</v>
      </c>
      <c r="J11" s="9" t="s">
        <v>70</v>
      </c>
      <c r="K11" s="9" t="s">
        <v>70</v>
      </c>
      <c r="L11" s="9" t="s">
        <v>70</v>
      </c>
      <c r="M11" s="9" t="s">
        <v>70</v>
      </c>
      <c r="N11" s="9" t="s">
        <v>70</v>
      </c>
      <c r="O11" s="9" t="s">
        <v>70</v>
      </c>
      <c r="P11" s="9" t="s">
        <v>70</v>
      </c>
      <c r="Q11" s="9" t="s">
        <v>70</v>
      </c>
      <c r="R11" s="9" t="s">
        <v>70</v>
      </c>
      <c r="S11" s="9" t="s">
        <v>70</v>
      </c>
      <c r="T11" s="9" t="s">
        <v>70</v>
      </c>
      <c r="U11" s="9" t="s">
        <v>70</v>
      </c>
      <c r="V11" s="9" t="s">
        <v>70</v>
      </c>
      <c r="W11" s="9" t="s">
        <v>70</v>
      </c>
      <c r="X11" s="9" t="s">
        <v>70</v>
      </c>
    </row>
    <row r="12" spans="1:24" x14ac:dyDescent="0.2">
      <c r="A12" s="9" t="s">
        <v>354</v>
      </c>
      <c r="B12" s="32">
        <v>-2421.5</v>
      </c>
      <c r="C12" s="32">
        <v>-59613</v>
      </c>
      <c r="D12" s="32">
        <v>-4129.58</v>
      </c>
      <c r="E12" s="32">
        <v>115363.64</v>
      </c>
      <c r="F12" s="32">
        <v>-45799.55</v>
      </c>
      <c r="G12" s="32">
        <v>-23120.39</v>
      </c>
      <c r="H12" s="32">
        <v>-50249.56</v>
      </c>
      <c r="I12" s="32">
        <v>-24501.33</v>
      </c>
      <c r="J12" s="32">
        <v>-56759.3</v>
      </c>
      <c r="K12" s="32">
        <v>16885.79</v>
      </c>
      <c r="L12" s="32">
        <v>-37335.660000000003</v>
      </c>
      <c r="M12" s="32">
        <v>-109848.05</v>
      </c>
      <c r="N12" s="32">
        <v>-49433.73</v>
      </c>
      <c r="O12" s="32">
        <v>-44847.73</v>
      </c>
      <c r="P12" s="32">
        <v>-16921.12</v>
      </c>
      <c r="Q12" s="32">
        <v>-22200.94</v>
      </c>
      <c r="R12" s="32">
        <v>1735.21</v>
      </c>
      <c r="S12" s="32">
        <v>-13820.43</v>
      </c>
      <c r="T12" s="32">
        <v>-1733.8</v>
      </c>
      <c r="U12" s="32">
        <v>4296.47</v>
      </c>
      <c r="V12" s="32">
        <v>-11483.25</v>
      </c>
      <c r="W12" s="32">
        <v>669.69</v>
      </c>
      <c r="X12" s="32">
        <v>-435268.12</v>
      </c>
    </row>
    <row r="13" spans="1:24" x14ac:dyDescent="0.2">
      <c r="A13" s="9" t="s">
        <v>355</v>
      </c>
      <c r="B13" s="32">
        <v>908820.59</v>
      </c>
      <c r="C13" s="32">
        <v>588141.42000000004</v>
      </c>
      <c r="D13" s="32">
        <v>511158.92</v>
      </c>
      <c r="E13" s="32">
        <v>453018.14</v>
      </c>
      <c r="F13" s="32">
        <v>985007.97</v>
      </c>
      <c r="G13" s="32">
        <v>458384.77</v>
      </c>
      <c r="H13" s="32">
        <v>555329.81999999995</v>
      </c>
      <c r="I13" s="32">
        <v>412957.99</v>
      </c>
      <c r="J13" s="32">
        <v>423004.35</v>
      </c>
      <c r="K13" s="32">
        <v>505984.37</v>
      </c>
      <c r="L13" s="32">
        <v>717401.03</v>
      </c>
      <c r="M13" s="32">
        <v>1362205.25</v>
      </c>
      <c r="N13" s="32">
        <v>731329.14</v>
      </c>
      <c r="O13" s="32">
        <v>930183.36</v>
      </c>
      <c r="P13" s="32">
        <v>528171.79</v>
      </c>
      <c r="Q13" s="32">
        <v>695165.02</v>
      </c>
      <c r="R13" s="32">
        <v>26860.75</v>
      </c>
      <c r="S13" s="32">
        <v>75013.210000000006</v>
      </c>
      <c r="T13" s="32">
        <v>-4149.67</v>
      </c>
      <c r="U13" s="32">
        <v>-34139.589999999997</v>
      </c>
      <c r="V13" s="32">
        <v>4517.25</v>
      </c>
      <c r="W13" s="32">
        <v>-6653.64</v>
      </c>
      <c r="X13" s="32">
        <v>10827712.24</v>
      </c>
    </row>
    <row r="14" spans="1:24" x14ac:dyDescent="0.2">
      <c r="A14" s="9" t="s">
        <v>356</v>
      </c>
      <c r="B14" s="32">
        <v>62744.34</v>
      </c>
      <c r="C14" s="32">
        <v>56333.85</v>
      </c>
      <c r="D14" s="32">
        <v>54914.7</v>
      </c>
      <c r="E14" s="32">
        <v>52770.89</v>
      </c>
      <c r="F14" s="32">
        <v>46122.44</v>
      </c>
      <c r="G14" s="32">
        <v>38748.85</v>
      </c>
      <c r="H14" s="32">
        <v>46128.43</v>
      </c>
      <c r="I14" s="32">
        <v>26843.69</v>
      </c>
      <c r="J14" s="32">
        <v>19071.46</v>
      </c>
      <c r="K14" s="32">
        <v>27285.97</v>
      </c>
      <c r="L14" s="32">
        <v>25727</v>
      </c>
      <c r="M14" s="32">
        <v>56533.7</v>
      </c>
      <c r="N14" s="32">
        <v>38213.5</v>
      </c>
      <c r="O14" s="32">
        <v>39909.93</v>
      </c>
      <c r="P14" s="32">
        <v>66467.149999999994</v>
      </c>
      <c r="Q14" s="32">
        <v>51327.6</v>
      </c>
      <c r="R14" s="32">
        <v>11593.34</v>
      </c>
      <c r="S14" s="32">
        <v>14042.9</v>
      </c>
      <c r="T14" s="32">
        <v>12002.67</v>
      </c>
      <c r="U14" s="32">
        <v>16026.8</v>
      </c>
      <c r="V14" s="32">
        <v>10757.29</v>
      </c>
      <c r="W14" s="32">
        <v>5476.24</v>
      </c>
      <c r="X14" s="32">
        <v>779042.74</v>
      </c>
    </row>
    <row r="15" spans="1:24" x14ac:dyDescent="0.2">
      <c r="A15" s="9" t="s">
        <v>357</v>
      </c>
      <c r="B15" s="32">
        <v>-46453.63</v>
      </c>
      <c r="C15" s="32">
        <v>-131481.35999999999</v>
      </c>
      <c r="D15" s="32">
        <v>-203738.75</v>
      </c>
      <c r="E15" s="32">
        <v>-333947.34999999998</v>
      </c>
      <c r="F15" s="32">
        <v>-131014.91</v>
      </c>
      <c r="G15" s="32">
        <v>-153282.29999999999</v>
      </c>
      <c r="H15" s="32">
        <v>-129540.82</v>
      </c>
      <c r="I15" s="32">
        <v>-188533.07</v>
      </c>
      <c r="J15" s="32">
        <v>-182139.42</v>
      </c>
      <c r="K15" s="32">
        <v>-230377.93</v>
      </c>
      <c r="L15" s="32">
        <v>-102759.6</v>
      </c>
      <c r="M15" s="32">
        <v>75625.95</v>
      </c>
      <c r="N15" s="32">
        <v>-208523.54</v>
      </c>
      <c r="O15" s="32">
        <v>-183438.74</v>
      </c>
      <c r="P15" s="32">
        <v>-526898.65</v>
      </c>
      <c r="Q15" s="32">
        <v>-391081.9</v>
      </c>
      <c r="R15" s="32">
        <v>25515.22</v>
      </c>
      <c r="S15" s="32">
        <v>-69017.13</v>
      </c>
      <c r="T15" s="32">
        <v>-55320.37</v>
      </c>
      <c r="U15" s="32">
        <v>120579.32</v>
      </c>
      <c r="V15" s="32">
        <v>68437.100000000006</v>
      </c>
      <c r="W15" s="32">
        <v>-41434.93</v>
      </c>
      <c r="X15" s="32">
        <v>-3018826.81</v>
      </c>
    </row>
    <row r="16" spans="1:24" x14ac:dyDescent="0.2">
      <c r="A16" s="9" t="s">
        <v>358</v>
      </c>
      <c r="B16" s="32">
        <v>-2782.5</v>
      </c>
      <c r="C16" s="32">
        <v>474.09</v>
      </c>
      <c r="D16" s="32">
        <v>5488.24</v>
      </c>
      <c r="E16" s="32">
        <v>770</v>
      </c>
      <c r="F16" s="32">
        <v>-10933.02</v>
      </c>
      <c r="G16" s="32">
        <v>685</v>
      </c>
      <c r="H16" s="32">
        <v>1385.4</v>
      </c>
      <c r="I16" s="32">
        <v>1246.67</v>
      </c>
      <c r="J16" s="32">
        <v>5335.75</v>
      </c>
      <c r="K16" s="32">
        <v>500</v>
      </c>
      <c r="L16" s="32">
        <v>8664.31</v>
      </c>
      <c r="M16" s="32">
        <v>8372.77</v>
      </c>
      <c r="N16" s="32">
        <v>942.37</v>
      </c>
      <c r="O16" s="32">
        <v>4649</v>
      </c>
      <c r="P16" s="32">
        <v>6762.84</v>
      </c>
      <c r="Q16" s="32">
        <v>26626</v>
      </c>
      <c r="R16" s="32">
        <v>0</v>
      </c>
      <c r="S16" s="32">
        <v>2068.94</v>
      </c>
      <c r="T16" s="32">
        <v>-2550</v>
      </c>
      <c r="U16" s="32">
        <v>0</v>
      </c>
      <c r="V16" s="32">
        <v>1245.08</v>
      </c>
      <c r="W16" s="32">
        <v>0</v>
      </c>
      <c r="X16" s="32">
        <v>58950.94</v>
      </c>
    </row>
    <row r="17" spans="1:24" x14ac:dyDescent="0.2">
      <c r="A17" s="9" t="s">
        <v>359</v>
      </c>
      <c r="B17" s="33">
        <v>919907.3</v>
      </c>
      <c r="C17" s="33">
        <v>453855</v>
      </c>
      <c r="D17" s="33">
        <v>363693.53</v>
      </c>
      <c r="E17" s="33">
        <v>287975.32</v>
      </c>
      <c r="F17" s="33">
        <v>843382.93</v>
      </c>
      <c r="G17" s="33">
        <v>321415.93</v>
      </c>
      <c r="H17" s="33">
        <v>423053.27</v>
      </c>
      <c r="I17" s="33">
        <v>228013.95</v>
      </c>
      <c r="J17" s="33">
        <v>208512.84</v>
      </c>
      <c r="K17" s="33">
        <v>320278.2</v>
      </c>
      <c r="L17" s="33">
        <v>611697.07999999996</v>
      </c>
      <c r="M17" s="33">
        <v>1392889.62</v>
      </c>
      <c r="N17" s="33">
        <v>512527.74</v>
      </c>
      <c r="O17" s="33">
        <v>746455.82</v>
      </c>
      <c r="P17" s="33">
        <v>57582.01</v>
      </c>
      <c r="Q17" s="33">
        <v>359835.78</v>
      </c>
      <c r="R17" s="33">
        <v>65704.52</v>
      </c>
      <c r="S17" s="33">
        <v>8287.49</v>
      </c>
      <c r="T17" s="33">
        <v>-51751.17</v>
      </c>
      <c r="U17" s="33">
        <v>106763</v>
      </c>
      <c r="V17" s="33">
        <v>73473.47</v>
      </c>
      <c r="W17" s="33">
        <v>-41942.639999999999</v>
      </c>
      <c r="X17" s="33">
        <v>8211610.9900000002</v>
      </c>
    </row>
    <row r="18" spans="1:24" x14ac:dyDescent="0.2">
      <c r="A18" s="9" t="s">
        <v>360</v>
      </c>
      <c r="B18" s="34" t="s">
        <v>70</v>
      </c>
      <c r="C18" s="34" t="s">
        <v>70</v>
      </c>
      <c r="D18" s="34" t="s">
        <v>70</v>
      </c>
      <c r="E18" s="34" t="s">
        <v>70</v>
      </c>
      <c r="F18" s="34" t="s">
        <v>70</v>
      </c>
      <c r="G18" s="34" t="s">
        <v>70</v>
      </c>
      <c r="H18" s="34" t="s">
        <v>70</v>
      </c>
      <c r="I18" s="34" t="s">
        <v>70</v>
      </c>
      <c r="J18" s="34" t="s">
        <v>70</v>
      </c>
      <c r="K18" s="34" t="s">
        <v>70</v>
      </c>
      <c r="L18" s="34" t="s">
        <v>70</v>
      </c>
      <c r="M18" s="34" t="s">
        <v>70</v>
      </c>
      <c r="N18" s="34" t="s">
        <v>70</v>
      </c>
      <c r="O18" s="34" t="s">
        <v>70</v>
      </c>
      <c r="P18" s="34" t="s">
        <v>70</v>
      </c>
      <c r="Q18" s="34" t="s">
        <v>70</v>
      </c>
      <c r="R18" s="34" t="s">
        <v>70</v>
      </c>
      <c r="S18" s="34" t="s">
        <v>70</v>
      </c>
      <c r="T18" s="34" t="s">
        <v>70</v>
      </c>
      <c r="U18" s="34" t="s">
        <v>70</v>
      </c>
      <c r="V18" s="34" t="s">
        <v>70</v>
      </c>
      <c r="W18" s="34" t="s">
        <v>70</v>
      </c>
      <c r="X18" s="34" t="s">
        <v>70</v>
      </c>
    </row>
    <row r="19" spans="1:24" x14ac:dyDescent="0.2">
      <c r="A19" s="9" t="s">
        <v>361</v>
      </c>
      <c r="B19" s="9" t="s">
        <v>362</v>
      </c>
      <c r="C19" s="9" t="s">
        <v>362</v>
      </c>
      <c r="D19" s="9" t="s">
        <v>362</v>
      </c>
      <c r="E19" s="9" t="s">
        <v>362</v>
      </c>
      <c r="F19" s="9" t="s">
        <v>362</v>
      </c>
      <c r="G19" s="9" t="s">
        <v>362</v>
      </c>
      <c r="H19" s="9" t="s">
        <v>362</v>
      </c>
      <c r="I19" s="9" t="s">
        <v>362</v>
      </c>
      <c r="J19" s="9" t="s">
        <v>362</v>
      </c>
      <c r="K19" s="9" t="s">
        <v>362</v>
      </c>
      <c r="L19" s="9" t="s">
        <v>362</v>
      </c>
      <c r="M19" s="9" t="s">
        <v>362</v>
      </c>
      <c r="N19" s="9" t="s">
        <v>362</v>
      </c>
      <c r="O19" s="9" t="s">
        <v>362</v>
      </c>
      <c r="P19" s="9" t="s">
        <v>362</v>
      </c>
      <c r="Q19" s="9" t="s">
        <v>362</v>
      </c>
      <c r="R19" s="9" t="s">
        <v>362</v>
      </c>
      <c r="S19" s="9" t="s">
        <v>362</v>
      </c>
      <c r="T19" s="9" t="s">
        <v>362</v>
      </c>
      <c r="U19" s="9" t="s">
        <v>362</v>
      </c>
      <c r="V19" s="9" t="s">
        <v>362</v>
      </c>
      <c r="W19" s="9" t="s">
        <v>362</v>
      </c>
      <c r="X19" s="9" t="s">
        <v>362</v>
      </c>
    </row>
    <row r="20" spans="1:24" x14ac:dyDescent="0.2">
      <c r="A20" s="9" t="s">
        <v>363</v>
      </c>
      <c r="B20" s="32">
        <v>16734.38</v>
      </c>
      <c r="C20" s="32">
        <v>11087.48</v>
      </c>
      <c r="D20" s="32">
        <v>21650</v>
      </c>
      <c r="E20" s="32">
        <v>9820</v>
      </c>
      <c r="F20" s="32">
        <v>32290</v>
      </c>
      <c r="G20" s="32">
        <v>15415</v>
      </c>
      <c r="H20" s="32">
        <v>37648.370000000003</v>
      </c>
      <c r="I20" s="32">
        <v>37403.53</v>
      </c>
      <c r="J20" s="32">
        <v>23530</v>
      </c>
      <c r="K20" s="32">
        <v>39227.5</v>
      </c>
      <c r="L20" s="32">
        <v>36649.379999999997</v>
      </c>
      <c r="M20" s="32">
        <v>11510</v>
      </c>
      <c r="N20" s="32">
        <v>19847</v>
      </c>
      <c r="O20" s="32">
        <v>35648.129999999997</v>
      </c>
      <c r="P20" s="32">
        <v>102347.35</v>
      </c>
      <c r="Q20" s="32">
        <v>45077.599999999999</v>
      </c>
      <c r="R20" s="32">
        <v>0</v>
      </c>
      <c r="S20" s="32">
        <v>14080</v>
      </c>
      <c r="T20" s="32">
        <v>8542.5</v>
      </c>
      <c r="U20" s="32">
        <v>26450</v>
      </c>
      <c r="V20" s="32">
        <v>0</v>
      </c>
      <c r="W20" s="32">
        <v>0</v>
      </c>
      <c r="X20" s="32">
        <v>544958.22</v>
      </c>
    </row>
    <row r="21" spans="1:24" x14ac:dyDescent="0.2">
      <c r="A21" s="9" t="s">
        <v>364</v>
      </c>
      <c r="B21" s="32">
        <v>9423.5</v>
      </c>
      <c r="C21" s="32">
        <v>9385</v>
      </c>
      <c r="D21" s="32">
        <v>9023.5</v>
      </c>
      <c r="E21" s="32">
        <v>9346.5</v>
      </c>
      <c r="F21" s="32">
        <v>9385</v>
      </c>
      <c r="G21" s="32">
        <v>8792.5</v>
      </c>
      <c r="H21" s="32">
        <v>8869.5</v>
      </c>
      <c r="I21" s="32">
        <v>9234.5</v>
      </c>
      <c r="J21" s="32">
        <v>13390.35</v>
      </c>
      <c r="K21" s="32">
        <v>15891.69</v>
      </c>
      <c r="L21" s="32">
        <v>18039.64</v>
      </c>
      <c r="M21" s="32">
        <v>9813.5</v>
      </c>
      <c r="N21" s="32">
        <v>12903.09</v>
      </c>
      <c r="O21" s="32">
        <v>9355.5</v>
      </c>
      <c r="P21" s="32">
        <v>22756.3</v>
      </c>
      <c r="Q21" s="32">
        <v>27297.14</v>
      </c>
      <c r="R21" s="32">
        <v>11503.75</v>
      </c>
      <c r="S21" s="32">
        <v>14408.89</v>
      </c>
      <c r="T21" s="32">
        <v>8837</v>
      </c>
      <c r="U21" s="32">
        <v>8916</v>
      </c>
      <c r="V21" s="32">
        <v>28758</v>
      </c>
      <c r="W21" s="32">
        <v>0</v>
      </c>
      <c r="X21" s="32">
        <v>275330.84999999998</v>
      </c>
    </row>
    <row r="22" spans="1:24" x14ac:dyDescent="0.2">
      <c r="A22" s="9" t="s">
        <v>365</v>
      </c>
      <c r="B22" s="32">
        <v>55870</v>
      </c>
      <c r="C22" s="32">
        <v>4818.72</v>
      </c>
      <c r="D22" s="32">
        <v>55870</v>
      </c>
      <c r="E22" s="32">
        <v>0</v>
      </c>
      <c r="F22" s="32">
        <v>0</v>
      </c>
      <c r="G22" s="32">
        <v>55870</v>
      </c>
      <c r="H22" s="32">
        <v>0</v>
      </c>
      <c r="I22" s="32">
        <v>0</v>
      </c>
      <c r="J22" s="32">
        <v>4818.4399999999996</v>
      </c>
      <c r="K22" s="32">
        <v>0</v>
      </c>
      <c r="L22" s="32">
        <v>0</v>
      </c>
      <c r="M22" s="32">
        <v>14818.44</v>
      </c>
      <c r="N22" s="32">
        <v>0</v>
      </c>
      <c r="O22" s="32">
        <v>0</v>
      </c>
      <c r="P22" s="32">
        <v>0</v>
      </c>
      <c r="Q22" s="32">
        <v>0</v>
      </c>
      <c r="R22" s="32">
        <v>2594.8200000000002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194660.42</v>
      </c>
    </row>
    <row r="23" spans="1:24" x14ac:dyDescent="0.2">
      <c r="A23" s="9" t="s">
        <v>366</v>
      </c>
      <c r="B23" s="32">
        <v>0</v>
      </c>
      <c r="C23" s="32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1700</v>
      </c>
      <c r="U23" s="32">
        <v>0</v>
      </c>
      <c r="V23" s="32">
        <v>0</v>
      </c>
      <c r="W23" s="32">
        <v>0</v>
      </c>
      <c r="X23" s="32">
        <v>1700</v>
      </c>
    </row>
    <row r="24" spans="1:24" x14ac:dyDescent="0.2">
      <c r="A24" s="9" t="s">
        <v>367</v>
      </c>
      <c r="B24" s="32">
        <v>0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54000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7817.15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61817.15</v>
      </c>
    </row>
    <row r="25" spans="1:24" x14ac:dyDescent="0.2">
      <c r="A25" s="9" t="s">
        <v>368</v>
      </c>
      <c r="B25" s="35">
        <v>82027.88</v>
      </c>
      <c r="C25" s="35">
        <v>25291.200000000001</v>
      </c>
      <c r="D25" s="35">
        <v>86543.5</v>
      </c>
      <c r="E25" s="35">
        <v>19166.5</v>
      </c>
      <c r="F25" s="35">
        <v>41675</v>
      </c>
      <c r="G25" s="35">
        <v>80077.5</v>
      </c>
      <c r="H25" s="35">
        <v>46517.87</v>
      </c>
      <c r="I25" s="35">
        <v>100638.03</v>
      </c>
      <c r="J25" s="35">
        <v>41738.79</v>
      </c>
      <c r="K25" s="35">
        <v>55119.19</v>
      </c>
      <c r="L25" s="35">
        <v>54689.02</v>
      </c>
      <c r="M25" s="35">
        <v>36141.94</v>
      </c>
      <c r="N25" s="35">
        <v>32750.09</v>
      </c>
      <c r="O25" s="35">
        <v>45003.63</v>
      </c>
      <c r="P25" s="35">
        <v>132920.79999999999</v>
      </c>
      <c r="Q25" s="35">
        <v>72374.740000000005</v>
      </c>
      <c r="R25" s="35">
        <v>14098.57</v>
      </c>
      <c r="S25" s="35">
        <v>28488.89</v>
      </c>
      <c r="T25" s="35">
        <v>19079.5</v>
      </c>
      <c r="U25" s="35">
        <v>35366</v>
      </c>
      <c r="V25" s="35">
        <v>28758</v>
      </c>
      <c r="W25" s="35">
        <v>0</v>
      </c>
      <c r="X25" s="35">
        <v>1078466.6399999999</v>
      </c>
    </row>
    <row r="26" spans="1:24" x14ac:dyDescent="0.2">
      <c r="A26" s="9" t="s">
        <v>369</v>
      </c>
      <c r="B26" s="32">
        <v>2612.42</v>
      </c>
      <c r="C26" s="32">
        <v>734.35</v>
      </c>
      <c r="D26" s="32">
        <v>2493.9299999999998</v>
      </c>
      <c r="E26" s="32">
        <v>631</v>
      </c>
      <c r="F26" s="32">
        <v>1007.42</v>
      </c>
      <c r="G26" s="32">
        <v>2430.42</v>
      </c>
      <c r="H26" s="32">
        <v>1070.95</v>
      </c>
      <c r="I26" s="32">
        <v>822.85</v>
      </c>
      <c r="J26" s="32">
        <v>914.15</v>
      </c>
      <c r="K26" s="32">
        <v>1023.29</v>
      </c>
      <c r="L26" s="32">
        <v>1169.55</v>
      </c>
      <c r="M26" s="32">
        <v>1025.4000000000001</v>
      </c>
      <c r="N26" s="32">
        <v>1059.77</v>
      </c>
      <c r="O26" s="32">
        <v>1358.98</v>
      </c>
      <c r="P26" s="32">
        <v>2084.9499999999998</v>
      </c>
      <c r="Q26" s="32">
        <v>1782.86</v>
      </c>
      <c r="R26" s="32">
        <v>528.23</v>
      </c>
      <c r="S26" s="32">
        <v>699.25</v>
      </c>
      <c r="T26" s="32">
        <v>513.04</v>
      </c>
      <c r="U26" s="32">
        <v>999.55</v>
      </c>
      <c r="V26" s="32">
        <v>771.23</v>
      </c>
      <c r="W26" s="32">
        <v>0</v>
      </c>
      <c r="X26" s="32">
        <v>25733.59</v>
      </c>
    </row>
    <row r="27" spans="1:24" x14ac:dyDescent="0.2">
      <c r="A27" s="9" t="s">
        <v>370</v>
      </c>
      <c r="B27" s="33">
        <v>79415.460000000006</v>
      </c>
      <c r="C27" s="33">
        <v>24556.85</v>
      </c>
      <c r="D27" s="33">
        <v>84049.57</v>
      </c>
      <c r="E27" s="33">
        <v>18535.5</v>
      </c>
      <c r="F27" s="33">
        <v>40667.58</v>
      </c>
      <c r="G27" s="33">
        <v>77647.08</v>
      </c>
      <c r="H27" s="33">
        <v>45446.92</v>
      </c>
      <c r="I27" s="33">
        <v>99815.18</v>
      </c>
      <c r="J27" s="33">
        <v>40824.639999999999</v>
      </c>
      <c r="K27" s="33">
        <v>54095.9</v>
      </c>
      <c r="L27" s="33">
        <v>53519.47</v>
      </c>
      <c r="M27" s="33">
        <v>35116.54</v>
      </c>
      <c r="N27" s="33">
        <v>31690.32</v>
      </c>
      <c r="O27" s="33">
        <v>43644.65</v>
      </c>
      <c r="P27" s="33">
        <v>130835.85</v>
      </c>
      <c r="Q27" s="33">
        <v>70591.88</v>
      </c>
      <c r="R27" s="33">
        <v>13570.34</v>
      </c>
      <c r="S27" s="33">
        <v>27789.64</v>
      </c>
      <c r="T27" s="33">
        <v>18566.46</v>
      </c>
      <c r="U27" s="33">
        <v>34366.449999999997</v>
      </c>
      <c r="V27" s="33">
        <v>27986.77</v>
      </c>
      <c r="W27" s="33">
        <v>0</v>
      </c>
      <c r="X27" s="33">
        <v>1052733.05</v>
      </c>
    </row>
    <row r="28" spans="1:24" x14ac:dyDescent="0.2">
      <c r="A28" s="9" t="s">
        <v>371</v>
      </c>
      <c r="B28" s="34" t="s">
        <v>70</v>
      </c>
      <c r="C28" s="34" t="s">
        <v>70</v>
      </c>
      <c r="D28" s="34" t="s">
        <v>70</v>
      </c>
      <c r="E28" s="34" t="s">
        <v>70</v>
      </c>
      <c r="F28" s="34" t="s">
        <v>70</v>
      </c>
      <c r="G28" s="34" t="s">
        <v>70</v>
      </c>
      <c r="H28" s="34" t="s">
        <v>70</v>
      </c>
      <c r="I28" s="34" t="s">
        <v>70</v>
      </c>
      <c r="J28" s="34" t="s">
        <v>70</v>
      </c>
      <c r="K28" s="34" t="s">
        <v>70</v>
      </c>
      <c r="L28" s="34" t="s">
        <v>70</v>
      </c>
      <c r="M28" s="34" t="s">
        <v>70</v>
      </c>
      <c r="N28" s="34" t="s">
        <v>70</v>
      </c>
      <c r="O28" s="34" t="s">
        <v>70</v>
      </c>
      <c r="P28" s="34" t="s">
        <v>70</v>
      </c>
      <c r="Q28" s="34" t="s">
        <v>70</v>
      </c>
      <c r="R28" s="34" t="s">
        <v>70</v>
      </c>
      <c r="S28" s="34" t="s">
        <v>70</v>
      </c>
      <c r="T28" s="34" t="s">
        <v>70</v>
      </c>
      <c r="U28" s="34" t="s">
        <v>70</v>
      </c>
      <c r="V28" s="34" t="s">
        <v>70</v>
      </c>
      <c r="W28" s="34" t="s">
        <v>70</v>
      </c>
      <c r="X28" s="34" t="s">
        <v>70</v>
      </c>
    </row>
    <row r="29" spans="1:24" x14ac:dyDescent="0.2">
      <c r="A29" s="9" t="s">
        <v>372</v>
      </c>
      <c r="B29" s="32">
        <v>1373.82</v>
      </c>
      <c r="C29" s="32">
        <v>1373.8</v>
      </c>
      <c r="D29" s="32">
        <v>1373.82</v>
      </c>
      <c r="E29" s="32">
        <v>1373.82</v>
      </c>
      <c r="F29" s="32">
        <v>1373.82</v>
      </c>
      <c r="G29" s="32">
        <v>1373.82</v>
      </c>
      <c r="H29" s="32">
        <v>1373.82</v>
      </c>
      <c r="I29" s="32">
        <v>1677.62</v>
      </c>
      <c r="J29" s="32">
        <v>1677.62</v>
      </c>
      <c r="K29" s="32">
        <v>1677.62</v>
      </c>
      <c r="L29" s="32">
        <v>1677.62</v>
      </c>
      <c r="M29" s="32">
        <v>1677.62</v>
      </c>
      <c r="N29" s="32">
        <v>1677.62</v>
      </c>
      <c r="O29" s="32">
        <v>1677.62</v>
      </c>
      <c r="P29" s="32">
        <v>2854.16</v>
      </c>
      <c r="Q29" s="32">
        <v>2943.18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27157.4</v>
      </c>
    </row>
    <row r="30" spans="1:24" x14ac:dyDescent="0.2">
      <c r="A30" s="9" t="s">
        <v>373</v>
      </c>
      <c r="B30" s="33">
        <v>-1373.82</v>
      </c>
      <c r="C30" s="33">
        <v>-1373.8</v>
      </c>
      <c r="D30" s="33">
        <v>-1373.82</v>
      </c>
      <c r="E30" s="33">
        <v>-1373.82</v>
      </c>
      <c r="F30" s="33">
        <v>-1373.82</v>
      </c>
      <c r="G30" s="33">
        <v>-1373.82</v>
      </c>
      <c r="H30" s="33">
        <v>-1373.82</v>
      </c>
      <c r="I30" s="33">
        <v>-1677.62</v>
      </c>
      <c r="J30" s="33">
        <v>-1677.62</v>
      </c>
      <c r="K30" s="33">
        <v>-1677.62</v>
      </c>
      <c r="L30" s="33">
        <v>-1677.62</v>
      </c>
      <c r="M30" s="33">
        <v>-1677.62</v>
      </c>
      <c r="N30" s="33">
        <v>-1677.62</v>
      </c>
      <c r="O30" s="33">
        <v>-1677.62</v>
      </c>
      <c r="P30" s="33">
        <v>-2854.16</v>
      </c>
      <c r="Q30" s="33">
        <v>-2943.18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-27157.4</v>
      </c>
    </row>
    <row r="31" spans="1:24" x14ac:dyDescent="0.2">
      <c r="A31" s="9" t="s">
        <v>374</v>
      </c>
      <c r="B31" s="34" t="s">
        <v>70</v>
      </c>
      <c r="C31" s="34" t="s">
        <v>70</v>
      </c>
      <c r="D31" s="34" t="s">
        <v>70</v>
      </c>
      <c r="E31" s="34" t="s">
        <v>70</v>
      </c>
      <c r="F31" s="34" t="s">
        <v>70</v>
      </c>
      <c r="G31" s="34" t="s">
        <v>70</v>
      </c>
      <c r="H31" s="34" t="s">
        <v>70</v>
      </c>
      <c r="I31" s="34" t="s">
        <v>70</v>
      </c>
      <c r="J31" s="34" t="s">
        <v>70</v>
      </c>
      <c r="K31" s="34" t="s">
        <v>70</v>
      </c>
      <c r="L31" s="34" t="s">
        <v>70</v>
      </c>
      <c r="M31" s="34" t="s">
        <v>70</v>
      </c>
      <c r="N31" s="34" t="s">
        <v>70</v>
      </c>
      <c r="O31" s="34" t="s">
        <v>70</v>
      </c>
      <c r="P31" s="34" t="s">
        <v>70</v>
      </c>
      <c r="Q31" s="34" t="s">
        <v>70</v>
      </c>
      <c r="R31" s="34" t="s">
        <v>70</v>
      </c>
      <c r="S31" s="34" t="s">
        <v>70</v>
      </c>
      <c r="T31" s="34" t="s">
        <v>70</v>
      </c>
      <c r="U31" s="34" t="s">
        <v>70</v>
      </c>
      <c r="V31" s="34" t="s">
        <v>70</v>
      </c>
      <c r="W31" s="34" t="s">
        <v>70</v>
      </c>
      <c r="X31" s="34" t="s">
        <v>70</v>
      </c>
    </row>
    <row r="32" spans="1:24" x14ac:dyDescent="0.2">
      <c r="A32" s="9" t="s">
        <v>375</v>
      </c>
      <c r="B32" s="32">
        <v>70651.759999999995</v>
      </c>
      <c r="C32" s="32">
        <v>35374.92</v>
      </c>
      <c r="D32" s="32">
        <v>49458.48</v>
      </c>
      <c r="E32" s="32">
        <v>38139.919999999998</v>
      </c>
      <c r="F32" s="32">
        <v>68007.3</v>
      </c>
      <c r="G32" s="32">
        <v>47411.48</v>
      </c>
      <c r="H32" s="32">
        <v>41818.57</v>
      </c>
      <c r="I32" s="32">
        <v>66341.84</v>
      </c>
      <c r="J32" s="32">
        <v>48214.29</v>
      </c>
      <c r="K32" s="32">
        <v>79416.679999999993</v>
      </c>
      <c r="L32" s="32">
        <v>76698.39</v>
      </c>
      <c r="M32" s="32">
        <v>155749.22</v>
      </c>
      <c r="N32" s="32">
        <v>110939.63</v>
      </c>
      <c r="O32" s="32">
        <v>97976.76</v>
      </c>
      <c r="P32" s="32">
        <v>101920.12</v>
      </c>
      <c r="Q32" s="32">
        <v>103091.46</v>
      </c>
      <c r="R32" s="32">
        <v>2148</v>
      </c>
      <c r="S32" s="32">
        <v>0</v>
      </c>
      <c r="T32" s="32">
        <v>3646</v>
      </c>
      <c r="U32" s="32">
        <v>3794.11</v>
      </c>
      <c r="V32" s="32">
        <v>8828.89</v>
      </c>
      <c r="W32" s="32">
        <v>99</v>
      </c>
      <c r="X32" s="32">
        <v>1209726.82</v>
      </c>
    </row>
    <row r="33" spans="1:24" x14ac:dyDescent="0.2">
      <c r="A33" s="9" t="s">
        <v>376</v>
      </c>
      <c r="B33" s="32">
        <v>8242.86</v>
      </c>
      <c r="C33" s="32">
        <v>8242.84</v>
      </c>
      <c r="D33" s="32">
        <v>8242.86</v>
      </c>
      <c r="E33" s="32">
        <v>8242.86</v>
      </c>
      <c r="F33" s="32">
        <v>8242.86</v>
      </c>
      <c r="G33" s="32">
        <v>8242.86</v>
      </c>
      <c r="H33" s="32">
        <v>8242.86</v>
      </c>
      <c r="I33" s="32">
        <v>10065.709999999999</v>
      </c>
      <c r="J33" s="32">
        <v>10065.709999999999</v>
      </c>
      <c r="K33" s="32">
        <v>10065.709999999999</v>
      </c>
      <c r="L33" s="32">
        <v>10065.709999999999</v>
      </c>
      <c r="M33" s="32">
        <v>10065.709999999999</v>
      </c>
      <c r="N33" s="32">
        <v>10065.709999999999</v>
      </c>
      <c r="O33" s="32">
        <v>10065.709999999999</v>
      </c>
      <c r="P33" s="32">
        <v>13375</v>
      </c>
      <c r="Q33" s="32">
        <v>13375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154909.97</v>
      </c>
    </row>
    <row r="34" spans="1:24" x14ac:dyDescent="0.2">
      <c r="A34" s="9" t="s">
        <v>377</v>
      </c>
      <c r="B34" s="33">
        <v>78894.62</v>
      </c>
      <c r="C34" s="33">
        <v>43617.760000000002</v>
      </c>
      <c r="D34" s="33">
        <v>57701.34</v>
      </c>
      <c r="E34" s="33">
        <v>46382.78</v>
      </c>
      <c r="F34" s="33">
        <v>76250.16</v>
      </c>
      <c r="G34" s="33">
        <v>55654.34</v>
      </c>
      <c r="H34" s="33">
        <v>50061.43</v>
      </c>
      <c r="I34" s="33">
        <v>76407.55</v>
      </c>
      <c r="J34" s="33">
        <v>58280</v>
      </c>
      <c r="K34" s="33">
        <v>89482.39</v>
      </c>
      <c r="L34" s="33">
        <v>86764.1</v>
      </c>
      <c r="M34" s="33">
        <v>165814.93</v>
      </c>
      <c r="N34" s="33">
        <v>121005.34</v>
      </c>
      <c r="O34" s="33">
        <v>108042.47</v>
      </c>
      <c r="P34" s="33">
        <v>115295.12</v>
      </c>
      <c r="Q34" s="33">
        <v>116466.46</v>
      </c>
      <c r="R34" s="33">
        <v>2148</v>
      </c>
      <c r="S34" s="33">
        <v>0</v>
      </c>
      <c r="T34" s="33">
        <v>3646</v>
      </c>
      <c r="U34" s="33">
        <v>3794.11</v>
      </c>
      <c r="V34" s="33">
        <v>8828.89</v>
      </c>
      <c r="W34" s="33">
        <v>99</v>
      </c>
      <c r="X34" s="33">
        <v>1364636.79</v>
      </c>
    </row>
    <row r="35" spans="1:24" ht="13.5" thickBot="1" x14ac:dyDescent="0.25">
      <c r="A35" s="31" t="s">
        <v>378</v>
      </c>
      <c r="B35" s="36">
        <v>1076843.56</v>
      </c>
      <c r="C35" s="36">
        <v>520655.81</v>
      </c>
      <c r="D35" s="36">
        <v>504070.62</v>
      </c>
      <c r="E35" s="36">
        <v>351519.78</v>
      </c>
      <c r="F35" s="36">
        <v>958926.85</v>
      </c>
      <c r="G35" s="36">
        <v>453343.53</v>
      </c>
      <c r="H35" s="36">
        <v>517187.8</v>
      </c>
      <c r="I35" s="36">
        <v>402559.06</v>
      </c>
      <c r="J35" s="36">
        <v>305939.86</v>
      </c>
      <c r="K35" s="36">
        <v>462178.87</v>
      </c>
      <c r="L35" s="36">
        <v>750303.03</v>
      </c>
      <c r="M35" s="36">
        <v>1592143.47</v>
      </c>
      <c r="N35" s="36">
        <v>663545.78</v>
      </c>
      <c r="O35" s="36">
        <v>896465.32</v>
      </c>
      <c r="P35" s="36">
        <v>300858.82</v>
      </c>
      <c r="Q35" s="36">
        <v>543950.93999999994</v>
      </c>
      <c r="R35" s="36">
        <v>81422.86</v>
      </c>
      <c r="S35" s="36">
        <v>36077.129999999997</v>
      </c>
      <c r="T35" s="36">
        <v>-29538.71</v>
      </c>
      <c r="U35" s="36">
        <v>144923.56</v>
      </c>
      <c r="V35" s="36">
        <v>110289.13</v>
      </c>
      <c r="W35" s="36">
        <v>-41843.64</v>
      </c>
      <c r="X35" s="36">
        <v>10601823.43</v>
      </c>
    </row>
    <row r="36" spans="1:24" ht="13.5" thickTop="1" x14ac:dyDescent="0.2">
      <c r="A36" s="31" t="s">
        <v>379</v>
      </c>
      <c r="B36" s="37" t="s">
        <v>32</v>
      </c>
      <c r="C36" s="37" t="s">
        <v>32</v>
      </c>
      <c r="D36" s="37" t="s">
        <v>32</v>
      </c>
      <c r="E36" s="37" t="s">
        <v>32</v>
      </c>
      <c r="F36" s="37" t="s">
        <v>32</v>
      </c>
      <c r="G36" s="37" t="s">
        <v>32</v>
      </c>
      <c r="H36" s="37" t="s">
        <v>32</v>
      </c>
      <c r="I36" s="37" t="s">
        <v>32</v>
      </c>
      <c r="J36" s="37" t="s">
        <v>32</v>
      </c>
      <c r="K36" s="37" t="s">
        <v>32</v>
      </c>
      <c r="L36" s="37" t="s">
        <v>32</v>
      </c>
      <c r="M36" s="37" t="s">
        <v>32</v>
      </c>
      <c r="N36" s="37" t="s">
        <v>32</v>
      </c>
      <c r="O36" s="37" t="s">
        <v>32</v>
      </c>
      <c r="P36" s="37" t="s">
        <v>32</v>
      </c>
      <c r="Q36" s="37" t="s">
        <v>32</v>
      </c>
      <c r="R36" s="37" t="s">
        <v>32</v>
      </c>
      <c r="S36" s="37" t="s">
        <v>32</v>
      </c>
      <c r="T36" s="37" t="s">
        <v>32</v>
      </c>
      <c r="U36" s="37" t="s">
        <v>32</v>
      </c>
      <c r="V36" s="37" t="s">
        <v>32</v>
      </c>
      <c r="W36" s="37" t="s">
        <v>32</v>
      </c>
      <c r="X36" s="37" t="s">
        <v>32</v>
      </c>
    </row>
    <row r="37" spans="1:24" x14ac:dyDescent="0.2">
      <c r="A37" s="9" t="s">
        <v>380</v>
      </c>
      <c r="B37" s="9" t="s">
        <v>70</v>
      </c>
      <c r="C37" s="9" t="s">
        <v>70</v>
      </c>
      <c r="D37" s="9" t="s">
        <v>70</v>
      </c>
      <c r="E37" s="9" t="s">
        <v>70</v>
      </c>
      <c r="F37" s="9" t="s">
        <v>70</v>
      </c>
      <c r="G37" s="9" t="s">
        <v>70</v>
      </c>
      <c r="H37" s="9" t="s">
        <v>70</v>
      </c>
      <c r="I37" s="9" t="s">
        <v>70</v>
      </c>
      <c r="J37" s="9" t="s">
        <v>70</v>
      </c>
      <c r="K37" s="9" t="s">
        <v>70</v>
      </c>
      <c r="L37" s="9" t="s">
        <v>70</v>
      </c>
      <c r="M37" s="9" t="s">
        <v>70</v>
      </c>
      <c r="N37" s="9" t="s">
        <v>70</v>
      </c>
      <c r="O37" s="9" t="s">
        <v>70</v>
      </c>
      <c r="P37" s="9" t="s">
        <v>70</v>
      </c>
      <c r="Q37" s="9" t="s">
        <v>70</v>
      </c>
      <c r="R37" s="9" t="s">
        <v>70</v>
      </c>
      <c r="S37" s="9" t="s">
        <v>70</v>
      </c>
      <c r="T37" s="9" t="s">
        <v>70</v>
      </c>
      <c r="U37" s="9" t="s">
        <v>70</v>
      </c>
      <c r="V37" s="9" t="s">
        <v>70</v>
      </c>
      <c r="W37" s="9" t="s">
        <v>70</v>
      </c>
      <c r="X37" s="9" t="s">
        <v>70</v>
      </c>
    </row>
    <row r="38" spans="1:24" x14ac:dyDescent="0.2">
      <c r="A38" s="9" t="s">
        <v>381</v>
      </c>
      <c r="B38" s="9" t="s">
        <v>362</v>
      </c>
      <c r="C38" s="9" t="s">
        <v>362</v>
      </c>
      <c r="D38" s="9" t="s">
        <v>362</v>
      </c>
      <c r="E38" s="9" t="s">
        <v>362</v>
      </c>
      <c r="F38" s="9" t="s">
        <v>362</v>
      </c>
      <c r="G38" s="9" t="s">
        <v>362</v>
      </c>
      <c r="H38" s="9" t="s">
        <v>362</v>
      </c>
      <c r="I38" s="9" t="s">
        <v>362</v>
      </c>
      <c r="J38" s="9" t="s">
        <v>362</v>
      </c>
      <c r="K38" s="9" t="s">
        <v>362</v>
      </c>
      <c r="L38" s="9" t="s">
        <v>362</v>
      </c>
      <c r="M38" s="9" t="s">
        <v>362</v>
      </c>
      <c r="N38" s="9" t="s">
        <v>362</v>
      </c>
      <c r="O38" s="9" t="s">
        <v>362</v>
      </c>
      <c r="P38" s="9" t="s">
        <v>362</v>
      </c>
      <c r="Q38" s="9" t="s">
        <v>362</v>
      </c>
      <c r="R38" s="9" t="s">
        <v>362</v>
      </c>
      <c r="S38" s="9" t="s">
        <v>362</v>
      </c>
      <c r="T38" s="9" t="s">
        <v>362</v>
      </c>
      <c r="U38" s="9" t="s">
        <v>362</v>
      </c>
      <c r="V38" s="9" t="s">
        <v>362</v>
      </c>
      <c r="W38" s="9" t="s">
        <v>362</v>
      </c>
      <c r="X38" s="9" t="s">
        <v>362</v>
      </c>
    </row>
    <row r="39" spans="1:24" x14ac:dyDescent="0.2">
      <c r="A39" s="9" t="s">
        <v>382</v>
      </c>
      <c r="B39" s="32">
        <v>487412.74</v>
      </c>
      <c r="C39" s="32">
        <v>328885.15999999997</v>
      </c>
      <c r="D39" s="32">
        <v>326199.53000000003</v>
      </c>
      <c r="E39" s="32">
        <v>324729.89</v>
      </c>
      <c r="F39" s="32">
        <v>365679.66</v>
      </c>
      <c r="G39" s="32">
        <v>296146.43</v>
      </c>
      <c r="H39" s="32">
        <v>251912.54</v>
      </c>
      <c r="I39" s="32">
        <v>259307.33</v>
      </c>
      <c r="J39" s="32">
        <v>201343.9</v>
      </c>
      <c r="K39" s="32">
        <v>303473.93</v>
      </c>
      <c r="L39" s="32">
        <v>294624.82</v>
      </c>
      <c r="M39" s="32">
        <v>509397.4</v>
      </c>
      <c r="N39" s="32">
        <v>271668.3</v>
      </c>
      <c r="O39" s="32">
        <v>428758.44</v>
      </c>
      <c r="P39" s="32">
        <v>414079.8</v>
      </c>
      <c r="Q39" s="32">
        <v>325796.67</v>
      </c>
      <c r="R39" s="32">
        <v>102690.09</v>
      </c>
      <c r="S39" s="32">
        <v>97425.83</v>
      </c>
      <c r="T39" s="32">
        <v>78996.03</v>
      </c>
      <c r="U39" s="32">
        <v>125933.28</v>
      </c>
      <c r="V39" s="32">
        <v>94081.83</v>
      </c>
      <c r="W39" s="32">
        <v>11074.97</v>
      </c>
      <c r="X39" s="32">
        <v>5899618.5700000003</v>
      </c>
    </row>
    <row r="40" spans="1:24" x14ac:dyDescent="0.2">
      <c r="A40" s="9" t="s">
        <v>383</v>
      </c>
      <c r="B40" s="32">
        <v>62514.06</v>
      </c>
      <c r="C40" s="32">
        <v>45902.46</v>
      </c>
      <c r="D40" s="32">
        <v>43858.16</v>
      </c>
      <c r="E40" s="32">
        <v>17974.400000000001</v>
      </c>
      <c r="F40" s="32">
        <v>52620.9</v>
      </c>
      <c r="G40" s="32">
        <v>41507.74</v>
      </c>
      <c r="H40" s="32">
        <v>45780.36</v>
      </c>
      <c r="I40" s="32">
        <v>63332.17</v>
      </c>
      <c r="J40" s="32">
        <v>45894.69</v>
      </c>
      <c r="K40" s="32">
        <v>70655.509999999995</v>
      </c>
      <c r="L40" s="32">
        <v>77859.61</v>
      </c>
      <c r="M40" s="32">
        <v>165255.37</v>
      </c>
      <c r="N40" s="32">
        <v>101757.91</v>
      </c>
      <c r="O40" s="32">
        <v>94167.66</v>
      </c>
      <c r="P40" s="32">
        <v>113260.72</v>
      </c>
      <c r="Q40" s="32">
        <v>100220.03</v>
      </c>
      <c r="R40" s="32">
        <v>29760.33</v>
      </c>
      <c r="S40" s="32">
        <v>27911.48</v>
      </c>
      <c r="T40" s="32">
        <v>22378.81</v>
      </c>
      <c r="U40" s="32">
        <v>37612.29</v>
      </c>
      <c r="V40" s="32">
        <v>12589.73</v>
      </c>
      <c r="W40" s="32">
        <v>4724.28</v>
      </c>
      <c r="X40" s="32">
        <v>1277538.67</v>
      </c>
    </row>
    <row r="41" spans="1:24" x14ac:dyDescent="0.2">
      <c r="A41" s="9" t="s">
        <v>384</v>
      </c>
      <c r="B41" s="32">
        <v>391437.14</v>
      </c>
      <c r="C41" s="32">
        <v>205781.51</v>
      </c>
      <c r="D41" s="32">
        <v>220026.86</v>
      </c>
      <c r="E41" s="32">
        <v>150513.22</v>
      </c>
      <c r="F41" s="32">
        <v>354365.52</v>
      </c>
      <c r="G41" s="32">
        <v>224576.4</v>
      </c>
      <c r="H41" s="32">
        <v>219740.6</v>
      </c>
      <c r="I41" s="32">
        <v>172472.31</v>
      </c>
      <c r="J41" s="32">
        <v>164335.60999999999</v>
      </c>
      <c r="K41" s="32">
        <v>241509.39</v>
      </c>
      <c r="L41" s="32">
        <v>314415.27</v>
      </c>
      <c r="M41" s="32">
        <v>534258.11</v>
      </c>
      <c r="N41" s="32">
        <v>310272.13</v>
      </c>
      <c r="O41" s="32">
        <v>422075.16</v>
      </c>
      <c r="P41" s="32">
        <v>174595.96</v>
      </c>
      <c r="Q41" s="32">
        <v>218981.87</v>
      </c>
      <c r="R41" s="32">
        <v>0</v>
      </c>
      <c r="S41" s="32">
        <v>0</v>
      </c>
      <c r="T41" s="32">
        <v>0</v>
      </c>
      <c r="U41" s="32">
        <v>17094.16</v>
      </c>
      <c r="V41" s="32">
        <v>25065.56</v>
      </c>
      <c r="W41" s="32">
        <v>0</v>
      </c>
      <c r="X41" s="32">
        <v>4361516.78</v>
      </c>
    </row>
    <row r="42" spans="1:24" x14ac:dyDescent="0.2">
      <c r="A42" s="9" t="s">
        <v>385</v>
      </c>
      <c r="B42" s="32">
        <v>0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2962</v>
      </c>
      <c r="J42" s="32">
        <v>0</v>
      </c>
      <c r="K42" s="32">
        <v>3140</v>
      </c>
      <c r="L42" s="32">
        <v>0</v>
      </c>
      <c r="M42" s="32">
        <v>5884.52</v>
      </c>
      <c r="N42" s="32">
        <v>0</v>
      </c>
      <c r="O42" s="32">
        <v>0</v>
      </c>
      <c r="P42" s="32">
        <v>653.20000000000005</v>
      </c>
      <c r="Q42" s="32">
        <v>2109.2399999999998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14748.96</v>
      </c>
    </row>
    <row r="43" spans="1:24" x14ac:dyDescent="0.2">
      <c r="A43" s="9" t="s">
        <v>386</v>
      </c>
      <c r="B43" s="35">
        <v>941363.94</v>
      </c>
      <c r="C43" s="35">
        <v>580569.13</v>
      </c>
      <c r="D43" s="35">
        <v>590084.55000000005</v>
      </c>
      <c r="E43" s="35">
        <v>493217.51</v>
      </c>
      <c r="F43" s="35">
        <v>772666.08</v>
      </c>
      <c r="G43" s="35">
        <v>562230.56999999995</v>
      </c>
      <c r="H43" s="35">
        <v>517433.5</v>
      </c>
      <c r="I43" s="35">
        <v>498073.81</v>
      </c>
      <c r="J43" s="35">
        <v>411574.2</v>
      </c>
      <c r="K43" s="35">
        <v>618778.82999999996</v>
      </c>
      <c r="L43" s="35">
        <v>686899.7</v>
      </c>
      <c r="M43" s="35">
        <v>1214795.3999999999</v>
      </c>
      <c r="N43" s="35">
        <v>683698.34</v>
      </c>
      <c r="O43" s="35">
        <v>945001.26</v>
      </c>
      <c r="P43" s="35">
        <v>702589.68</v>
      </c>
      <c r="Q43" s="35">
        <v>647107.81000000006</v>
      </c>
      <c r="R43" s="35">
        <v>132450.42000000001</v>
      </c>
      <c r="S43" s="35">
        <v>125337.31</v>
      </c>
      <c r="T43" s="35">
        <v>101374.84</v>
      </c>
      <c r="U43" s="35">
        <v>180639.73</v>
      </c>
      <c r="V43" s="35">
        <v>131737.12</v>
      </c>
      <c r="W43" s="35">
        <v>15799.25</v>
      </c>
      <c r="X43" s="35">
        <v>11553422.98</v>
      </c>
    </row>
    <row r="44" spans="1:24" x14ac:dyDescent="0.2">
      <c r="A44" s="9" t="s">
        <v>387</v>
      </c>
      <c r="B44" s="33">
        <v>941363.94</v>
      </c>
      <c r="C44" s="33">
        <v>580569.13</v>
      </c>
      <c r="D44" s="33">
        <v>590084.55000000005</v>
      </c>
      <c r="E44" s="33">
        <v>493217.51</v>
      </c>
      <c r="F44" s="33">
        <v>772666.08</v>
      </c>
      <c r="G44" s="33">
        <v>562230.56999999995</v>
      </c>
      <c r="H44" s="33">
        <v>517433.5</v>
      </c>
      <c r="I44" s="33">
        <v>498073.81</v>
      </c>
      <c r="J44" s="33">
        <v>411574.2</v>
      </c>
      <c r="K44" s="33">
        <v>618778.82999999996</v>
      </c>
      <c r="L44" s="33">
        <v>686899.7</v>
      </c>
      <c r="M44" s="33">
        <v>1214795.3999999999</v>
      </c>
      <c r="N44" s="33">
        <v>683698.34</v>
      </c>
      <c r="O44" s="33">
        <v>945001.26</v>
      </c>
      <c r="P44" s="33">
        <v>702589.68</v>
      </c>
      <c r="Q44" s="33">
        <v>647107.81000000006</v>
      </c>
      <c r="R44" s="33">
        <v>132450.42000000001</v>
      </c>
      <c r="S44" s="33">
        <v>125337.31</v>
      </c>
      <c r="T44" s="33">
        <v>101374.84</v>
      </c>
      <c r="U44" s="33">
        <v>180639.73</v>
      </c>
      <c r="V44" s="33">
        <v>131737.12</v>
      </c>
      <c r="W44" s="33">
        <v>15799.25</v>
      </c>
      <c r="X44" s="33">
        <v>11553422.98</v>
      </c>
    </row>
    <row r="45" spans="1:24" x14ac:dyDescent="0.2">
      <c r="A45" s="9" t="s">
        <v>388</v>
      </c>
      <c r="B45" s="34" t="s">
        <v>70</v>
      </c>
      <c r="C45" s="34" t="s">
        <v>70</v>
      </c>
      <c r="D45" s="34" t="s">
        <v>70</v>
      </c>
      <c r="E45" s="34" t="s">
        <v>70</v>
      </c>
      <c r="F45" s="34" t="s">
        <v>70</v>
      </c>
      <c r="G45" s="34" t="s">
        <v>70</v>
      </c>
      <c r="H45" s="34" t="s">
        <v>70</v>
      </c>
      <c r="I45" s="34" t="s">
        <v>70</v>
      </c>
      <c r="J45" s="34" t="s">
        <v>70</v>
      </c>
      <c r="K45" s="34" t="s">
        <v>70</v>
      </c>
      <c r="L45" s="34" t="s">
        <v>70</v>
      </c>
      <c r="M45" s="34" t="s">
        <v>70</v>
      </c>
      <c r="N45" s="34" t="s">
        <v>70</v>
      </c>
      <c r="O45" s="34" t="s">
        <v>70</v>
      </c>
      <c r="P45" s="34" t="s">
        <v>70</v>
      </c>
      <c r="Q45" s="34" t="s">
        <v>70</v>
      </c>
      <c r="R45" s="34" t="s">
        <v>70</v>
      </c>
      <c r="S45" s="34" t="s">
        <v>70</v>
      </c>
      <c r="T45" s="34" t="s">
        <v>70</v>
      </c>
      <c r="U45" s="34" t="s">
        <v>70</v>
      </c>
      <c r="V45" s="34" t="s">
        <v>70</v>
      </c>
      <c r="W45" s="34" t="s">
        <v>70</v>
      </c>
      <c r="X45" s="34" t="s">
        <v>70</v>
      </c>
    </row>
    <row r="46" spans="1:24" x14ac:dyDescent="0.2">
      <c r="A46" s="9" t="s">
        <v>389</v>
      </c>
      <c r="B46" s="32">
        <v>75068.97</v>
      </c>
      <c r="C46" s="32">
        <v>-47849.13</v>
      </c>
      <c r="D46" s="32">
        <v>-66477.649999999994</v>
      </c>
      <c r="E46" s="32">
        <v>-87248.68</v>
      </c>
      <c r="F46" s="32">
        <v>120426.18</v>
      </c>
      <c r="G46" s="32">
        <v>-64262.35</v>
      </c>
      <c r="H46" s="32">
        <v>22367.72</v>
      </c>
      <c r="I46" s="32">
        <v>-64488.29</v>
      </c>
      <c r="J46" s="32">
        <v>-68205.56</v>
      </c>
      <c r="K46" s="32">
        <v>-90600.48</v>
      </c>
      <c r="L46" s="32">
        <v>35521.74</v>
      </c>
      <c r="M46" s="32">
        <v>297611.53000000003</v>
      </c>
      <c r="N46" s="32">
        <v>-8348.7800000000007</v>
      </c>
      <c r="O46" s="32">
        <v>7557.64</v>
      </c>
      <c r="P46" s="32">
        <v>-258248.59</v>
      </c>
      <c r="Q46" s="32">
        <v>-92660.18</v>
      </c>
      <c r="R46" s="32">
        <v>-43931.12</v>
      </c>
      <c r="S46" s="32">
        <v>-67829.990000000005</v>
      </c>
      <c r="T46" s="32">
        <v>-85355.38</v>
      </c>
      <c r="U46" s="32">
        <v>-40132.32</v>
      </c>
      <c r="V46" s="32">
        <v>-22132.75</v>
      </c>
      <c r="W46" s="32">
        <v>-30123.17</v>
      </c>
      <c r="X46" s="32">
        <v>-579340.64</v>
      </c>
    </row>
    <row r="47" spans="1:24" x14ac:dyDescent="0.2">
      <c r="A47" s="9" t="s">
        <v>390</v>
      </c>
      <c r="B47" s="32">
        <v>60410.65</v>
      </c>
      <c r="C47" s="32">
        <v>-12064.19</v>
      </c>
      <c r="D47" s="32">
        <v>-19536.28</v>
      </c>
      <c r="E47" s="32">
        <v>-54449.05</v>
      </c>
      <c r="F47" s="32">
        <v>65834.59</v>
      </c>
      <c r="G47" s="32">
        <v>-44624.69</v>
      </c>
      <c r="H47" s="32">
        <v>-22613.42</v>
      </c>
      <c r="I47" s="32">
        <v>-31026.46</v>
      </c>
      <c r="J47" s="32">
        <v>-37428.78</v>
      </c>
      <c r="K47" s="32">
        <v>-65999.48</v>
      </c>
      <c r="L47" s="32">
        <v>27881.59</v>
      </c>
      <c r="M47" s="32">
        <v>79736.539999999994</v>
      </c>
      <c r="N47" s="32">
        <v>-11803.78</v>
      </c>
      <c r="O47" s="32">
        <v>-56093.58</v>
      </c>
      <c r="P47" s="32">
        <v>-143482.26999999999</v>
      </c>
      <c r="Q47" s="32">
        <v>-10496.69</v>
      </c>
      <c r="R47" s="32">
        <v>-7096.44</v>
      </c>
      <c r="S47" s="32">
        <v>-21430.19</v>
      </c>
      <c r="T47" s="32">
        <v>-45558.17</v>
      </c>
      <c r="U47" s="32">
        <v>4416.1499999999996</v>
      </c>
      <c r="V47" s="32">
        <v>684.76</v>
      </c>
      <c r="W47" s="32">
        <v>-27519.72</v>
      </c>
      <c r="X47" s="32">
        <v>-372258.91</v>
      </c>
    </row>
    <row r="48" spans="1:24" x14ac:dyDescent="0.2">
      <c r="A48" s="9" t="s">
        <v>391</v>
      </c>
      <c r="B48" s="33">
        <v>135479.62</v>
      </c>
      <c r="C48" s="33">
        <v>-59913.32</v>
      </c>
      <c r="D48" s="33">
        <v>-86013.93</v>
      </c>
      <c r="E48" s="33">
        <v>-141697.73000000001</v>
      </c>
      <c r="F48" s="33">
        <v>186260.77</v>
      </c>
      <c r="G48" s="33">
        <v>-108887.03999999999</v>
      </c>
      <c r="H48" s="33">
        <v>-245.7</v>
      </c>
      <c r="I48" s="33">
        <v>-95514.75</v>
      </c>
      <c r="J48" s="33">
        <v>-105634.34</v>
      </c>
      <c r="K48" s="33">
        <v>-156599.96</v>
      </c>
      <c r="L48" s="33">
        <v>63403.33</v>
      </c>
      <c r="M48" s="33">
        <v>377348.07</v>
      </c>
      <c r="N48" s="33">
        <v>-20152.560000000001</v>
      </c>
      <c r="O48" s="33">
        <v>-48535.94</v>
      </c>
      <c r="P48" s="33">
        <v>-401730.86</v>
      </c>
      <c r="Q48" s="33">
        <v>-103156.87</v>
      </c>
      <c r="R48" s="33">
        <v>-51027.56</v>
      </c>
      <c r="S48" s="33">
        <v>-89260.18</v>
      </c>
      <c r="T48" s="33">
        <v>-130913.55</v>
      </c>
      <c r="U48" s="33">
        <v>-35716.17</v>
      </c>
      <c r="V48" s="33">
        <v>-21447.99</v>
      </c>
      <c r="W48" s="33">
        <v>-57642.89</v>
      </c>
      <c r="X48" s="33">
        <v>-951599.55</v>
      </c>
    </row>
    <row r="49" spans="1:24" ht="13.5" thickBot="1" x14ac:dyDescent="0.25">
      <c r="A49" s="31" t="s">
        <v>392</v>
      </c>
      <c r="B49" s="36">
        <v>1076843.56</v>
      </c>
      <c r="C49" s="36">
        <v>520655.81</v>
      </c>
      <c r="D49" s="36">
        <v>504070.62</v>
      </c>
      <c r="E49" s="36">
        <v>351519.78</v>
      </c>
      <c r="F49" s="36">
        <v>958926.85</v>
      </c>
      <c r="G49" s="36">
        <v>453343.53</v>
      </c>
      <c r="H49" s="36">
        <v>517187.8</v>
      </c>
      <c r="I49" s="36">
        <v>402559.06</v>
      </c>
      <c r="J49" s="36">
        <v>305939.86</v>
      </c>
      <c r="K49" s="36">
        <v>462178.87</v>
      </c>
      <c r="L49" s="36">
        <v>750303.03</v>
      </c>
      <c r="M49" s="36">
        <v>1592143.47</v>
      </c>
      <c r="N49" s="36">
        <v>663545.78</v>
      </c>
      <c r="O49" s="36">
        <v>896465.32</v>
      </c>
      <c r="P49" s="36">
        <v>300858.82</v>
      </c>
      <c r="Q49" s="36">
        <v>543950.93999999994</v>
      </c>
      <c r="R49" s="36">
        <v>81422.86</v>
      </c>
      <c r="S49" s="36">
        <v>36077.129999999997</v>
      </c>
      <c r="T49" s="36">
        <v>-29538.71</v>
      </c>
      <c r="U49" s="36">
        <v>144923.56</v>
      </c>
      <c r="V49" s="36">
        <v>110289.13</v>
      </c>
      <c r="W49" s="36">
        <v>-41843.64</v>
      </c>
      <c r="X49" s="36">
        <v>10601823.43</v>
      </c>
    </row>
    <row r="50" spans="1:24" ht="13.5" thickTop="1" x14ac:dyDescent="0.2">
      <c r="A50" s="4" t="s">
        <v>6</v>
      </c>
    </row>
    <row r="51" spans="1:24" x14ac:dyDescent="0.2">
      <c r="A51" s="4" t="s">
        <v>6</v>
      </c>
    </row>
    <row r="52" spans="1:24" x14ac:dyDescent="0.2">
      <c r="A52" s="9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opLeftCell="A14" workbookViewId="0">
      <selection activeCell="E48" sqref="E48"/>
    </sheetView>
  </sheetViews>
  <sheetFormatPr defaultColWidth="9.140625" defaultRowHeight="12.75" x14ac:dyDescent="0.2"/>
  <cols>
    <col min="1" max="1" width="45.855468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1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31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33</v>
      </c>
      <c r="B12" s="11">
        <v>6351812</v>
      </c>
      <c r="C12" s="11">
        <v>459586</v>
      </c>
      <c r="D12" s="11">
        <v>301841</v>
      </c>
      <c r="E12" s="11">
        <v>279017</v>
      </c>
      <c r="F12" s="11">
        <v>256835</v>
      </c>
      <c r="G12" s="11">
        <v>421736</v>
      </c>
      <c r="H12" s="11">
        <v>251747</v>
      </c>
      <c r="I12" s="11">
        <v>221953</v>
      </c>
      <c r="J12" s="11">
        <v>273368</v>
      </c>
      <c r="K12" s="11">
        <v>218164</v>
      </c>
      <c r="L12" s="11">
        <v>311918</v>
      </c>
      <c r="M12" s="11">
        <v>392181</v>
      </c>
      <c r="N12" s="11">
        <v>822319</v>
      </c>
      <c r="O12" s="11">
        <v>482888</v>
      </c>
      <c r="P12" s="11">
        <v>480013</v>
      </c>
      <c r="Q12" s="11">
        <v>256835</v>
      </c>
      <c r="R12" s="11">
        <v>383601</v>
      </c>
      <c r="S12" s="11">
        <v>125175</v>
      </c>
      <c r="T12" s="11">
        <v>111193</v>
      </c>
      <c r="U12" s="11">
        <v>62344</v>
      </c>
      <c r="V12" s="11">
        <v>159413</v>
      </c>
      <c r="W12" s="11">
        <v>78388</v>
      </c>
      <c r="X12" s="11">
        <v>1296</v>
      </c>
    </row>
    <row r="13" spans="1:24" x14ac:dyDescent="0.2">
      <c r="A13" s="6" t="s">
        <v>34</v>
      </c>
      <c r="B13" s="11">
        <v>280041</v>
      </c>
      <c r="C13" s="11">
        <v>33722</v>
      </c>
      <c r="D13" s="11">
        <v>31786</v>
      </c>
      <c r="E13" s="11">
        <v>196</v>
      </c>
      <c r="F13" s="11">
        <v>14039</v>
      </c>
      <c r="G13" s="11">
        <v>26254</v>
      </c>
      <c r="H13" s="11">
        <v>13932</v>
      </c>
      <c r="I13" s="11">
        <v>15630</v>
      </c>
      <c r="J13" s="11">
        <v>14475</v>
      </c>
      <c r="K13" s="11">
        <v>163</v>
      </c>
      <c r="L13" s="11">
        <v>8585</v>
      </c>
      <c r="M13" s="11">
        <v>20733</v>
      </c>
      <c r="N13" s="11">
        <v>21256</v>
      </c>
      <c r="O13" s="11">
        <v>16626</v>
      </c>
      <c r="P13" s="11">
        <v>26949</v>
      </c>
      <c r="Q13" s="11">
        <v>16696</v>
      </c>
      <c r="R13" s="11">
        <v>18716</v>
      </c>
      <c r="S13" s="11">
        <v>0</v>
      </c>
      <c r="T13" s="11">
        <v>285</v>
      </c>
      <c r="U13" s="11">
        <v>0</v>
      </c>
      <c r="V13" s="11">
        <v>0</v>
      </c>
      <c r="W13" s="11">
        <v>0</v>
      </c>
      <c r="X13" s="11">
        <v>0</v>
      </c>
    </row>
    <row r="14" spans="1:24" x14ac:dyDescent="0.2">
      <c r="A14" s="6" t="s">
        <v>35</v>
      </c>
      <c r="B14" s="12">
        <v>6071771</v>
      </c>
      <c r="C14" s="12">
        <v>425864</v>
      </c>
      <c r="D14" s="12">
        <v>270055</v>
      </c>
      <c r="E14" s="12">
        <v>278821</v>
      </c>
      <c r="F14" s="12">
        <v>242796</v>
      </c>
      <c r="G14" s="12">
        <v>395482</v>
      </c>
      <c r="H14" s="12">
        <v>237815</v>
      </c>
      <c r="I14" s="12">
        <v>206324</v>
      </c>
      <c r="J14" s="12">
        <v>258893</v>
      </c>
      <c r="K14" s="12">
        <v>218001</v>
      </c>
      <c r="L14" s="12">
        <v>303333</v>
      </c>
      <c r="M14" s="12">
        <v>371448</v>
      </c>
      <c r="N14" s="12">
        <v>801063</v>
      </c>
      <c r="O14" s="12">
        <v>466262</v>
      </c>
      <c r="P14" s="12">
        <v>453064</v>
      </c>
      <c r="Q14" s="12">
        <v>240139</v>
      </c>
      <c r="R14" s="12">
        <v>364885</v>
      </c>
      <c r="S14" s="12">
        <v>125175</v>
      </c>
      <c r="T14" s="12">
        <v>110908</v>
      </c>
      <c r="U14" s="12">
        <v>62344</v>
      </c>
      <c r="V14" s="12">
        <v>159413</v>
      </c>
      <c r="W14" s="12">
        <v>78388</v>
      </c>
      <c r="X14" s="12">
        <v>1296</v>
      </c>
    </row>
    <row r="15" spans="1:24" x14ac:dyDescent="0.2">
      <c r="A15" s="6" t="s">
        <v>36</v>
      </c>
      <c r="B15" s="6" t="s">
        <v>32</v>
      </c>
      <c r="C15" s="6" t="s">
        <v>32</v>
      </c>
      <c r="D15" s="6" t="s">
        <v>32</v>
      </c>
      <c r="E15" s="6" t="s">
        <v>32</v>
      </c>
      <c r="F15" s="6" t="s">
        <v>32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</row>
    <row r="16" spans="1:24" x14ac:dyDescent="0.2">
      <c r="A16" s="6" t="s">
        <v>37</v>
      </c>
      <c r="B16" s="11">
        <v>2923688</v>
      </c>
      <c r="C16" s="11">
        <v>160947</v>
      </c>
      <c r="D16" s="11">
        <v>121233</v>
      </c>
      <c r="E16" s="11">
        <v>139037</v>
      </c>
      <c r="F16" s="11">
        <v>129245</v>
      </c>
      <c r="G16" s="11">
        <v>154352</v>
      </c>
      <c r="H16" s="11">
        <v>126200</v>
      </c>
      <c r="I16" s="11">
        <v>94586</v>
      </c>
      <c r="J16" s="11">
        <v>134832</v>
      </c>
      <c r="K16" s="11">
        <v>120183</v>
      </c>
      <c r="L16" s="11">
        <v>163838</v>
      </c>
      <c r="M16" s="11">
        <v>160342</v>
      </c>
      <c r="N16" s="11">
        <v>370177</v>
      </c>
      <c r="O16" s="11">
        <v>227568</v>
      </c>
      <c r="P16" s="11">
        <v>256059</v>
      </c>
      <c r="Q16" s="11">
        <v>177075</v>
      </c>
      <c r="R16" s="11">
        <v>175404</v>
      </c>
      <c r="S16" s="11">
        <v>57544</v>
      </c>
      <c r="T16" s="11">
        <v>41107</v>
      </c>
      <c r="U16" s="11">
        <v>34066</v>
      </c>
      <c r="V16" s="11">
        <v>56927</v>
      </c>
      <c r="W16" s="11">
        <v>13715</v>
      </c>
      <c r="X16" s="11">
        <v>9251</v>
      </c>
    </row>
    <row r="17" spans="1:24" x14ac:dyDescent="0.2">
      <c r="A17" s="6" t="s">
        <v>38</v>
      </c>
      <c r="B17" s="11">
        <v>1245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1246</v>
      </c>
      <c r="U17" s="11">
        <v>0</v>
      </c>
      <c r="V17" s="11">
        <v>0</v>
      </c>
      <c r="W17" s="11">
        <v>0</v>
      </c>
      <c r="X17" s="11">
        <v>0</v>
      </c>
    </row>
    <row r="18" spans="1:24" x14ac:dyDescent="0.2">
      <c r="A18" s="6" t="s">
        <v>39</v>
      </c>
      <c r="B18" s="11">
        <v>236614</v>
      </c>
      <c r="C18" s="11">
        <v>14270</v>
      </c>
      <c r="D18" s="11">
        <v>11625</v>
      </c>
      <c r="E18" s="11">
        <v>13690</v>
      </c>
      <c r="F18" s="11">
        <v>13598</v>
      </c>
      <c r="G18" s="11">
        <v>10744</v>
      </c>
      <c r="H18" s="11">
        <v>15461</v>
      </c>
      <c r="I18" s="11">
        <v>5311</v>
      </c>
      <c r="J18" s="11">
        <v>8908</v>
      </c>
      <c r="K18" s="11">
        <v>9583</v>
      </c>
      <c r="L18" s="11">
        <v>11232</v>
      </c>
      <c r="M18" s="11">
        <v>11716</v>
      </c>
      <c r="N18" s="11">
        <v>31128</v>
      </c>
      <c r="O18" s="11">
        <v>14386</v>
      </c>
      <c r="P18" s="11">
        <v>16814</v>
      </c>
      <c r="Q18" s="11">
        <v>15760</v>
      </c>
      <c r="R18" s="11">
        <v>17824</v>
      </c>
      <c r="S18" s="11">
        <v>2645</v>
      </c>
      <c r="T18" s="11">
        <v>4005</v>
      </c>
      <c r="U18" s="11">
        <v>2140</v>
      </c>
      <c r="V18" s="11">
        <v>2961</v>
      </c>
      <c r="W18" s="11">
        <v>2738</v>
      </c>
      <c r="X18" s="11">
        <v>73</v>
      </c>
    </row>
    <row r="19" spans="1:24" x14ac:dyDescent="0.2">
      <c r="A19" s="6" t="s">
        <v>40</v>
      </c>
      <c r="B19" s="11">
        <v>460394</v>
      </c>
      <c r="C19" s="11">
        <v>24027</v>
      </c>
      <c r="D19" s="11">
        <v>21514</v>
      </c>
      <c r="E19" s="11">
        <v>14386</v>
      </c>
      <c r="F19" s="11">
        <v>21421</v>
      </c>
      <c r="G19" s="11">
        <v>15406</v>
      </c>
      <c r="H19" s="11">
        <v>17500</v>
      </c>
      <c r="I19" s="11">
        <v>17062</v>
      </c>
      <c r="J19" s="11">
        <v>17560</v>
      </c>
      <c r="K19" s="11">
        <v>23566</v>
      </c>
      <c r="L19" s="11">
        <v>19187</v>
      </c>
      <c r="M19" s="11">
        <v>25968</v>
      </c>
      <c r="N19" s="11">
        <v>36969</v>
      </c>
      <c r="O19" s="11">
        <v>39299</v>
      </c>
      <c r="P19" s="11">
        <v>38421</v>
      </c>
      <c r="Q19" s="11">
        <v>29530</v>
      </c>
      <c r="R19" s="11">
        <v>15115</v>
      </c>
      <c r="S19" s="11">
        <v>11166</v>
      </c>
      <c r="T19" s="11">
        <v>19565</v>
      </c>
      <c r="U19" s="11">
        <v>14699</v>
      </c>
      <c r="V19" s="11">
        <v>18568</v>
      </c>
      <c r="W19" s="11">
        <v>17845</v>
      </c>
      <c r="X19" s="11">
        <v>1618</v>
      </c>
    </row>
    <row r="20" spans="1:24" x14ac:dyDescent="0.2">
      <c r="A20" s="6" t="s">
        <v>41</v>
      </c>
      <c r="B20" s="11">
        <v>642977</v>
      </c>
      <c r="C20" s="11">
        <v>34287</v>
      </c>
      <c r="D20" s="11">
        <v>30153</v>
      </c>
      <c r="E20" s="11">
        <v>31876</v>
      </c>
      <c r="F20" s="11">
        <v>28860</v>
      </c>
      <c r="G20" s="11">
        <v>33667</v>
      </c>
      <c r="H20" s="11">
        <v>24693</v>
      </c>
      <c r="I20" s="11">
        <v>23141</v>
      </c>
      <c r="J20" s="11">
        <v>31987</v>
      </c>
      <c r="K20" s="11">
        <v>25358</v>
      </c>
      <c r="L20" s="11">
        <v>43536</v>
      </c>
      <c r="M20" s="11">
        <v>31334</v>
      </c>
      <c r="N20" s="11">
        <v>75646</v>
      </c>
      <c r="O20" s="11">
        <v>40503</v>
      </c>
      <c r="P20" s="11">
        <v>41036</v>
      </c>
      <c r="Q20" s="11">
        <v>30882</v>
      </c>
      <c r="R20" s="11">
        <v>32333</v>
      </c>
      <c r="S20" s="11">
        <v>11577</v>
      </c>
      <c r="T20" s="11">
        <v>19635</v>
      </c>
      <c r="U20" s="11">
        <v>16910</v>
      </c>
      <c r="V20" s="11">
        <v>21621</v>
      </c>
      <c r="W20" s="11">
        <v>12560</v>
      </c>
      <c r="X20" s="11">
        <v>1382</v>
      </c>
    </row>
    <row r="21" spans="1:24" x14ac:dyDescent="0.2">
      <c r="A21" s="6" t="s">
        <v>42</v>
      </c>
      <c r="B21" s="11">
        <v>509792</v>
      </c>
      <c r="C21" s="11">
        <v>33166</v>
      </c>
      <c r="D21" s="11">
        <v>24593</v>
      </c>
      <c r="E21" s="11">
        <v>27424</v>
      </c>
      <c r="F21" s="11">
        <v>26900</v>
      </c>
      <c r="G21" s="11">
        <v>28032</v>
      </c>
      <c r="H21" s="11">
        <v>24505</v>
      </c>
      <c r="I21" s="11">
        <v>17216</v>
      </c>
      <c r="J21" s="11">
        <v>24032</v>
      </c>
      <c r="K21" s="11">
        <v>18155</v>
      </c>
      <c r="L21" s="11">
        <v>30568</v>
      </c>
      <c r="M21" s="11">
        <v>27597</v>
      </c>
      <c r="N21" s="11">
        <v>56404</v>
      </c>
      <c r="O21" s="11">
        <v>32022</v>
      </c>
      <c r="P21" s="11">
        <v>35327</v>
      </c>
      <c r="Q21" s="11">
        <v>30221</v>
      </c>
      <c r="R21" s="11">
        <v>26099</v>
      </c>
      <c r="S21" s="11">
        <v>10410</v>
      </c>
      <c r="T21" s="11">
        <v>12910</v>
      </c>
      <c r="U21" s="11">
        <v>7980</v>
      </c>
      <c r="V21" s="11">
        <v>10553</v>
      </c>
      <c r="W21" s="11">
        <v>3817</v>
      </c>
      <c r="X21" s="11">
        <v>1861</v>
      </c>
    </row>
    <row r="22" spans="1:24" x14ac:dyDescent="0.2">
      <c r="A22" s="6" t="s">
        <v>43</v>
      </c>
      <c r="B22" s="11">
        <v>63223</v>
      </c>
      <c r="C22" s="11">
        <v>452</v>
      </c>
      <c r="D22" s="11">
        <v>2234</v>
      </c>
      <c r="E22" s="11">
        <v>4025</v>
      </c>
      <c r="F22" s="11">
        <v>676</v>
      </c>
      <c r="G22" s="11">
        <v>4585</v>
      </c>
      <c r="H22" s="11">
        <v>839</v>
      </c>
      <c r="I22" s="11">
        <v>480</v>
      </c>
      <c r="J22" s="11">
        <v>6813</v>
      </c>
      <c r="K22" s="11">
        <v>3341</v>
      </c>
      <c r="L22" s="11">
        <v>4137</v>
      </c>
      <c r="M22" s="11">
        <v>6200</v>
      </c>
      <c r="N22" s="11">
        <v>7197</v>
      </c>
      <c r="O22" s="11">
        <v>11496</v>
      </c>
      <c r="P22" s="11">
        <v>1893</v>
      </c>
      <c r="Q22" s="11">
        <v>7138</v>
      </c>
      <c r="R22" s="11">
        <v>889</v>
      </c>
      <c r="S22" s="11">
        <v>669</v>
      </c>
      <c r="T22" s="11">
        <v>0</v>
      </c>
      <c r="U22" s="11">
        <v>159</v>
      </c>
      <c r="V22" s="11">
        <v>0</v>
      </c>
      <c r="W22" s="11">
        <v>0</v>
      </c>
      <c r="X22" s="11">
        <v>0</v>
      </c>
    </row>
    <row r="23" spans="1:24" x14ac:dyDescent="0.2">
      <c r="A23" s="6" t="s">
        <v>44</v>
      </c>
      <c r="B23" s="12">
        <v>4837933</v>
      </c>
      <c r="C23" s="12">
        <v>267149</v>
      </c>
      <c r="D23" s="12">
        <v>211352</v>
      </c>
      <c r="E23" s="12">
        <v>230438</v>
      </c>
      <c r="F23" s="12">
        <v>220700</v>
      </c>
      <c r="G23" s="12">
        <v>246786</v>
      </c>
      <c r="H23" s="12">
        <v>209198</v>
      </c>
      <c r="I23" s="12">
        <v>157796</v>
      </c>
      <c r="J23" s="12">
        <v>224132</v>
      </c>
      <c r="K23" s="12">
        <v>200186</v>
      </c>
      <c r="L23" s="12">
        <v>272498</v>
      </c>
      <c r="M23" s="12">
        <v>263157</v>
      </c>
      <c r="N23" s="12">
        <v>577521</v>
      </c>
      <c r="O23" s="12">
        <v>365274</v>
      </c>
      <c r="P23" s="12">
        <v>389550</v>
      </c>
      <c r="Q23" s="12">
        <v>290606</v>
      </c>
      <c r="R23" s="12">
        <v>267664</v>
      </c>
      <c r="S23" s="12">
        <v>94011</v>
      </c>
      <c r="T23" s="12">
        <v>98468</v>
      </c>
      <c r="U23" s="12">
        <v>75954</v>
      </c>
      <c r="V23" s="12">
        <v>110630</v>
      </c>
      <c r="W23" s="12">
        <v>50675</v>
      </c>
      <c r="X23" s="12">
        <v>14185</v>
      </c>
    </row>
    <row r="24" spans="1:24" x14ac:dyDescent="0.2">
      <c r="A24" s="6" t="s">
        <v>45</v>
      </c>
      <c r="B24" s="12">
        <v>1233838</v>
      </c>
      <c r="C24" s="12">
        <v>158715</v>
      </c>
      <c r="D24" s="12">
        <v>58703</v>
      </c>
      <c r="E24" s="12">
        <v>48383</v>
      </c>
      <c r="F24" s="12">
        <v>22096</v>
      </c>
      <c r="G24" s="12">
        <v>148696</v>
      </c>
      <c r="H24" s="12">
        <v>28617</v>
      </c>
      <c r="I24" s="12">
        <v>48528</v>
      </c>
      <c r="J24" s="12">
        <v>34761</v>
      </c>
      <c r="K24" s="12">
        <v>17815</v>
      </c>
      <c r="L24" s="12">
        <v>30835</v>
      </c>
      <c r="M24" s="12">
        <v>108291</v>
      </c>
      <c r="N24" s="12">
        <v>223542</v>
      </c>
      <c r="O24" s="12">
        <v>100988</v>
      </c>
      <c r="P24" s="12">
        <v>63514</v>
      </c>
      <c r="Q24" s="12">
        <v>-50467</v>
      </c>
      <c r="R24" s="12">
        <v>97221</v>
      </c>
      <c r="S24" s="12">
        <v>31164</v>
      </c>
      <c r="T24" s="12">
        <v>12440</v>
      </c>
      <c r="U24" s="12">
        <v>-13610</v>
      </c>
      <c r="V24" s="12">
        <v>48783</v>
      </c>
      <c r="W24" s="12">
        <v>27713</v>
      </c>
      <c r="X24" s="12">
        <v>-12889</v>
      </c>
    </row>
    <row r="25" spans="1:24" x14ac:dyDescent="0.2">
      <c r="A25" s="6" t="s">
        <v>46</v>
      </c>
      <c r="B25" s="11">
        <v>896331</v>
      </c>
      <c r="C25" s="11">
        <v>47677</v>
      </c>
      <c r="D25" s="11">
        <v>43592</v>
      </c>
      <c r="E25" s="11">
        <v>44141</v>
      </c>
      <c r="F25" s="11">
        <v>50315</v>
      </c>
      <c r="G25" s="11">
        <v>48668</v>
      </c>
      <c r="H25" s="11">
        <v>47784</v>
      </c>
      <c r="I25" s="11">
        <v>44571</v>
      </c>
      <c r="J25" s="11">
        <v>38065</v>
      </c>
      <c r="K25" s="11">
        <v>33413</v>
      </c>
      <c r="L25" s="11">
        <v>51807</v>
      </c>
      <c r="M25" s="11">
        <v>44912</v>
      </c>
      <c r="N25" s="11">
        <v>70899</v>
      </c>
      <c r="O25" s="11">
        <v>48160</v>
      </c>
      <c r="P25" s="11">
        <v>63407</v>
      </c>
      <c r="Q25" s="11">
        <v>50590</v>
      </c>
      <c r="R25" s="11">
        <v>54767</v>
      </c>
      <c r="S25" s="11">
        <v>26640</v>
      </c>
      <c r="T25" s="11">
        <v>19038</v>
      </c>
      <c r="U25" s="11">
        <v>18116</v>
      </c>
      <c r="V25" s="11">
        <v>29749</v>
      </c>
      <c r="W25" s="11">
        <v>9801</v>
      </c>
      <c r="X25" s="11">
        <v>10220</v>
      </c>
    </row>
    <row r="26" spans="1:24" x14ac:dyDescent="0.2">
      <c r="A26" s="6" t="s">
        <v>47</v>
      </c>
      <c r="B26" s="12">
        <v>337507</v>
      </c>
      <c r="C26" s="12">
        <v>111038</v>
      </c>
      <c r="D26" s="12">
        <v>15111</v>
      </c>
      <c r="E26" s="12">
        <v>4242</v>
      </c>
      <c r="F26" s="12">
        <v>-28219</v>
      </c>
      <c r="G26" s="12">
        <v>100028</v>
      </c>
      <c r="H26" s="12">
        <v>-19167</v>
      </c>
      <c r="I26" s="12">
        <v>3957</v>
      </c>
      <c r="J26" s="12">
        <v>-3304</v>
      </c>
      <c r="K26" s="12">
        <v>-15598</v>
      </c>
      <c r="L26" s="12">
        <v>-20972</v>
      </c>
      <c r="M26" s="12">
        <v>63379</v>
      </c>
      <c r="N26" s="12">
        <v>152643</v>
      </c>
      <c r="O26" s="12">
        <v>52828</v>
      </c>
      <c r="P26" s="12">
        <v>107</v>
      </c>
      <c r="Q26" s="12">
        <v>-101057</v>
      </c>
      <c r="R26" s="12">
        <v>42454</v>
      </c>
      <c r="S26" s="12">
        <v>4524</v>
      </c>
      <c r="T26" s="12">
        <v>-6598</v>
      </c>
      <c r="U26" s="12">
        <v>-31726</v>
      </c>
      <c r="V26" s="12">
        <v>19034</v>
      </c>
      <c r="W26" s="12">
        <v>17912</v>
      </c>
      <c r="X26" s="12">
        <v>-23109</v>
      </c>
    </row>
    <row r="27" spans="1:24" x14ac:dyDescent="0.2">
      <c r="A27" s="6" t="s">
        <v>48</v>
      </c>
      <c r="B27" s="11">
        <v>439194</v>
      </c>
      <c r="C27" s="11">
        <v>25000</v>
      </c>
      <c r="D27" s="11">
        <v>15000</v>
      </c>
      <c r="E27" s="11">
        <v>15000</v>
      </c>
      <c r="F27" s="11">
        <v>15000</v>
      </c>
      <c r="G27" s="11">
        <v>25000</v>
      </c>
      <c r="H27" s="11">
        <v>15000</v>
      </c>
      <c r="I27" s="11">
        <v>15000</v>
      </c>
      <c r="J27" s="11">
        <v>23358</v>
      </c>
      <c r="K27" s="11">
        <v>18394</v>
      </c>
      <c r="L27" s="11">
        <v>28073</v>
      </c>
      <c r="M27" s="11">
        <v>24525</v>
      </c>
      <c r="N27" s="11">
        <v>58394</v>
      </c>
      <c r="O27" s="11">
        <v>39708</v>
      </c>
      <c r="P27" s="11">
        <v>35907</v>
      </c>
      <c r="Q27" s="11">
        <v>28334</v>
      </c>
      <c r="R27" s="11">
        <v>28334</v>
      </c>
      <c r="S27" s="11">
        <v>3626</v>
      </c>
      <c r="T27" s="11">
        <v>5743</v>
      </c>
      <c r="U27" s="11">
        <v>4836</v>
      </c>
      <c r="V27" s="11">
        <v>6348</v>
      </c>
      <c r="W27" s="11">
        <v>5894</v>
      </c>
      <c r="X27" s="11">
        <v>2720</v>
      </c>
    </row>
    <row r="28" spans="1:24" x14ac:dyDescent="0.2">
      <c r="A28" s="6" t="s">
        <v>49</v>
      </c>
      <c r="B28" s="11">
        <v>131359</v>
      </c>
      <c r="C28" s="11">
        <v>5081</v>
      </c>
      <c r="D28" s="11">
        <v>6940</v>
      </c>
      <c r="E28" s="11">
        <v>4555</v>
      </c>
      <c r="F28" s="11">
        <v>4482</v>
      </c>
      <c r="G28" s="11">
        <v>3767</v>
      </c>
      <c r="H28" s="11">
        <v>2067</v>
      </c>
      <c r="I28" s="11">
        <v>3503</v>
      </c>
      <c r="J28" s="11">
        <v>4250</v>
      </c>
      <c r="K28" s="11">
        <v>3826</v>
      </c>
      <c r="L28" s="11">
        <v>6107</v>
      </c>
      <c r="M28" s="11">
        <v>5648</v>
      </c>
      <c r="N28" s="11">
        <v>13447</v>
      </c>
      <c r="O28" s="11">
        <v>13257</v>
      </c>
      <c r="P28" s="11">
        <v>7779</v>
      </c>
      <c r="Q28" s="11">
        <v>6597</v>
      </c>
      <c r="R28" s="11">
        <v>11078</v>
      </c>
      <c r="S28" s="11">
        <v>4501</v>
      </c>
      <c r="T28" s="11">
        <v>4042</v>
      </c>
      <c r="U28" s="11">
        <v>5661</v>
      </c>
      <c r="V28" s="11">
        <v>5356</v>
      </c>
      <c r="W28" s="11">
        <v>7789</v>
      </c>
      <c r="X28" s="11">
        <v>1626</v>
      </c>
    </row>
    <row r="29" spans="1:24" x14ac:dyDescent="0.2">
      <c r="A29" s="6" t="s">
        <v>50</v>
      </c>
      <c r="B29" s="11">
        <v>38551</v>
      </c>
      <c r="C29" s="11">
        <v>3337</v>
      </c>
      <c r="D29" s="11">
        <v>2029</v>
      </c>
      <c r="E29" s="11">
        <v>2071</v>
      </c>
      <c r="F29" s="11">
        <v>1563</v>
      </c>
      <c r="G29" s="11">
        <v>4221</v>
      </c>
      <c r="H29" s="11">
        <v>1798</v>
      </c>
      <c r="I29" s="11">
        <v>1126</v>
      </c>
      <c r="J29" s="11">
        <v>1722</v>
      </c>
      <c r="K29" s="11">
        <v>1612</v>
      </c>
      <c r="L29" s="11">
        <v>2068</v>
      </c>
      <c r="M29" s="11">
        <v>2869</v>
      </c>
      <c r="N29" s="11">
        <v>5223</v>
      </c>
      <c r="O29" s="11">
        <v>2806</v>
      </c>
      <c r="P29" s="11">
        <v>3616</v>
      </c>
      <c r="Q29" s="11">
        <v>67</v>
      </c>
      <c r="R29" s="11">
        <v>2264</v>
      </c>
      <c r="S29" s="11">
        <v>0</v>
      </c>
      <c r="T29" s="11">
        <v>0</v>
      </c>
      <c r="U29" s="11">
        <v>0</v>
      </c>
      <c r="V29" s="11">
        <v>66</v>
      </c>
      <c r="W29" s="11">
        <v>91</v>
      </c>
      <c r="X29" s="11">
        <v>0</v>
      </c>
    </row>
    <row r="30" spans="1:24" x14ac:dyDescent="0.2">
      <c r="A30" s="6" t="s">
        <v>51</v>
      </c>
      <c r="B30" s="11">
        <v>12296</v>
      </c>
      <c r="C30" s="11">
        <v>1228</v>
      </c>
      <c r="D30" s="11">
        <v>329</v>
      </c>
      <c r="E30" s="11">
        <v>1262</v>
      </c>
      <c r="F30" s="11">
        <v>237</v>
      </c>
      <c r="G30" s="11">
        <v>426</v>
      </c>
      <c r="H30" s="11">
        <v>1206</v>
      </c>
      <c r="I30" s="11">
        <v>462</v>
      </c>
      <c r="J30" s="11">
        <v>389</v>
      </c>
      <c r="K30" s="11">
        <v>498</v>
      </c>
      <c r="L30" s="11">
        <v>592</v>
      </c>
      <c r="M30" s="11">
        <v>606</v>
      </c>
      <c r="N30" s="11">
        <v>507</v>
      </c>
      <c r="O30" s="11">
        <v>381</v>
      </c>
      <c r="P30" s="11">
        <v>453</v>
      </c>
      <c r="Q30" s="11">
        <v>1232</v>
      </c>
      <c r="R30" s="11">
        <v>831</v>
      </c>
      <c r="S30" s="11">
        <v>235</v>
      </c>
      <c r="T30" s="11">
        <v>358</v>
      </c>
      <c r="U30" s="11">
        <v>218</v>
      </c>
      <c r="V30" s="11">
        <v>369</v>
      </c>
      <c r="W30" s="11">
        <v>480</v>
      </c>
      <c r="X30" s="11">
        <v>0</v>
      </c>
    </row>
    <row r="31" spans="1:24" x14ac:dyDescent="0.2">
      <c r="A31" s="6" t="s">
        <v>52</v>
      </c>
      <c r="B31" s="11">
        <v>12953</v>
      </c>
      <c r="C31" s="11">
        <v>687</v>
      </c>
      <c r="D31" s="11">
        <v>687</v>
      </c>
      <c r="E31" s="11">
        <v>687</v>
      </c>
      <c r="F31" s="11">
        <v>687</v>
      </c>
      <c r="G31" s="11">
        <v>686</v>
      </c>
      <c r="H31" s="11">
        <v>687</v>
      </c>
      <c r="I31" s="11">
        <v>687</v>
      </c>
      <c r="J31" s="11">
        <v>839</v>
      </c>
      <c r="K31" s="11">
        <v>838</v>
      </c>
      <c r="L31" s="11">
        <v>839</v>
      </c>
      <c r="M31" s="11">
        <v>839</v>
      </c>
      <c r="N31" s="11">
        <v>839</v>
      </c>
      <c r="O31" s="11">
        <v>839</v>
      </c>
      <c r="P31" s="11">
        <v>838</v>
      </c>
      <c r="Q31" s="11">
        <v>1115</v>
      </c>
      <c r="R31" s="11">
        <v>1159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</row>
    <row r="32" spans="1:24" x14ac:dyDescent="0.2">
      <c r="A32" s="6" t="s">
        <v>53</v>
      </c>
      <c r="B32" s="12">
        <v>634353</v>
      </c>
      <c r="C32" s="12">
        <v>35333</v>
      </c>
      <c r="D32" s="12">
        <v>24985</v>
      </c>
      <c r="E32" s="12">
        <v>23575</v>
      </c>
      <c r="F32" s="12">
        <v>21969</v>
      </c>
      <c r="G32" s="12">
        <v>34100</v>
      </c>
      <c r="H32" s="12">
        <v>20758</v>
      </c>
      <c r="I32" s="12">
        <v>20778</v>
      </c>
      <c r="J32" s="12">
        <v>30558</v>
      </c>
      <c r="K32" s="12">
        <v>25168</v>
      </c>
      <c r="L32" s="12">
        <v>37679</v>
      </c>
      <c r="M32" s="12">
        <v>34487</v>
      </c>
      <c r="N32" s="12">
        <v>78410</v>
      </c>
      <c r="O32" s="12">
        <v>56991</v>
      </c>
      <c r="P32" s="12">
        <v>48593</v>
      </c>
      <c r="Q32" s="12">
        <v>37345</v>
      </c>
      <c r="R32" s="12">
        <v>43666</v>
      </c>
      <c r="S32" s="12">
        <v>8362</v>
      </c>
      <c r="T32" s="12">
        <v>10143</v>
      </c>
      <c r="U32" s="12">
        <v>10715</v>
      </c>
      <c r="V32" s="12">
        <v>12139</v>
      </c>
      <c r="W32" s="12">
        <v>14254</v>
      </c>
      <c r="X32" s="12">
        <v>4346</v>
      </c>
    </row>
    <row r="33" spans="1:24" x14ac:dyDescent="0.2">
      <c r="A33" s="6" t="s">
        <v>54</v>
      </c>
      <c r="B33" s="12">
        <v>-296846</v>
      </c>
      <c r="C33" s="12">
        <v>75705</v>
      </c>
      <c r="D33" s="12">
        <v>-9874</v>
      </c>
      <c r="E33" s="12">
        <v>-19333</v>
      </c>
      <c r="F33" s="12">
        <v>-50188</v>
      </c>
      <c r="G33" s="12">
        <v>65928</v>
      </c>
      <c r="H33" s="12">
        <v>-39925</v>
      </c>
      <c r="I33" s="12">
        <v>-16821</v>
      </c>
      <c r="J33" s="12">
        <v>-33862</v>
      </c>
      <c r="K33" s="12">
        <v>-40766</v>
      </c>
      <c r="L33" s="12">
        <v>-58651</v>
      </c>
      <c r="M33" s="12">
        <v>28892</v>
      </c>
      <c r="N33" s="12">
        <v>74233</v>
      </c>
      <c r="O33" s="12">
        <v>-4163</v>
      </c>
      <c r="P33" s="12">
        <v>-48486</v>
      </c>
      <c r="Q33" s="12">
        <v>-138402</v>
      </c>
      <c r="R33" s="12">
        <v>-1212</v>
      </c>
      <c r="S33" s="12">
        <v>-3838</v>
      </c>
      <c r="T33" s="12">
        <v>-16741</v>
      </c>
      <c r="U33" s="12">
        <v>-42441</v>
      </c>
      <c r="V33" s="12">
        <v>6895</v>
      </c>
      <c r="W33" s="12">
        <v>3658</v>
      </c>
      <c r="X33" s="12">
        <v>-27455</v>
      </c>
    </row>
    <row r="34" spans="1:24" x14ac:dyDescent="0.2">
      <c r="A34" s="6" t="s">
        <v>55</v>
      </c>
      <c r="B34" s="11">
        <v>317591</v>
      </c>
      <c r="C34" s="11">
        <v>22979</v>
      </c>
      <c r="D34" s="11">
        <v>15092</v>
      </c>
      <c r="E34" s="11">
        <v>13951</v>
      </c>
      <c r="F34" s="11">
        <v>12842</v>
      </c>
      <c r="G34" s="11">
        <v>21087</v>
      </c>
      <c r="H34" s="11">
        <v>12588</v>
      </c>
      <c r="I34" s="11">
        <v>11098</v>
      </c>
      <c r="J34" s="11">
        <v>13668</v>
      </c>
      <c r="K34" s="11">
        <v>10909</v>
      </c>
      <c r="L34" s="11">
        <v>15596</v>
      </c>
      <c r="M34" s="11">
        <v>19609</v>
      </c>
      <c r="N34" s="11">
        <v>41116</v>
      </c>
      <c r="O34" s="11">
        <v>24144</v>
      </c>
      <c r="P34" s="11">
        <v>24001</v>
      </c>
      <c r="Q34" s="11">
        <v>12842</v>
      </c>
      <c r="R34" s="11">
        <v>19180</v>
      </c>
      <c r="S34" s="11">
        <v>6258</v>
      </c>
      <c r="T34" s="11">
        <v>5559</v>
      </c>
      <c r="U34" s="11">
        <v>3117</v>
      </c>
      <c r="V34" s="11">
        <v>7971</v>
      </c>
      <c r="W34" s="11">
        <v>3919</v>
      </c>
      <c r="X34" s="11">
        <v>65</v>
      </c>
    </row>
    <row r="35" spans="1:24" x14ac:dyDescent="0.2">
      <c r="A35" s="6" t="s">
        <v>56</v>
      </c>
      <c r="B35" s="12">
        <v>-614437</v>
      </c>
      <c r="C35" s="12">
        <v>52726</v>
      </c>
      <c r="D35" s="12">
        <v>-24966</v>
      </c>
      <c r="E35" s="12">
        <v>-33284</v>
      </c>
      <c r="F35" s="12">
        <v>-63030</v>
      </c>
      <c r="G35" s="12">
        <v>44841</v>
      </c>
      <c r="H35" s="12">
        <v>-52513</v>
      </c>
      <c r="I35" s="12">
        <v>-27919</v>
      </c>
      <c r="J35" s="12">
        <v>-47530</v>
      </c>
      <c r="K35" s="12">
        <v>-51675</v>
      </c>
      <c r="L35" s="12">
        <v>-74247</v>
      </c>
      <c r="M35" s="12">
        <v>9283</v>
      </c>
      <c r="N35" s="12">
        <v>33117</v>
      </c>
      <c r="O35" s="12">
        <v>-28307</v>
      </c>
      <c r="P35" s="12">
        <v>-72487</v>
      </c>
      <c r="Q35" s="12">
        <v>-151244</v>
      </c>
      <c r="R35" s="12">
        <v>-20392</v>
      </c>
      <c r="S35" s="12">
        <v>-10096</v>
      </c>
      <c r="T35" s="12">
        <v>-22300</v>
      </c>
      <c r="U35" s="12">
        <v>-45558</v>
      </c>
      <c r="V35" s="12">
        <v>-1076</v>
      </c>
      <c r="W35" s="12">
        <v>-261</v>
      </c>
      <c r="X35" s="12">
        <v>-27520</v>
      </c>
    </row>
    <row r="36" spans="1:24" x14ac:dyDescent="0.2">
      <c r="A36" s="6" t="s">
        <v>57</v>
      </c>
      <c r="B36" s="6" t="s">
        <v>32</v>
      </c>
      <c r="C36" s="6" t="s">
        <v>32</v>
      </c>
      <c r="D36" s="6" t="s">
        <v>32</v>
      </c>
      <c r="E36" s="6" t="s">
        <v>32</v>
      </c>
      <c r="F36" s="6" t="s">
        <v>32</v>
      </c>
      <c r="G36" s="6" t="s">
        <v>32</v>
      </c>
      <c r="H36" s="6" t="s">
        <v>32</v>
      </c>
      <c r="I36" s="6" t="s">
        <v>32</v>
      </c>
      <c r="J36" s="6" t="s">
        <v>32</v>
      </c>
      <c r="K36" s="6" t="s">
        <v>32</v>
      </c>
      <c r="L36" s="6" t="s">
        <v>32</v>
      </c>
      <c r="M36" s="6" t="s">
        <v>32</v>
      </c>
      <c r="N36" s="6" t="s">
        <v>32</v>
      </c>
      <c r="O36" s="6" t="s">
        <v>32</v>
      </c>
      <c r="P36" s="6" t="s">
        <v>32</v>
      </c>
      <c r="Q36" s="6" t="s">
        <v>32</v>
      </c>
      <c r="R36" s="6" t="s">
        <v>32</v>
      </c>
      <c r="S36" s="6" t="s">
        <v>32</v>
      </c>
      <c r="T36" s="6" t="s">
        <v>32</v>
      </c>
      <c r="U36" s="6" t="s">
        <v>32</v>
      </c>
      <c r="V36" s="6" t="s">
        <v>32</v>
      </c>
      <c r="W36" s="6" t="s">
        <v>32</v>
      </c>
      <c r="X36" s="6" t="s">
        <v>32</v>
      </c>
    </row>
    <row r="37" spans="1:24" x14ac:dyDescent="0.2">
      <c r="A37" s="6" t="s">
        <v>58</v>
      </c>
      <c r="B37" s="11">
        <v>6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6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</row>
    <row r="38" spans="1:24" x14ac:dyDescent="0.2">
      <c r="A38" s="6" t="s">
        <v>59</v>
      </c>
      <c r="B38" s="11">
        <v>1242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492</v>
      </c>
      <c r="W38" s="11">
        <v>750</v>
      </c>
      <c r="X38" s="11">
        <v>0</v>
      </c>
    </row>
    <row r="39" spans="1:24" x14ac:dyDescent="0.2">
      <c r="A39" s="6" t="s">
        <v>60</v>
      </c>
      <c r="B39" s="11">
        <v>196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196</v>
      </c>
      <c r="X39" s="11">
        <v>0</v>
      </c>
    </row>
    <row r="40" spans="1:24" x14ac:dyDescent="0.2">
      <c r="A40" s="6" t="s">
        <v>61</v>
      </c>
      <c r="B40" s="11">
        <v>681</v>
      </c>
      <c r="C40" s="11">
        <v>45</v>
      </c>
      <c r="D40" s="11">
        <v>117</v>
      </c>
      <c r="E40" s="11">
        <v>0</v>
      </c>
      <c r="F40" s="11">
        <v>0</v>
      </c>
      <c r="G40" s="11">
        <v>0</v>
      </c>
      <c r="H40" s="11">
        <v>153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108</v>
      </c>
      <c r="P40" s="11">
        <v>0</v>
      </c>
      <c r="Q40" s="11">
        <v>0</v>
      </c>
      <c r="R40" s="11">
        <v>138</v>
      </c>
      <c r="S40" s="11">
        <v>0</v>
      </c>
      <c r="T40" s="11">
        <v>120</v>
      </c>
      <c r="U40" s="11">
        <v>0</v>
      </c>
      <c r="V40" s="11">
        <v>0</v>
      </c>
      <c r="W40" s="11">
        <v>0</v>
      </c>
      <c r="X40" s="11">
        <v>0</v>
      </c>
    </row>
    <row r="41" spans="1:24" x14ac:dyDescent="0.2">
      <c r="A41" s="6" t="s">
        <v>62</v>
      </c>
      <c r="B41" s="11">
        <v>8750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3000</v>
      </c>
      <c r="T41" s="11">
        <v>750</v>
      </c>
      <c r="U41" s="11">
        <v>0</v>
      </c>
      <c r="V41" s="11">
        <v>5000</v>
      </c>
      <c r="W41" s="11">
        <v>0</v>
      </c>
      <c r="X41" s="11">
        <v>0</v>
      </c>
    </row>
    <row r="42" spans="1:24" x14ac:dyDescent="0.2">
      <c r="A42" s="6" t="s">
        <v>63</v>
      </c>
      <c r="B42" s="11">
        <v>3960</v>
      </c>
      <c r="C42" s="11">
        <v>0</v>
      </c>
      <c r="D42" s="11">
        <v>3960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</row>
    <row r="43" spans="1:24" x14ac:dyDescent="0.2">
      <c r="A43" s="6" t="s">
        <v>64</v>
      </c>
      <c r="B43" s="11">
        <v>76773</v>
      </c>
      <c r="C43" s="11">
        <v>0</v>
      </c>
      <c r="D43" s="11">
        <v>3814</v>
      </c>
      <c r="E43" s="11">
        <v>0</v>
      </c>
      <c r="F43" s="11">
        <v>0</v>
      </c>
      <c r="G43" s="11">
        <v>10528</v>
      </c>
      <c r="H43" s="11">
        <v>0</v>
      </c>
      <c r="I43" s="11">
        <v>1424</v>
      </c>
      <c r="J43" s="11">
        <v>9503</v>
      </c>
      <c r="K43" s="11">
        <v>6525</v>
      </c>
      <c r="L43" s="11">
        <v>0</v>
      </c>
      <c r="M43" s="11">
        <v>9711</v>
      </c>
      <c r="N43" s="11">
        <v>20935</v>
      </c>
      <c r="O43" s="11">
        <v>6305</v>
      </c>
      <c r="P43" s="11">
        <v>4782</v>
      </c>
      <c r="Q43" s="11">
        <v>0</v>
      </c>
      <c r="R43" s="11">
        <v>3246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65</v>
      </c>
      <c r="B44" s="11">
        <v>150570</v>
      </c>
      <c r="C44" s="11">
        <v>7640</v>
      </c>
      <c r="D44" s="11">
        <v>5011</v>
      </c>
      <c r="E44" s="11">
        <v>13748</v>
      </c>
      <c r="F44" s="11">
        <v>8581</v>
      </c>
      <c r="G44" s="11">
        <v>10466</v>
      </c>
      <c r="H44" s="11">
        <v>7735</v>
      </c>
      <c r="I44" s="11">
        <v>3882</v>
      </c>
      <c r="J44" s="11">
        <v>7001</v>
      </c>
      <c r="K44" s="11">
        <v>7721</v>
      </c>
      <c r="L44" s="11">
        <v>8248</v>
      </c>
      <c r="M44" s="11">
        <v>8888</v>
      </c>
      <c r="N44" s="11">
        <v>25685</v>
      </c>
      <c r="O44" s="11">
        <v>10090</v>
      </c>
      <c r="P44" s="11">
        <v>11605</v>
      </c>
      <c r="Q44" s="11">
        <v>7762</v>
      </c>
      <c r="R44" s="11">
        <v>6511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</row>
    <row r="45" spans="1:24" x14ac:dyDescent="0.2">
      <c r="A45" s="6" t="s">
        <v>66</v>
      </c>
      <c r="B45" s="12">
        <v>242178</v>
      </c>
      <c r="C45" s="12">
        <v>7685</v>
      </c>
      <c r="D45" s="12">
        <v>12902</v>
      </c>
      <c r="E45" s="12">
        <v>13748</v>
      </c>
      <c r="F45" s="12">
        <v>8581</v>
      </c>
      <c r="G45" s="12">
        <v>20994</v>
      </c>
      <c r="H45" s="12">
        <v>7888</v>
      </c>
      <c r="I45" s="12">
        <v>5306</v>
      </c>
      <c r="J45" s="12">
        <v>16504</v>
      </c>
      <c r="K45" s="12">
        <v>14246</v>
      </c>
      <c r="L45" s="12">
        <v>8248</v>
      </c>
      <c r="M45" s="12">
        <v>18599</v>
      </c>
      <c r="N45" s="12">
        <v>46620</v>
      </c>
      <c r="O45" s="12">
        <v>16503</v>
      </c>
      <c r="P45" s="12">
        <v>16393</v>
      </c>
      <c r="Q45" s="12">
        <v>7762</v>
      </c>
      <c r="R45" s="12">
        <v>9895</v>
      </c>
      <c r="S45" s="12">
        <v>3000</v>
      </c>
      <c r="T45" s="12">
        <v>870</v>
      </c>
      <c r="U45" s="12">
        <v>0</v>
      </c>
      <c r="V45" s="12">
        <v>5492</v>
      </c>
      <c r="W45" s="12">
        <v>946</v>
      </c>
      <c r="X45" s="12">
        <v>0</v>
      </c>
    </row>
    <row r="46" spans="1:24" x14ac:dyDescent="0.2">
      <c r="A46" s="6" t="s">
        <v>67</v>
      </c>
      <c r="B46" s="13">
        <v>-372259</v>
      </c>
      <c r="C46" s="13">
        <v>60411</v>
      </c>
      <c r="D46" s="13">
        <v>-12064</v>
      </c>
      <c r="E46" s="13">
        <v>-19536</v>
      </c>
      <c r="F46" s="13">
        <v>-54449</v>
      </c>
      <c r="G46" s="13">
        <v>65835</v>
      </c>
      <c r="H46" s="13">
        <v>-44625</v>
      </c>
      <c r="I46" s="13">
        <v>-22613</v>
      </c>
      <c r="J46" s="13">
        <v>-31026</v>
      </c>
      <c r="K46" s="13">
        <v>-37429</v>
      </c>
      <c r="L46" s="13">
        <v>-65999</v>
      </c>
      <c r="M46" s="13">
        <v>27882</v>
      </c>
      <c r="N46" s="13">
        <v>79737</v>
      </c>
      <c r="O46" s="13">
        <v>-11804</v>
      </c>
      <c r="P46" s="13">
        <v>-56094</v>
      </c>
      <c r="Q46" s="13">
        <v>-143482</v>
      </c>
      <c r="R46" s="13">
        <v>-10497</v>
      </c>
      <c r="S46" s="13">
        <v>-7096</v>
      </c>
      <c r="T46" s="13">
        <v>-21430</v>
      </c>
      <c r="U46" s="13">
        <v>-45558</v>
      </c>
      <c r="V46" s="13">
        <v>4416</v>
      </c>
      <c r="W46" s="13">
        <v>685</v>
      </c>
      <c r="X46" s="13">
        <v>-27520</v>
      </c>
    </row>
    <row r="47" spans="1:24" x14ac:dyDescent="0.2">
      <c r="A47" s="6" t="s">
        <v>68</v>
      </c>
      <c r="B47" s="14">
        <v>-372259</v>
      </c>
      <c r="C47" s="14">
        <v>60411</v>
      </c>
      <c r="D47" s="14">
        <v>-12064</v>
      </c>
      <c r="E47" s="14">
        <v>-19536</v>
      </c>
      <c r="F47" s="14">
        <v>-54449</v>
      </c>
      <c r="G47" s="14">
        <v>65835</v>
      </c>
      <c r="H47" s="14">
        <v>-44625</v>
      </c>
      <c r="I47" s="14">
        <v>-22613</v>
      </c>
      <c r="J47" s="14">
        <v>-31026</v>
      </c>
      <c r="K47" s="14">
        <v>-37429</v>
      </c>
      <c r="L47" s="14">
        <v>-65999</v>
      </c>
      <c r="M47" s="14">
        <v>27882</v>
      </c>
      <c r="N47" s="14">
        <v>79737</v>
      </c>
      <c r="O47" s="14">
        <v>-11804</v>
      </c>
      <c r="P47" s="14">
        <v>-56094</v>
      </c>
      <c r="Q47" s="14">
        <v>-143482</v>
      </c>
      <c r="R47" s="14">
        <v>-10497</v>
      </c>
      <c r="S47" s="14">
        <v>-7096</v>
      </c>
      <c r="T47" s="14">
        <v>-21430</v>
      </c>
      <c r="U47" s="14">
        <v>-45558</v>
      </c>
      <c r="V47" s="14">
        <v>4416</v>
      </c>
      <c r="W47" s="14">
        <v>685</v>
      </c>
      <c r="X47" s="14">
        <v>-27520</v>
      </c>
    </row>
    <row r="48" spans="1:24" x14ac:dyDescent="0.2">
      <c r="A48" s="4" t="s">
        <v>6</v>
      </c>
    </row>
    <row r="49" spans="1:24" x14ac:dyDescent="0.2">
      <c r="A49" s="4" t="s">
        <v>342</v>
      </c>
      <c r="B49" s="24">
        <f>B47+B27+B29+B30+B31</f>
        <v>130735</v>
      </c>
      <c r="C49" s="24">
        <f t="shared" ref="C49:X49" si="0">C47+C27+C29+C30+C31</f>
        <v>90663</v>
      </c>
      <c r="D49" s="24">
        <f t="shared" si="0"/>
        <v>5981</v>
      </c>
      <c r="E49" s="24">
        <f t="shared" si="0"/>
        <v>-516</v>
      </c>
      <c r="F49" s="24">
        <f t="shared" si="0"/>
        <v>-36962</v>
      </c>
      <c r="G49" s="24">
        <f t="shared" si="0"/>
        <v>96168</v>
      </c>
      <c r="H49" s="24">
        <f t="shared" si="0"/>
        <v>-25934</v>
      </c>
      <c r="I49" s="24">
        <f t="shared" si="0"/>
        <v>-5338</v>
      </c>
      <c r="J49" s="24">
        <f t="shared" si="0"/>
        <v>-4718</v>
      </c>
      <c r="K49" s="24">
        <f t="shared" si="0"/>
        <v>-16087</v>
      </c>
      <c r="L49" s="24">
        <f t="shared" si="0"/>
        <v>-34427</v>
      </c>
      <c r="M49" s="24">
        <f t="shared" si="0"/>
        <v>56721</v>
      </c>
      <c r="N49" s="24">
        <f t="shared" si="0"/>
        <v>144700</v>
      </c>
      <c r="O49" s="24">
        <f t="shared" si="0"/>
        <v>31930</v>
      </c>
      <c r="P49" s="24">
        <f t="shared" si="0"/>
        <v>-15280</v>
      </c>
      <c r="Q49" s="24">
        <f t="shared" si="0"/>
        <v>-112734</v>
      </c>
      <c r="R49" s="24">
        <f t="shared" si="0"/>
        <v>22091</v>
      </c>
      <c r="S49" s="24">
        <f t="shared" si="0"/>
        <v>-3235</v>
      </c>
      <c r="T49" s="24">
        <f t="shared" si="0"/>
        <v>-15329</v>
      </c>
      <c r="U49" s="24">
        <f t="shared" si="0"/>
        <v>-40504</v>
      </c>
      <c r="V49" s="24">
        <f t="shared" si="0"/>
        <v>11199</v>
      </c>
      <c r="W49" s="24">
        <f t="shared" si="0"/>
        <v>7150</v>
      </c>
      <c r="X49" s="24">
        <f t="shared" si="0"/>
        <v>-24800</v>
      </c>
    </row>
    <row r="51" spans="1:24" x14ac:dyDescent="0.2">
      <c r="A51" s="22" t="s">
        <v>343</v>
      </c>
    </row>
    <row r="52" spans="1:24" x14ac:dyDescent="0.2">
      <c r="A52" s="3" t="s">
        <v>344</v>
      </c>
      <c r="B52" s="11">
        <v>167000</v>
      </c>
      <c r="C52" s="11">
        <v>11000</v>
      </c>
      <c r="D52" s="11">
        <v>11000</v>
      </c>
      <c r="E52" s="11">
        <v>11000</v>
      </c>
      <c r="F52" s="11">
        <v>11000</v>
      </c>
      <c r="G52" s="11">
        <v>11000</v>
      </c>
      <c r="H52" s="11">
        <v>11000</v>
      </c>
      <c r="I52" s="11">
        <v>11000</v>
      </c>
      <c r="J52" s="11">
        <v>8000</v>
      </c>
      <c r="K52" s="11">
        <v>8000</v>
      </c>
      <c r="L52" s="11">
        <v>8000</v>
      </c>
      <c r="M52" s="11">
        <v>8000</v>
      </c>
      <c r="N52" s="11">
        <v>8000</v>
      </c>
      <c r="O52" s="11">
        <v>8000</v>
      </c>
      <c r="P52" s="11">
        <v>8000</v>
      </c>
      <c r="Q52" s="11">
        <v>11000</v>
      </c>
      <c r="R52" s="11">
        <v>11000</v>
      </c>
      <c r="S52" s="11">
        <v>2000</v>
      </c>
      <c r="T52" s="11">
        <v>2000</v>
      </c>
      <c r="U52" s="11">
        <v>2000</v>
      </c>
      <c r="V52" s="11">
        <v>2000</v>
      </c>
      <c r="W52" s="11">
        <v>2000</v>
      </c>
      <c r="X52" s="11">
        <v>2000</v>
      </c>
    </row>
    <row r="53" spans="1:24" x14ac:dyDescent="0.2">
      <c r="A53" s="3" t="s">
        <v>345</v>
      </c>
      <c r="B53" s="11">
        <v>23500</v>
      </c>
      <c r="C53" s="11">
        <v>2500</v>
      </c>
      <c r="D53" s="11">
        <v>2500</v>
      </c>
      <c r="E53" s="11">
        <v>2500</v>
      </c>
      <c r="F53" s="11">
        <v>2500</v>
      </c>
      <c r="G53" s="11">
        <v>2500</v>
      </c>
      <c r="H53" s="11">
        <v>2500</v>
      </c>
      <c r="I53" s="11">
        <v>2500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3000</v>
      </c>
      <c r="R53" s="11">
        <v>3000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</row>
    <row r="54" spans="1:24" x14ac:dyDescent="0.2">
      <c r="A54" s="3" t="s">
        <v>346</v>
      </c>
      <c r="B54" s="11">
        <v>2000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1000</v>
      </c>
      <c r="R54" s="11">
        <v>1000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2">
      <c r="A55" s="23" t="s">
        <v>347</v>
      </c>
      <c r="B55" s="25">
        <f>SUM(B52:B54)</f>
        <v>192500</v>
      </c>
      <c r="C55" s="25">
        <f t="shared" ref="C55:X55" si="1">SUM(C52:C54)</f>
        <v>13500</v>
      </c>
      <c r="D55" s="25">
        <f t="shared" si="1"/>
        <v>13500</v>
      </c>
      <c r="E55" s="25">
        <f t="shared" si="1"/>
        <v>13500</v>
      </c>
      <c r="F55" s="25">
        <f t="shared" si="1"/>
        <v>13500</v>
      </c>
      <c r="G55" s="25">
        <f t="shared" si="1"/>
        <v>13500</v>
      </c>
      <c r="H55" s="25">
        <f t="shared" si="1"/>
        <v>13500</v>
      </c>
      <c r="I55" s="25">
        <f t="shared" si="1"/>
        <v>13500</v>
      </c>
      <c r="J55" s="25">
        <f t="shared" si="1"/>
        <v>8000</v>
      </c>
      <c r="K55" s="25">
        <f t="shared" si="1"/>
        <v>8000</v>
      </c>
      <c r="L55" s="25">
        <f t="shared" si="1"/>
        <v>8000</v>
      </c>
      <c r="M55" s="25">
        <f t="shared" si="1"/>
        <v>8000</v>
      </c>
      <c r="N55" s="25">
        <f t="shared" si="1"/>
        <v>8000</v>
      </c>
      <c r="O55" s="25">
        <f t="shared" si="1"/>
        <v>8000</v>
      </c>
      <c r="P55" s="25">
        <f t="shared" si="1"/>
        <v>8000</v>
      </c>
      <c r="Q55" s="25">
        <f t="shared" si="1"/>
        <v>15000</v>
      </c>
      <c r="R55" s="25">
        <f t="shared" si="1"/>
        <v>15000</v>
      </c>
      <c r="S55" s="25">
        <f t="shared" si="1"/>
        <v>2000</v>
      </c>
      <c r="T55" s="25">
        <f t="shared" si="1"/>
        <v>2000</v>
      </c>
      <c r="U55" s="25">
        <f t="shared" si="1"/>
        <v>2000</v>
      </c>
      <c r="V55" s="25">
        <f t="shared" si="1"/>
        <v>2000</v>
      </c>
      <c r="W55" s="25">
        <f t="shared" si="1"/>
        <v>2000</v>
      </c>
      <c r="X55" s="25">
        <f t="shared" si="1"/>
        <v>2000</v>
      </c>
    </row>
    <row r="56" spans="1:24" x14ac:dyDescent="0.2">
      <c r="A56" s="22" t="s">
        <v>348</v>
      </c>
      <c r="B56" s="24">
        <f>B55+B49</f>
        <v>323235</v>
      </c>
      <c r="C56" s="24">
        <f t="shared" ref="C56:X56" si="2">C55+C49</f>
        <v>104163</v>
      </c>
      <c r="D56" s="24">
        <f t="shared" si="2"/>
        <v>19481</v>
      </c>
      <c r="E56" s="24">
        <f t="shared" si="2"/>
        <v>12984</v>
      </c>
      <c r="F56" s="24">
        <f t="shared" si="2"/>
        <v>-23462</v>
      </c>
      <c r="G56" s="24">
        <f t="shared" si="2"/>
        <v>109668</v>
      </c>
      <c r="H56" s="24">
        <f t="shared" si="2"/>
        <v>-12434</v>
      </c>
      <c r="I56" s="24">
        <f t="shared" si="2"/>
        <v>8162</v>
      </c>
      <c r="J56" s="24">
        <f t="shared" si="2"/>
        <v>3282</v>
      </c>
      <c r="K56" s="24">
        <f t="shared" si="2"/>
        <v>-8087</v>
      </c>
      <c r="L56" s="24">
        <f t="shared" si="2"/>
        <v>-26427</v>
      </c>
      <c r="M56" s="24">
        <f t="shared" si="2"/>
        <v>64721</v>
      </c>
      <c r="N56" s="24">
        <f t="shared" si="2"/>
        <v>152700</v>
      </c>
      <c r="O56" s="24">
        <f t="shared" si="2"/>
        <v>39930</v>
      </c>
      <c r="P56" s="24">
        <f t="shared" si="2"/>
        <v>-7280</v>
      </c>
      <c r="Q56" s="24">
        <f t="shared" si="2"/>
        <v>-97734</v>
      </c>
      <c r="R56" s="24">
        <f t="shared" si="2"/>
        <v>37091</v>
      </c>
      <c r="S56" s="24">
        <f t="shared" si="2"/>
        <v>-1235</v>
      </c>
      <c r="T56" s="24">
        <f t="shared" si="2"/>
        <v>-13329</v>
      </c>
      <c r="U56" s="24">
        <f t="shared" si="2"/>
        <v>-38504</v>
      </c>
      <c r="V56" s="24">
        <f t="shared" si="2"/>
        <v>13199</v>
      </c>
      <c r="W56" s="24">
        <f t="shared" si="2"/>
        <v>9150</v>
      </c>
      <c r="X56" s="24">
        <f t="shared" si="2"/>
        <v>-22800</v>
      </c>
    </row>
  </sheetData>
  <pageMargins left="0.75" right="0.75" top="1" bottom="1" header="0.5" footer="0.5"/>
  <pageSetup orientation="portrait" horizontalDpi="300" verticalDpi="300"/>
  <ignoredErrors>
    <ignoredError sqref="A1:IV48 A57:IV65535 B50:IV51 Y49:IV49 Y56:IV56 Y52:IV54 Y55:IV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3"/>
  <sheetViews>
    <sheetView topLeftCell="I3" workbookViewId="0">
      <selection activeCell="B35" sqref="B35:X35"/>
    </sheetView>
  </sheetViews>
  <sheetFormatPr defaultColWidth="9.140625" defaultRowHeight="12.75" x14ac:dyDescent="0.2"/>
  <cols>
    <col min="1" max="1" width="4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69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36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37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</row>
    <row r="13" spans="1:24" x14ac:dyDescent="0.2">
      <c r="A13" s="6" t="s">
        <v>71</v>
      </c>
      <c r="B13" s="11">
        <v>2140498</v>
      </c>
      <c r="C13" s="11">
        <v>128052</v>
      </c>
      <c r="D13" s="11">
        <v>99192</v>
      </c>
      <c r="E13" s="11">
        <v>119687</v>
      </c>
      <c r="F13" s="11">
        <v>99788</v>
      </c>
      <c r="G13" s="11">
        <v>104290</v>
      </c>
      <c r="H13" s="11">
        <v>104281</v>
      </c>
      <c r="I13" s="11">
        <v>80219</v>
      </c>
      <c r="J13" s="11">
        <v>92926</v>
      </c>
      <c r="K13" s="11">
        <v>74252</v>
      </c>
      <c r="L13" s="11">
        <v>121533</v>
      </c>
      <c r="M13" s="11">
        <v>112775</v>
      </c>
      <c r="N13" s="11">
        <v>257987</v>
      </c>
      <c r="O13" s="11">
        <v>151175</v>
      </c>
      <c r="P13" s="11">
        <v>140368</v>
      </c>
      <c r="Q13" s="11">
        <v>128341</v>
      </c>
      <c r="R13" s="11">
        <v>132332</v>
      </c>
      <c r="S13" s="11">
        <v>54460</v>
      </c>
      <c r="T13" s="11">
        <v>35891</v>
      </c>
      <c r="U13" s="11">
        <v>32506</v>
      </c>
      <c r="V13" s="11">
        <v>50795</v>
      </c>
      <c r="W13" s="11">
        <v>12215</v>
      </c>
      <c r="X13" s="11">
        <v>7433</v>
      </c>
    </row>
    <row r="14" spans="1:24" x14ac:dyDescent="0.2">
      <c r="A14" s="6" t="s">
        <v>72</v>
      </c>
      <c r="B14" s="11">
        <v>147013</v>
      </c>
      <c r="C14" s="11">
        <v>14604</v>
      </c>
      <c r="D14" s="11">
        <v>6001</v>
      </c>
      <c r="E14" s="11">
        <v>5093</v>
      </c>
      <c r="F14" s="11">
        <v>4057</v>
      </c>
      <c r="G14" s="11">
        <v>5273</v>
      </c>
      <c r="H14" s="11">
        <v>3737</v>
      </c>
      <c r="I14" s="11">
        <v>2107</v>
      </c>
      <c r="J14" s="11">
        <v>5211</v>
      </c>
      <c r="K14" s="11">
        <v>5482</v>
      </c>
      <c r="L14" s="11">
        <v>5456</v>
      </c>
      <c r="M14" s="11">
        <v>3249</v>
      </c>
      <c r="N14" s="11">
        <v>26646</v>
      </c>
      <c r="O14" s="11">
        <v>11552</v>
      </c>
      <c r="P14" s="11">
        <v>11410</v>
      </c>
      <c r="Q14" s="11">
        <v>10122</v>
      </c>
      <c r="R14" s="11">
        <v>20666</v>
      </c>
      <c r="S14" s="11">
        <v>425</v>
      </c>
      <c r="T14" s="11">
        <v>2791</v>
      </c>
      <c r="U14" s="11">
        <v>0</v>
      </c>
      <c r="V14" s="11">
        <v>1429</v>
      </c>
      <c r="W14" s="11">
        <v>746</v>
      </c>
      <c r="X14" s="11">
        <v>956</v>
      </c>
    </row>
    <row r="15" spans="1:24" x14ac:dyDescent="0.2">
      <c r="A15" s="6" t="s">
        <v>73</v>
      </c>
      <c r="B15" s="11">
        <v>3207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803</v>
      </c>
      <c r="O15" s="11">
        <v>159</v>
      </c>
      <c r="P15" s="11">
        <v>2244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x14ac:dyDescent="0.2">
      <c r="A16" s="6" t="s">
        <v>74</v>
      </c>
      <c r="B16" s="11">
        <v>8982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39</v>
      </c>
      <c r="I16" s="11">
        <v>0</v>
      </c>
      <c r="J16" s="11">
        <v>50</v>
      </c>
      <c r="K16" s="11">
        <v>871</v>
      </c>
      <c r="L16" s="11">
        <v>1250</v>
      </c>
      <c r="M16" s="11">
        <v>158</v>
      </c>
      <c r="N16" s="11">
        <v>2423</v>
      </c>
      <c r="O16" s="11">
        <v>982</v>
      </c>
      <c r="P16" s="11">
        <v>3121</v>
      </c>
      <c r="Q16" s="11">
        <v>0</v>
      </c>
      <c r="R16" s="11">
        <v>88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</row>
    <row r="17" spans="1:24" x14ac:dyDescent="0.2">
      <c r="A17" s="6" t="s">
        <v>75</v>
      </c>
      <c r="B17" s="11">
        <v>65784</v>
      </c>
      <c r="C17" s="11">
        <v>2539</v>
      </c>
      <c r="D17" s="11">
        <v>3040</v>
      </c>
      <c r="E17" s="11">
        <v>2669</v>
      </c>
      <c r="F17" s="11">
        <v>3938</v>
      </c>
      <c r="G17" s="11">
        <v>3306</v>
      </c>
      <c r="H17" s="11">
        <v>2838</v>
      </c>
      <c r="I17" s="11">
        <v>1477</v>
      </c>
      <c r="J17" s="11">
        <v>5037</v>
      </c>
      <c r="K17" s="11">
        <v>1451</v>
      </c>
      <c r="L17" s="11">
        <v>3097</v>
      </c>
      <c r="M17" s="11">
        <v>3159</v>
      </c>
      <c r="N17" s="11">
        <v>9064</v>
      </c>
      <c r="O17" s="11">
        <v>2150</v>
      </c>
      <c r="P17" s="11">
        <v>5457</v>
      </c>
      <c r="Q17" s="11">
        <v>6065</v>
      </c>
      <c r="R17" s="11">
        <v>6317</v>
      </c>
      <c r="S17" s="11">
        <v>610</v>
      </c>
      <c r="T17" s="11">
        <v>811</v>
      </c>
      <c r="U17" s="11">
        <v>367</v>
      </c>
      <c r="V17" s="11">
        <v>1584</v>
      </c>
      <c r="W17" s="11">
        <v>44</v>
      </c>
      <c r="X17" s="11">
        <v>765</v>
      </c>
    </row>
    <row r="18" spans="1:24" x14ac:dyDescent="0.2">
      <c r="A18" s="6" t="s">
        <v>76</v>
      </c>
      <c r="B18" s="11">
        <v>55842</v>
      </c>
      <c r="C18" s="11">
        <v>3956</v>
      </c>
      <c r="D18" s="11">
        <v>3828</v>
      </c>
      <c r="E18" s="11">
        <v>3010</v>
      </c>
      <c r="F18" s="11">
        <v>3471</v>
      </c>
      <c r="G18" s="11">
        <v>2933</v>
      </c>
      <c r="H18" s="11">
        <v>4171</v>
      </c>
      <c r="I18" s="11">
        <v>2666</v>
      </c>
      <c r="J18" s="11">
        <v>2490</v>
      </c>
      <c r="K18" s="11">
        <v>1900</v>
      </c>
      <c r="L18" s="11">
        <v>1787</v>
      </c>
      <c r="M18" s="11">
        <v>3032</v>
      </c>
      <c r="N18" s="11">
        <v>6190</v>
      </c>
      <c r="O18" s="11">
        <v>3297</v>
      </c>
      <c r="P18" s="11">
        <v>2994</v>
      </c>
      <c r="Q18" s="11">
        <v>2054</v>
      </c>
      <c r="R18" s="11">
        <v>3976</v>
      </c>
      <c r="S18" s="11">
        <v>1083</v>
      </c>
      <c r="T18" s="11">
        <v>711</v>
      </c>
      <c r="U18" s="11">
        <v>575</v>
      </c>
      <c r="V18" s="11">
        <v>1326</v>
      </c>
      <c r="W18" s="11">
        <v>294</v>
      </c>
      <c r="X18" s="11">
        <v>97</v>
      </c>
    </row>
    <row r="19" spans="1:24" x14ac:dyDescent="0.2">
      <c r="A19" s="6" t="s">
        <v>77</v>
      </c>
      <c r="B19" s="11">
        <v>49894</v>
      </c>
      <c r="C19" s="11">
        <v>3417</v>
      </c>
      <c r="D19" s="11">
        <v>2848</v>
      </c>
      <c r="E19" s="11">
        <v>2780</v>
      </c>
      <c r="F19" s="11">
        <v>2991</v>
      </c>
      <c r="G19" s="11">
        <v>3222</v>
      </c>
      <c r="H19" s="11">
        <v>4583</v>
      </c>
      <c r="I19" s="11">
        <v>2134</v>
      </c>
      <c r="J19" s="11">
        <v>1625</v>
      </c>
      <c r="K19" s="11">
        <v>717</v>
      </c>
      <c r="L19" s="11">
        <v>5649</v>
      </c>
      <c r="M19" s="11">
        <v>2455</v>
      </c>
      <c r="N19" s="11">
        <v>4720</v>
      </c>
      <c r="O19" s="11">
        <v>2703</v>
      </c>
      <c r="P19" s="11">
        <v>2572</v>
      </c>
      <c r="Q19" s="11">
        <v>3496</v>
      </c>
      <c r="R19" s="11">
        <v>2671</v>
      </c>
      <c r="S19" s="11">
        <v>296</v>
      </c>
      <c r="T19" s="11">
        <v>154</v>
      </c>
      <c r="U19" s="11">
        <v>125</v>
      </c>
      <c r="V19" s="11">
        <v>736</v>
      </c>
      <c r="W19" s="11">
        <v>0</v>
      </c>
      <c r="X19" s="11">
        <v>0</v>
      </c>
    </row>
    <row r="20" spans="1:24" x14ac:dyDescent="0.2">
      <c r="A20" s="6" t="s">
        <v>78</v>
      </c>
      <c r="B20" s="11">
        <v>15378</v>
      </c>
      <c r="C20" s="11">
        <v>994</v>
      </c>
      <c r="D20" s="11">
        <v>774</v>
      </c>
      <c r="E20" s="11">
        <v>1469</v>
      </c>
      <c r="F20" s="11">
        <v>467</v>
      </c>
      <c r="G20" s="11">
        <v>1543</v>
      </c>
      <c r="H20" s="11">
        <v>1230</v>
      </c>
      <c r="I20" s="11">
        <v>656</v>
      </c>
      <c r="J20" s="11">
        <v>607</v>
      </c>
      <c r="K20" s="11">
        <v>278</v>
      </c>
      <c r="L20" s="11">
        <v>962</v>
      </c>
      <c r="M20" s="11">
        <v>1023</v>
      </c>
      <c r="N20" s="11">
        <v>1190</v>
      </c>
      <c r="O20" s="11">
        <v>646</v>
      </c>
      <c r="P20" s="11">
        <v>754</v>
      </c>
      <c r="Q20" s="11">
        <v>1667</v>
      </c>
      <c r="R20" s="11">
        <v>486</v>
      </c>
      <c r="S20" s="11">
        <v>270</v>
      </c>
      <c r="T20" s="11">
        <v>121</v>
      </c>
      <c r="U20" s="11">
        <v>0</v>
      </c>
      <c r="V20" s="11">
        <v>240</v>
      </c>
      <c r="W20" s="11">
        <v>0</v>
      </c>
      <c r="X20" s="11">
        <v>0</v>
      </c>
    </row>
    <row r="21" spans="1:24" x14ac:dyDescent="0.2">
      <c r="A21" s="6" t="s">
        <v>79</v>
      </c>
      <c r="B21" s="11">
        <v>10815</v>
      </c>
      <c r="C21" s="11">
        <v>156</v>
      </c>
      <c r="D21" s="11">
        <v>57</v>
      </c>
      <c r="E21" s="11">
        <v>56</v>
      </c>
      <c r="F21" s="11">
        <v>230</v>
      </c>
      <c r="G21" s="11">
        <v>712</v>
      </c>
      <c r="H21" s="11">
        <v>275</v>
      </c>
      <c r="I21" s="11">
        <v>0</v>
      </c>
      <c r="J21" s="11">
        <v>104</v>
      </c>
      <c r="K21" s="11">
        <v>0</v>
      </c>
      <c r="L21" s="11">
        <v>1437</v>
      </c>
      <c r="M21" s="11">
        <v>2483</v>
      </c>
      <c r="N21" s="11">
        <v>2368</v>
      </c>
      <c r="O21" s="11">
        <v>715</v>
      </c>
      <c r="P21" s="11">
        <v>521</v>
      </c>
      <c r="Q21" s="11">
        <v>1227</v>
      </c>
      <c r="R21" s="11">
        <v>440</v>
      </c>
      <c r="S21" s="11">
        <v>37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</row>
    <row r="22" spans="1:24" x14ac:dyDescent="0.2">
      <c r="A22" s="6" t="s">
        <v>80</v>
      </c>
      <c r="B22" s="11">
        <v>1480</v>
      </c>
      <c r="C22" s="11">
        <v>66</v>
      </c>
      <c r="D22" s="11">
        <v>78</v>
      </c>
      <c r="E22" s="11">
        <v>30</v>
      </c>
      <c r="F22" s="11">
        <v>0</v>
      </c>
      <c r="G22" s="11">
        <v>0</v>
      </c>
      <c r="H22" s="11">
        <v>153</v>
      </c>
      <c r="I22" s="11">
        <v>0</v>
      </c>
      <c r="J22" s="11">
        <v>171</v>
      </c>
      <c r="K22" s="11">
        <v>189</v>
      </c>
      <c r="L22" s="11">
        <v>265</v>
      </c>
      <c r="M22" s="11">
        <v>306</v>
      </c>
      <c r="N22" s="11">
        <v>62</v>
      </c>
      <c r="O22" s="11">
        <v>0</v>
      </c>
      <c r="P22" s="11">
        <v>144</v>
      </c>
      <c r="Q22" s="11">
        <v>16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x14ac:dyDescent="0.2">
      <c r="A23" s="6" t="s">
        <v>81</v>
      </c>
      <c r="B23" s="11">
        <v>2829</v>
      </c>
      <c r="C23" s="11">
        <v>57</v>
      </c>
      <c r="D23" s="11">
        <v>0</v>
      </c>
      <c r="E23" s="11">
        <v>142</v>
      </c>
      <c r="F23" s="11">
        <v>33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185</v>
      </c>
      <c r="M23" s="11">
        <v>151</v>
      </c>
      <c r="N23" s="11">
        <v>551</v>
      </c>
      <c r="O23" s="11">
        <v>0</v>
      </c>
      <c r="P23" s="11">
        <v>891</v>
      </c>
      <c r="Q23" s="11">
        <v>52</v>
      </c>
      <c r="R23" s="11">
        <v>243</v>
      </c>
      <c r="S23" s="11">
        <v>24</v>
      </c>
      <c r="T23" s="11">
        <v>386</v>
      </c>
      <c r="U23" s="11">
        <v>79</v>
      </c>
      <c r="V23" s="11">
        <v>35</v>
      </c>
      <c r="W23" s="11">
        <v>0</v>
      </c>
      <c r="X23" s="11">
        <v>0</v>
      </c>
    </row>
    <row r="24" spans="1:24" x14ac:dyDescent="0.2">
      <c r="A24" s="6" t="s">
        <v>82</v>
      </c>
      <c r="B24" s="11">
        <v>5991</v>
      </c>
      <c r="C24" s="11">
        <v>648</v>
      </c>
      <c r="D24" s="11">
        <v>276</v>
      </c>
      <c r="E24" s="11">
        <v>157</v>
      </c>
      <c r="F24" s="11">
        <v>0</v>
      </c>
      <c r="G24" s="11">
        <v>271</v>
      </c>
      <c r="H24" s="11">
        <v>105</v>
      </c>
      <c r="I24" s="11">
        <v>41</v>
      </c>
      <c r="J24" s="11">
        <v>579</v>
      </c>
      <c r="K24" s="11">
        <v>656</v>
      </c>
      <c r="L24" s="11">
        <v>0</v>
      </c>
      <c r="M24" s="11">
        <v>563</v>
      </c>
      <c r="N24" s="11">
        <v>1096</v>
      </c>
      <c r="O24" s="11">
        <v>548</v>
      </c>
      <c r="P24" s="11">
        <v>15</v>
      </c>
      <c r="Q24" s="11">
        <v>250</v>
      </c>
      <c r="R24" s="11">
        <v>440</v>
      </c>
      <c r="S24" s="11">
        <v>7</v>
      </c>
      <c r="T24" s="11">
        <v>0</v>
      </c>
      <c r="U24" s="11">
        <v>74</v>
      </c>
      <c r="V24" s="11">
        <v>91</v>
      </c>
      <c r="W24" s="11">
        <v>171</v>
      </c>
      <c r="X24" s="11">
        <v>0</v>
      </c>
    </row>
    <row r="25" spans="1:24" x14ac:dyDescent="0.2">
      <c r="A25" s="6" t="s">
        <v>83</v>
      </c>
      <c r="B25" s="11">
        <v>14798</v>
      </c>
      <c r="C25" s="11">
        <v>936</v>
      </c>
      <c r="D25" s="11">
        <v>793</v>
      </c>
      <c r="E25" s="11">
        <v>393</v>
      </c>
      <c r="F25" s="11">
        <v>1305</v>
      </c>
      <c r="G25" s="11">
        <v>1159</v>
      </c>
      <c r="H25" s="11">
        <v>814</v>
      </c>
      <c r="I25" s="11">
        <v>376</v>
      </c>
      <c r="J25" s="11">
        <v>467</v>
      </c>
      <c r="K25" s="11">
        <v>623</v>
      </c>
      <c r="L25" s="11">
        <v>627</v>
      </c>
      <c r="M25" s="11">
        <v>1167</v>
      </c>
      <c r="N25" s="11">
        <v>1511</v>
      </c>
      <c r="O25" s="11">
        <v>1591</v>
      </c>
      <c r="P25" s="11">
        <v>1842</v>
      </c>
      <c r="Q25" s="11">
        <v>253</v>
      </c>
      <c r="R25" s="11">
        <v>942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</row>
    <row r="26" spans="1:24" x14ac:dyDescent="0.2">
      <c r="A26" s="6" t="s">
        <v>84</v>
      </c>
      <c r="B26" s="11">
        <v>6992</v>
      </c>
      <c r="C26" s="11">
        <v>499</v>
      </c>
      <c r="D26" s="11">
        <v>320</v>
      </c>
      <c r="E26" s="11">
        <v>0</v>
      </c>
      <c r="F26" s="11">
        <v>0</v>
      </c>
      <c r="G26" s="11">
        <v>93</v>
      </c>
      <c r="H26" s="11">
        <v>972</v>
      </c>
      <c r="I26" s="11">
        <v>78</v>
      </c>
      <c r="J26" s="11">
        <v>247</v>
      </c>
      <c r="K26" s="11">
        <v>0</v>
      </c>
      <c r="L26" s="11">
        <v>134</v>
      </c>
      <c r="M26" s="11">
        <v>2705</v>
      </c>
      <c r="N26" s="11">
        <v>379</v>
      </c>
      <c r="O26" s="11">
        <v>579</v>
      </c>
      <c r="P26" s="11">
        <v>631</v>
      </c>
      <c r="Q26" s="11">
        <v>0</v>
      </c>
      <c r="R26" s="11">
        <v>357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</row>
    <row r="27" spans="1:24" x14ac:dyDescent="0.2">
      <c r="A27" s="6" t="s">
        <v>85</v>
      </c>
      <c r="B27" s="11">
        <v>4443</v>
      </c>
      <c r="C27" s="11">
        <v>236</v>
      </c>
      <c r="D27" s="11">
        <v>227</v>
      </c>
      <c r="E27" s="11">
        <v>52</v>
      </c>
      <c r="F27" s="11">
        <v>291</v>
      </c>
      <c r="G27" s="11">
        <v>183</v>
      </c>
      <c r="H27" s="11">
        <v>127</v>
      </c>
      <c r="I27" s="11">
        <v>195</v>
      </c>
      <c r="J27" s="11">
        <v>150</v>
      </c>
      <c r="K27" s="11">
        <v>0</v>
      </c>
      <c r="L27" s="11">
        <v>233</v>
      </c>
      <c r="M27" s="11">
        <v>260</v>
      </c>
      <c r="N27" s="11">
        <v>704</v>
      </c>
      <c r="O27" s="11">
        <v>285</v>
      </c>
      <c r="P27" s="11">
        <v>217</v>
      </c>
      <c r="Q27" s="11">
        <v>190</v>
      </c>
      <c r="R27" s="11">
        <v>615</v>
      </c>
      <c r="S27" s="11">
        <v>37</v>
      </c>
      <c r="T27" s="11">
        <v>242</v>
      </c>
      <c r="U27" s="11">
        <v>100</v>
      </c>
      <c r="V27" s="11">
        <v>98</v>
      </c>
      <c r="W27" s="11">
        <v>0</v>
      </c>
      <c r="X27" s="11">
        <v>0</v>
      </c>
    </row>
    <row r="28" spans="1:24" x14ac:dyDescent="0.2">
      <c r="A28" s="6" t="s">
        <v>86</v>
      </c>
      <c r="B28" s="11">
        <v>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12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</row>
    <row r="29" spans="1:24" x14ac:dyDescent="0.2">
      <c r="A29" s="6" t="s">
        <v>87</v>
      </c>
      <c r="B29" s="11">
        <v>987</v>
      </c>
      <c r="C29" s="11">
        <v>987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</row>
    <row r="30" spans="1:24" x14ac:dyDescent="0.2">
      <c r="A30" s="6" t="s">
        <v>88</v>
      </c>
      <c r="B30" s="11">
        <v>332358</v>
      </c>
      <c r="C30" s="11">
        <v>0</v>
      </c>
      <c r="D30" s="11">
        <v>0</v>
      </c>
      <c r="E30" s="11">
        <v>0</v>
      </c>
      <c r="F30" s="11">
        <v>9724</v>
      </c>
      <c r="G30" s="11">
        <v>27866</v>
      </c>
      <c r="H30" s="11">
        <v>0</v>
      </c>
      <c r="I30" s="11">
        <v>1911</v>
      </c>
      <c r="J30" s="11">
        <v>24630</v>
      </c>
      <c r="K30" s="11">
        <v>30871</v>
      </c>
      <c r="L30" s="11">
        <v>19590</v>
      </c>
      <c r="M30" s="11">
        <v>24360</v>
      </c>
      <c r="N30" s="11">
        <v>50281</v>
      </c>
      <c r="O30" s="11">
        <v>47125</v>
      </c>
      <c r="P30" s="11">
        <v>78336</v>
      </c>
      <c r="Q30" s="11">
        <v>17662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</row>
    <row r="31" spans="1:24" x14ac:dyDescent="0.2">
      <c r="A31" s="6" t="s">
        <v>89</v>
      </c>
      <c r="B31" s="11">
        <v>2759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50</v>
      </c>
      <c r="M31" s="11">
        <v>386</v>
      </c>
      <c r="N31" s="11">
        <v>1050</v>
      </c>
      <c r="O31" s="11">
        <v>250</v>
      </c>
      <c r="P31" s="11">
        <v>141</v>
      </c>
      <c r="Q31" s="11">
        <v>0</v>
      </c>
      <c r="R31" s="11">
        <v>0</v>
      </c>
      <c r="S31" s="11">
        <v>43</v>
      </c>
      <c r="T31" s="11">
        <v>0</v>
      </c>
      <c r="U31" s="11">
        <v>0</v>
      </c>
      <c r="V31" s="11">
        <v>593</v>
      </c>
      <c r="W31" s="11">
        <v>245</v>
      </c>
      <c r="X31" s="11">
        <v>0</v>
      </c>
    </row>
    <row r="32" spans="1:24" x14ac:dyDescent="0.2">
      <c r="A32" s="6" t="s">
        <v>90</v>
      </c>
      <c r="B32" s="11">
        <v>924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456</v>
      </c>
      <c r="R32" s="11">
        <v>469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2">
      <c r="A33" s="6" t="s">
        <v>91</v>
      </c>
      <c r="B33" s="11">
        <v>16650</v>
      </c>
      <c r="C33" s="11">
        <v>1300</v>
      </c>
      <c r="D33" s="11">
        <v>1300</v>
      </c>
      <c r="E33" s="11">
        <v>1000</v>
      </c>
      <c r="F33" s="11">
        <v>450</v>
      </c>
      <c r="G33" s="11">
        <v>1000</v>
      </c>
      <c r="H33" s="11">
        <v>375</v>
      </c>
      <c r="I33" s="11">
        <v>225</v>
      </c>
      <c r="J33" s="11">
        <v>0</v>
      </c>
      <c r="K33" s="11">
        <v>1500</v>
      </c>
      <c r="L33" s="11">
        <v>1000</v>
      </c>
      <c r="M33" s="11">
        <v>1500</v>
      </c>
      <c r="N33" s="11">
        <v>1500</v>
      </c>
      <c r="O33" s="11">
        <v>1500</v>
      </c>
      <c r="P33" s="11">
        <v>1500</v>
      </c>
      <c r="Q33" s="11">
        <v>1500</v>
      </c>
      <c r="R33" s="11">
        <v>1000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</row>
    <row r="34" spans="1:24" x14ac:dyDescent="0.2">
      <c r="A34" s="6" t="s">
        <v>92</v>
      </c>
      <c r="B34" s="11">
        <v>7169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539</v>
      </c>
      <c r="K34" s="11">
        <v>441</v>
      </c>
      <c r="L34" s="11">
        <v>582</v>
      </c>
      <c r="M34" s="11">
        <v>609</v>
      </c>
      <c r="N34" s="11">
        <v>1640</v>
      </c>
      <c r="O34" s="11">
        <v>883</v>
      </c>
      <c r="P34" s="11">
        <v>814</v>
      </c>
      <c r="Q34" s="11">
        <v>499</v>
      </c>
      <c r="R34" s="11">
        <v>669</v>
      </c>
      <c r="S34" s="11">
        <v>252</v>
      </c>
      <c r="T34" s="11">
        <v>0</v>
      </c>
      <c r="U34" s="11">
        <v>240</v>
      </c>
      <c r="V34" s="11">
        <v>0</v>
      </c>
      <c r="W34" s="11">
        <v>0</v>
      </c>
      <c r="X34" s="11">
        <v>0</v>
      </c>
    </row>
    <row r="35" spans="1:24" x14ac:dyDescent="0.2">
      <c r="A35" s="6" t="s">
        <v>93</v>
      </c>
      <c r="B35" s="11">
        <v>23500</v>
      </c>
      <c r="C35" s="11">
        <v>2500</v>
      </c>
      <c r="D35" s="11">
        <v>2500</v>
      </c>
      <c r="E35" s="11">
        <v>2500</v>
      </c>
      <c r="F35" s="11">
        <v>2500</v>
      </c>
      <c r="G35" s="11">
        <v>2500</v>
      </c>
      <c r="H35" s="11">
        <v>2500</v>
      </c>
      <c r="I35" s="11">
        <v>2500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3000</v>
      </c>
      <c r="R35" s="11">
        <v>3000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</row>
    <row r="36" spans="1:24" x14ac:dyDescent="0.2">
      <c r="A36" s="6" t="s">
        <v>94</v>
      </c>
      <c r="B36" s="11">
        <v>4466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952</v>
      </c>
      <c r="L36" s="11">
        <v>0</v>
      </c>
      <c r="M36" s="11">
        <v>0</v>
      </c>
      <c r="N36" s="11">
        <v>0</v>
      </c>
      <c r="O36" s="11">
        <v>1428</v>
      </c>
      <c r="P36" s="11">
        <v>2086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</row>
    <row r="37" spans="1:24" x14ac:dyDescent="0.2">
      <c r="A37" s="6" t="s">
        <v>95</v>
      </c>
      <c r="B37" s="11">
        <v>918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225</v>
      </c>
      <c r="R37" s="11">
        <v>693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</row>
    <row r="38" spans="1:24" x14ac:dyDescent="0.2">
      <c r="A38" s="6" t="s">
        <v>96</v>
      </c>
      <c r="B38" s="13">
        <v>2923688</v>
      </c>
      <c r="C38" s="13">
        <v>160947</v>
      </c>
      <c r="D38" s="13">
        <v>121234</v>
      </c>
      <c r="E38" s="13">
        <v>139038</v>
      </c>
      <c r="F38" s="13">
        <v>129245</v>
      </c>
      <c r="G38" s="13">
        <v>154351</v>
      </c>
      <c r="H38" s="13">
        <v>126200</v>
      </c>
      <c r="I38" s="13">
        <v>94585</v>
      </c>
      <c r="J38" s="13">
        <v>134833</v>
      </c>
      <c r="K38" s="13">
        <v>120183</v>
      </c>
      <c r="L38" s="13">
        <v>163837</v>
      </c>
      <c r="M38" s="13">
        <v>160341</v>
      </c>
      <c r="N38" s="13">
        <v>370177</v>
      </c>
      <c r="O38" s="13">
        <v>227568</v>
      </c>
      <c r="P38" s="13">
        <v>256058</v>
      </c>
      <c r="Q38" s="13">
        <v>177075</v>
      </c>
      <c r="R38" s="13">
        <v>175404</v>
      </c>
      <c r="S38" s="13">
        <v>57544</v>
      </c>
      <c r="T38" s="13">
        <v>41107</v>
      </c>
      <c r="U38" s="13">
        <v>34066</v>
      </c>
      <c r="V38" s="13">
        <v>56927</v>
      </c>
      <c r="W38" s="13">
        <v>13715</v>
      </c>
      <c r="X38" s="13">
        <v>9251</v>
      </c>
    </row>
    <row r="39" spans="1:24" x14ac:dyDescent="0.2">
      <c r="A39" s="6" t="s">
        <v>38</v>
      </c>
      <c r="B39" s="15" t="s">
        <v>70</v>
      </c>
      <c r="C39" s="15" t="s">
        <v>70</v>
      </c>
      <c r="D39" s="15" t="s">
        <v>70</v>
      </c>
      <c r="E39" s="15" t="s">
        <v>70</v>
      </c>
      <c r="F39" s="15" t="s">
        <v>70</v>
      </c>
      <c r="G39" s="15" t="s">
        <v>70</v>
      </c>
      <c r="H39" s="15" t="s">
        <v>70</v>
      </c>
      <c r="I39" s="15" t="s">
        <v>70</v>
      </c>
      <c r="J39" s="15" t="s">
        <v>70</v>
      </c>
      <c r="K39" s="15" t="s">
        <v>70</v>
      </c>
      <c r="L39" s="15" t="s">
        <v>70</v>
      </c>
      <c r="M39" s="15" t="s">
        <v>70</v>
      </c>
      <c r="N39" s="15" t="s">
        <v>70</v>
      </c>
      <c r="O39" s="15" t="s">
        <v>70</v>
      </c>
      <c r="P39" s="15" t="s">
        <v>70</v>
      </c>
      <c r="Q39" s="15" t="s">
        <v>70</v>
      </c>
      <c r="R39" s="15" t="s">
        <v>70</v>
      </c>
      <c r="S39" s="15" t="s">
        <v>70</v>
      </c>
      <c r="T39" s="15" t="s">
        <v>70</v>
      </c>
      <c r="U39" s="15" t="s">
        <v>70</v>
      </c>
      <c r="V39" s="15" t="s">
        <v>70</v>
      </c>
      <c r="W39" s="15" t="s">
        <v>70</v>
      </c>
      <c r="X39" s="15" t="s">
        <v>70</v>
      </c>
    </row>
    <row r="40" spans="1:24" x14ac:dyDescent="0.2">
      <c r="A40" s="6" t="s">
        <v>71</v>
      </c>
      <c r="B40" s="11">
        <v>1245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1245</v>
      </c>
      <c r="U40" s="11">
        <v>0</v>
      </c>
      <c r="V40" s="11">
        <v>0</v>
      </c>
      <c r="W40" s="11">
        <v>0</v>
      </c>
      <c r="X40" s="11">
        <v>0</v>
      </c>
    </row>
    <row r="41" spans="1:24" x14ac:dyDescent="0.2">
      <c r="A41" s="6" t="s">
        <v>97</v>
      </c>
      <c r="B41" s="13">
        <v>1245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1245</v>
      </c>
      <c r="U41" s="13">
        <v>0</v>
      </c>
      <c r="V41" s="13">
        <v>0</v>
      </c>
      <c r="W41" s="13">
        <v>0</v>
      </c>
      <c r="X41" s="13">
        <v>0</v>
      </c>
    </row>
    <row r="42" spans="1:24" x14ac:dyDescent="0.2">
      <c r="A42" s="6" t="s">
        <v>39</v>
      </c>
      <c r="B42" s="15" t="s">
        <v>70</v>
      </c>
      <c r="C42" s="15" t="s">
        <v>70</v>
      </c>
      <c r="D42" s="15" t="s">
        <v>70</v>
      </c>
      <c r="E42" s="15" t="s">
        <v>70</v>
      </c>
      <c r="F42" s="15" t="s">
        <v>70</v>
      </c>
      <c r="G42" s="15" t="s">
        <v>70</v>
      </c>
      <c r="H42" s="15" t="s">
        <v>70</v>
      </c>
      <c r="I42" s="15" t="s">
        <v>70</v>
      </c>
      <c r="J42" s="15" t="s">
        <v>70</v>
      </c>
      <c r="K42" s="15" t="s">
        <v>70</v>
      </c>
      <c r="L42" s="15" t="s">
        <v>70</v>
      </c>
      <c r="M42" s="15" t="s">
        <v>70</v>
      </c>
      <c r="N42" s="15" t="s">
        <v>70</v>
      </c>
      <c r="O42" s="15" t="s">
        <v>70</v>
      </c>
      <c r="P42" s="15" t="s">
        <v>70</v>
      </c>
      <c r="Q42" s="15" t="s">
        <v>70</v>
      </c>
      <c r="R42" s="15" t="s">
        <v>70</v>
      </c>
      <c r="S42" s="15" t="s">
        <v>70</v>
      </c>
      <c r="T42" s="15" t="s">
        <v>70</v>
      </c>
      <c r="U42" s="15" t="s">
        <v>70</v>
      </c>
      <c r="V42" s="15" t="s">
        <v>70</v>
      </c>
      <c r="W42" s="15" t="s">
        <v>70</v>
      </c>
      <c r="X42" s="15" t="s">
        <v>70</v>
      </c>
    </row>
    <row r="43" spans="1:24" x14ac:dyDescent="0.2">
      <c r="A43" s="6" t="s">
        <v>71</v>
      </c>
      <c r="B43" s="11">
        <v>198582</v>
      </c>
      <c r="C43" s="11">
        <v>12551</v>
      </c>
      <c r="D43" s="11">
        <v>10415</v>
      </c>
      <c r="E43" s="11">
        <v>12098</v>
      </c>
      <c r="F43" s="11">
        <v>12591</v>
      </c>
      <c r="G43" s="11">
        <v>9364</v>
      </c>
      <c r="H43" s="11">
        <v>13664</v>
      </c>
      <c r="I43" s="11">
        <v>4530</v>
      </c>
      <c r="J43" s="11">
        <v>7691</v>
      </c>
      <c r="K43" s="11">
        <v>7089</v>
      </c>
      <c r="L43" s="11">
        <v>8933</v>
      </c>
      <c r="M43" s="11">
        <v>9941</v>
      </c>
      <c r="N43" s="11">
        <v>26846</v>
      </c>
      <c r="O43" s="11">
        <v>8936</v>
      </c>
      <c r="P43" s="11">
        <v>14790</v>
      </c>
      <c r="Q43" s="11">
        <v>12411</v>
      </c>
      <c r="R43" s="11">
        <v>15678</v>
      </c>
      <c r="S43" s="11">
        <v>1975</v>
      </c>
      <c r="T43" s="11">
        <v>3138</v>
      </c>
      <c r="U43" s="11">
        <v>1658</v>
      </c>
      <c r="V43" s="11">
        <v>2345</v>
      </c>
      <c r="W43" s="11">
        <v>1939</v>
      </c>
      <c r="X43" s="11">
        <v>0</v>
      </c>
    </row>
    <row r="44" spans="1:24" x14ac:dyDescent="0.2">
      <c r="A44" s="6" t="s">
        <v>72</v>
      </c>
      <c r="B44" s="11">
        <v>3180</v>
      </c>
      <c r="C44" s="11">
        <v>163</v>
      </c>
      <c r="D44" s="11">
        <v>8</v>
      </c>
      <c r="E44" s="11">
        <v>368</v>
      </c>
      <c r="F44" s="11">
        <v>0</v>
      </c>
      <c r="G44" s="11">
        <v>193</v>
      </c>
      <c r="H44" s="11">
        <v>275</v>
      </c>
      <c r="I44" s="11">
        <v>0</v>
      </c>
      <c r="J44" s="11">
        <v>0</v>
      </c>
      <c r="K44" s="11">
        <v>1166</v>
      </c>
      <c r="L44" s="11">
        <v>147</v>
      </c>
      <c r="M44" s="11">
        <v>262</v>
      </c>
      <c r="N44" s="11">
        <v>166</v>
      </c>
      <c r="O44" s="11">
        <v>11</v>
      </c>
      <c r="P44" s="11">
        <v>236</v>
      </c>
      <c r="Q44" s="11">
        <v>0</v>
      </c>
      <c r="R44" s="11">
        <v>57</v>
      </c>
      <c r="S44" s="11">
        <v>115</v>
      </c>
      <c r="T44" s="11">
        <v>0</v>
      </c>
      <c r="U44" s="11">
        <v>0</v>
      </c>
      <c r="V44" s="11">
        <v>0</v>
      </c>
      <c r="W44" s="11">
        <v>13</v>
      </c>
      <c r="X44" s="11">
        <v>0</v>
      </c>
    </row>
    <row r="45" spans="1:24" x14ac:dyDescent="0.2">
      <c r="A45" s="6" t="s">
        <v>74</v>
      </c>
      <c r="B45" s="11">
        <v>700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700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</row>
    <row r="46" spans="1:24" x14ac:dyDescent="0.2">
      <c r="A46" s="6" t="s">
        <v>75</v>
      </c>
      <c r="B46" s="11">
        <v>4963</v>
      </c>
      <c r="C46" s="11">
        <v>123</v>
      </c>
      <c r="D46" s="11">
        <v>442</v>
      </c>
      <c r="E46" s="11">
        <v>155</v>
      </c>
      <c r="F46" s="11">
        <v>0</v>
      </c>
      <c r="G46" s="11">
        <v>389</v>
      </c>
      <c r="H46" s="11">
        <v>88</v>
      </c>
      <c r="I46" s="11">
        <v>116</v>
      </c>
      <c r="J46" s="11">
        <v>0</v>
      </c>
      <c r="K46" s="11">
        <v>0</v>
      </c>
      <c r="L46" s="11">
        <v>0</v>
      </c>
      <c r="M46" s="11">
        <v>0</v>
      </c>
      <c r="N46" s="11">
        <v>710</v>
      </c>
      <c r="O46" s="11">
        <v>441</v>
      </c>
      <c r="P46" s="11">
        <v>222</v>
      </c>
      <c r="Q46" s="11">
        <v>869</v>
      </c>
      <c r="R46" s="11">
        <v>516</v>
      </c>
      <c r="S46" s="11">
        <v>0</v>
      </c>
      <c r="T46" s="11">
        <v>300</v>
      </c>
      <c r="U46" s="11">
        <v>0</v>
      </c>
      <c r="V46" s="11">
        <v>0</v>
      </c>
      <c r="W46" s="11">
        <v>590</v>
      </c>
      <c r="X46" s="11">
        <v>0</v>
      </c>
    </row>
    <row r="47" spans="1:24" x14ac:dyDescent="0.2">
      <c r="A47" s="6" t="s">
        <v>76</v>
      </c>
      <c r="B47" s="11">
        <v>5707</v>
      </c>
      <c r="C47" s="11">
        <v>482</v>
      </c>
      <c r="D47" s="11">
        <v>423</v>
      </c>
      <c r="E47" s="11">
        <v>321</v>
      </c>
      <c r="F47" s="11">
        <v>538</v>
      </c>
      <c r="G47" s="11">
        <v>195</v>
      </c>
      <c r="H47" s="11">
        <v>462</v>
      </c>
      <c r="I47" s="11">
        <v>182</v>
      </c>
      <c r="J47" s="11">
        <v>182</v>
      </c>
      <c r="K47" s="11">
        <v>187</v>
      </c>
      <c r="L47" s="11">
        <v>303</v>
      </c>
      <c r="M47" s="11">
        <v>174</v>
      </c>
      <c r="N47" s="11">
        <v>616</v>
      </c>
      <c r="O47" s="11">
        <v>281</v>
      </c>
      <c r="P47" s="11">
        <v>573</v>
      </c>
      <c r="Q47" s="11">
        <v>270</v>
      </c>
      <c r="R47" s="11">
        <v>365</v>
      </c>
      <c r="S47" s="11">
        <v>100</v>
      </c>
      <c r="T47" s="11">
        <v>0</v>
      </c>
      <c r="U47" s="11">
        <v>56</v>
      </c>
      <c r="V47" s="11">
        <v>0</v>
      </c>
      <c r="W47" s="11">
        <v>0</v>
      </c>
      <c r="X47" s="11">
        <v>0</v>
      </c>
    </row>
    <row r="48" spans="1:24" x14ac:dyDescent="0.2">
      <c r="A48" s="6" t="s">
        <v>98</v>
      </c>
      <c r="B48" s="11">
        <v>23482</v>
      </c>
      <c r="C48" s="11">
        <v>951</v>
      </c>
      <c r="D48" s="11">
        <v>337</v>
      </c>
      <c r="E48" s="11">
        <v>747</v>
      </c>
      <c r="F48" s="11">
        <v>470</v>
      </c>
      <c r="G48" s="11">
        <v>603</v>
      </c>
      <c r="H48" s="11">
        <v>972</v>
      </c>
      <c r="I48" s="11">
        <v>483</v>
      </c>
      <c r="J48" s="11">
        <v>1035</v>
      </c>
      <c r="K48" s="11">
        <v>1142</v>
      </c>
      <c r="L48" s="11">
        <v>1150</v>
      </c>
      <c r="M48" s="11">
        <v>1339</v>
      </c>
      <c r="N48" s="11">
        <v>2790</v>
      </c>
      <c r="O48" s="11">
        <v>4717</v>
      </c>
      <c r="P48" s="11">
        <v>994</v>
      </c>
      <c r="Q48" s="11">
        <v>2210</v>
      </c>
      <c r="R48" s="11">
        <v>1208</v>
      </c>
      <c r="S48" s="11">
        <v>455</v>
      </c>
      <c r="T48" s="11">
        <v>568</v>
      </c>
      <c r="U48" s="11">
        <v>426</v>
      </c>
      <c r="V48" s="11">
        <v>617</v>
      </c>
      <c r="W48" s="11">
        <v>196</v>
      </c>
      <c r="X48" s="11">
        <v>73</v>
      </c>
    </row>
    <row r="49" spans="1:24" x14ac:dyDescent="0.2">
      <c r="A49" s="6" t="s">
        <v>99</v>
      </c>
      <c r="B49" s="13">
        <v>236614</v>
      </c>
      <c r="C49" s="13">
        <v>14270</v>
      </c>
      <c r="D49" s="13">
        <v>11625</v>
      </c>
      <c r="E49" s="13">
        <v>13689</v>
      </c>
      <c r="F49" s="13">
        <v>13599</v>
      </c>
      <c r="G49" s="13">
        <v>10744</v>
      </c>
      <c r="H49" s="13">
        <v>15461</v>
      </c>
      <c r="I49" s="13">
        <v>5311</v>
      </c>
      <c r="J49" s="13">
        <v>8908</v>
      </c>
      <c r="K49" s="13">
        <v>9584</v>
      </c>
      <c r="L49" s="13">
        <v>11233</v>
      </c>
      <c r="M49" s="13">
        <v>11716</v>
      </c>
      <c r="N49" s="13">
        <v>31128</v>
      </c>
      <c r="O49" s="13">
        <v>14386</v>
      </c>
      <c r="P49" s="13">
        <v>16815</v>
      </c>
      <c r="Q49" s="13">
        <v>15760</v>
      </c>
      <c r="R49" s="13">
        <v>17824</v>
      </c>
      <c r="S49" s="13">
        <v>2645</v>
      </c>
      <c r="T49" s="13">
        <v>4006</v>
      </c>
      <c r="U49" s="13">
        <v>2140</v>
      </c>
      <c r="V49" s="13">
        <v>2962</v>
      </c>
      <c r="W49" s="13">
        <v>2738</v>
      </c>
      <c r="X49" s="13">
        <v>73</v>
      </c>
    </row>
    <row r="50" spans="1:24" x14ac:dyDescent="0.2">
      <c r="A50" s="6" t="s">
        <v>40</v>
      </c>
      <c r="B50" s="15" t="s">
        <v>70</v>
      </c>
      <c r="C50" s="15" t="s">
        <v>70</v>
      </c>
      <c r="D50" s="15" t="s">
        <v>70</v>
      </c>
      <c r="E50" s="15" t="s">
        <v>70</v>
      </c>
      <c r="F50" s="15" t="s">
        <v>70</v>
      </c>
      <c r="G50" s="15" t="s">
        <v>70</v>
      </c>
      <c r="H50" s="15" t="s">
        <v>70</v>
      </c>
      <c r="I50" s="15" t="s">
        <v>70</v>
      </c>
      <c r="J50" s="15" t="s">
        <v>70</v>
      </c>
      <c r="K50" s="15" t="s">
        <v>70</v>
      </c>
      <c r="L50" s="15" t="s">
        <v>70</v>
      </c>
      <c r="M50" s="15" t="s">
        <v>70</v>
      </c>
      <c r="N50" s="15" t="s">
        <v>70</v>
      </c>
      <c r="O50" s="15" t="s">
        <v>70</v>
      </c>
      <c r="P50" s="15" t="s">
        <v>70</v>
      </c>
      <c r="Q50" s="15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</row>
    <row r="51" spans="1:24" x14ac:dyDescent="0.2">
      <c r="A51" s="6" t="s">
        <v>71</v>
      </c>
      <c r="B51" s="11">
        <v>75853</v>
      </c>
      <c r="C51" s="11">
        <v>3132</v>
      </c>
      <c r="D51" s="11">
        <v>3193</v>
      </c>
      <c r="E51" s="11">
        <v>3446</v>
      </c>
      <c r="F51" s="11">
        <v>3485</v>
      </c>
      <c r="G51" s="11">
        <v>2910</v>
      </c>
      <c r="H51" s="11">
        <v>3352</v>
      </c>
      <c r="I51" s="11">
        <v>2148</v>
      </c>
      <c r="J51" s="11">
        <v>3668</v>
      </c>
      <c r="K51" s="11">
        <v>3880</v>
      </c>
      <c r="L51" s="11">
        <v>3285</v>
      </c>
      <c r="M51" s="11">
        <v>3433</v>
      </c>
      <c r="N51" s="11">
        <v>6883</v>
      </c>
      <c r="O51" s="11">
        <v>7570</v>
      </c>
      <c r="P51" s="11">
        <v>7424</v>
      </c>
      <c r="Q51" s="11">
        <v>6196</v>
      </c>
      <c r="R51" s="11">
        <v>429</v>
      </c>
      <c r="S51" s="11">
        <v>3512</v>
      </c>
      <c r="T51" s="11">
        <v>3137</v>
      </c>
      <c r="U51" s="11">
        <v>717</v>
      </c>
      <c r="V51" s="11">
        <v>3763</v>
      </c>
      <c r="W51" s="11">
        <v>290</v>
      </c>
      <c r="X51" s="11">
        <v>0</v>
      </c>
    </row>
    <row r="52" spans="1:24" x14ac:dyDescent="0.2">
      <c r="A52" s="6" t="s">
        <v>72</v>
      </c>
      <c r="B52" s="11">
        <v>3375</v>
      </c>
      <c r="C52" s="11">
        <v>98</v>
      </c>
      <c r="D52" s="11">
        <v>77</v>
      </c>
      <c r="E52" s="11">
        <v>33</v>
      </c>
      <c r="F52" s="11">
        <v>361</v>
      </c>
      <c r="G52" s="11">
        <v>75</v>
      </c>
      <c r="H52" s="11">
        <v>136</v>
      </c>
      <c r="I52" s="11">
        <v>90</v>
      </c>
      <c r="J52" s="11">
        <v>577</v>
      </c>
      <c r="K52" s="11">
        <v>63</v>
      </c>
      <c r="L52" s="11">
        <v>0</v>
      </c>
      <c r="M52" s="11">
        <v>333</v>
      </c>
      <c r="N52" s="11">
        <v>0</v>
      </c>
      <c r="O52" s="11">
        <v>255</v>
      </c>
      <c r="P52" s="11">
        <v>379</v>
      </c>
      <c r="Q52" s="11">
        <v>0</v>
      </c>
      <c r="R52" s="11">
        <v>0</v>
      </c>
      <c r="S52" s="11">
        <v>148</v>
      </c>
      <c r="T52" s="11">
        <v>731</v>
      </c>
      <c r="U52" s="11">
        <v>0</v>
      </c>
      <c r="V52" s="11">
        <v>20</v>
      </c>
      <c r="W52" s="11">
        <v>0</v>
      </c>
      <c r="X52" s="11">
        <v>0</v>
      </c>
    </row>
    <row r="53" spans="1:24" x14ac:dyDescent="0.2">
      <c r="A53" s="6" t="s">
        <v>75</v>
      </c>
      <c r="B53" s="11">
        <v>2502</v>
      </c>
      <c r="C53" s="11">
        <v>0</v>
      </c>
      <c r="D53" s="11">
        <v>0</v>
      </c>
      <c r="E53" s="11">
        <v>51</v>
      </c>
      <c r="F53" s="11">
        <v>0</v>
      </c>
      <c r="G53" s="11">
        <v>236</v>
      </c>
      <c r="H53" s="11">
        <v>0</v>
      </c>
      <c r="I53" s="11">
        <v>150</v>
      </c>
      <c r="J53" s="11">
        <v>0</v>
      </c>
      <c r="K53" s="11">
        <v>62</v>
      </c>
      <c r="L53" s="11">
        <v>790</v>
      </c>
      <c r="M53" s="11">
        <v>210</v>
      </c>
      <c r="N53" s="11">
        <v>0</v>
      </c>
      <c r="O53" s="11">
        <v>146</v>
      </c>
      <c r="P53" s="11">
        <v>0</v>
      </c>
      <c r="Q53" s="11">
        <v>216</v>
      </c>
      <c r="R53" s="11">
        <v>123</v>
      </c>
      <c r="S53" s="11">
        <v>0</v>
      </c>
      <c r="T53" s="11">
        <v>193</v>
      </c>
      <c r="U53" s="11">
        <v>110</v>
      </c>
      <c r="V53" s="11">
        <v>0</v>
      </c>
      <c r="W53" s="11">
        <v>214</v>
      </c>
      <c r="X53" s="11">
        <v>0</v>
      </c>
    </row>
    <row r="54" spans="1:24" x14ac:dyDescent="0.2">
      <c r="A54" s="6" t="s">
        <v>76</v>
      </c>
      <c r="B54" s="11">
        <v>2073</v>
      </c>
      <c r="C54" s="11">
        <v>113</v>
      </c>
      <c r="D54" s="11">
        <v>119</v>
      </c>
      <c r="E54" s="11">
        <v>139</v>
      </c>
      <c r="F54" s="11">
        <v>0</v>
      </c>
      <c r="G54" s="11">
        <v>125</v>
      </c>
      <c r="H54" s="11">
        <v>126</v>
      </c>
      <c r="I54" s="11">
        <v>107</v>
      </c>
      <c r="J54" s="11">
        <v>0</v>
      </c>
      <c r="K54" s="11">
        <v>145</v>
      </c>
      <c r="L54" s="11">
        <v>0</v>
      </c>
      <c r="M54" s="11">
        <v>78</v>
      </c>
      <c r="N54" s="11">
        <v>0</v>
      </c>
      <c r="O54" s="11">
        <v>256</v>
      </c>
      <c r="P54" s="11">
        <v>276</v>
      </c>
      <c r="Q54" s="11">
        <v>123</v>
      </c>
      <c r="R54" s="11">
        <v>0</v>
      </c>
      <c r="S54" s="11">
        <v>116</v>
      </c>
      <c r="T54" s="11">
        <v>103</v>
      </c>
      <c r="U54" s="11">
        <v>90</v>
      </c>
      <c r="V54" s="11">
        <v>156</v>
      </c>
      <c r="W54" s="11">
        <v>0</v>
      </c>
      <c r="X54" s="11">
        <v>0</v>
      </c>
    </row>
    <row r="55" spans="1:24" x14ac:dyDescent="0.2">
      <c r="A55" s="6" t="s">
        <v>100</v>
      </c>
      <c r="B55" s="11">
        <v>84</v>
      </c>
      <c r="C55" s="11">
        <v>0</v>
      </c>
      <c r="D55" s="11">
        <v>0</v>
      </c>
      <c r="E55" s="11">
        <v>0</v>
      </c>
      <c r="F55" s="11">
        <v>0</v>
      </c>
      <c r="G55" s="11">
        <v>30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54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</row>
    <row r="56" spans="1:24" x14ac:dyDescent="0.2">
      <c r="A56" s="6" t="s">
        <v>101</v>
      </c>
      <c r="B56" s="11">
        <v>2267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121</v>
      </c>
      <c r="N56" s="11">
        <v>0</v>
      </c>
      <c r="O56" s="11">
        <v>0</v>
      </c>
      <c r="P56" s="11">
        <v>19</v>
      </c>
      <c r="Q56" s="11">
        <v>0</v>
      </c>
      <c r="R56" s="11">
        <v>0</v>
      </c>
      <c r="S56" s="11">
        <v>0</v>
      </c>
      <c r="T56" s="11">
        <v>2127</v>
      </c>
      <c r="U56" s="11">
        <v>0</v>
      </c>
      <c r="V56" s="11">
        <v>0</v>
      </c>
      <c r="W56" s="11">
        <v>0</v>
      </c>
      <c r="X56" s="11">
        <v>0</v>
      </c>
    </row>
    <row r="57" spans="1:24" x14ac:dyDescent="0.2">
      <c r="A57" s="6" t="s">
        <v>102</v>
      </c>
      <c r="B57" s="11">
        <v>3098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1487</v>
      </c>
      <c r="I57" s="11">
        <v>151</v>
      </c>
      <c r="J57" s="11">
        <v>624</v>
      </c>
      <c r="K57" s="11">
        <v>749</v>
      </c>
      <c r="L57" s="11">
        <v>0</v>
      </c>
      <c r="M57" s="11">
        <v>0</v>
      </c>
      <c r="N57" s="11">
        <v>0</v>
      </c>
      <c r="O57" s="11">
        <v>86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</row>
    <row r="58" spans="1:24" x14ac:dyDescent="0.2">
      <c r="A58" s="6" t="s">
        <v>103</v>
      </c>
      <c r="B58" s="11">
        <v>16640</v>
      </c>
      <c r="C58" s="11">
        <v>1948</v>
      </c>
      <c r="D58" s="11">
        <v>103</v>
      </c>
      <c r="E58" s="11">
        <v>59</v>
      </c>
      <c r="F58" s="11">
        <v>1913</v>
      </c>
      <c r="G58" s="11">
        <v>97</v>
      </c>
      <c r="H58" s="11">
        <v>263</v>
      </c>
      <c r="I58" s="11">
        <v>0</v>
      </c>
      <c r="J58" s="11">
        <v>884</v>
      </c>
      <c r="K58" s="11">
        <v>0</v>
      </c>
      <c r="L58" s="11">
        <v>738</v>
      </c>
      <c r="M58" s="11">
        <v>50</v>
      </c>
      <c r="N58" s="11">
        <v>1885</v>
      </c>
      <c r="O58" s="11">
        <v>0</v>
      </c>
      <c r="P58" s="11">
        <v>1073</v>
      </c>
      <c r="Q58" s="11">
        <v>2151</v>
      </c>
      <c r="R58" s="11">
        <v>73</v>
      </c>
      <c r="S58" s="11">
        <v>2319</v>
      </c>
      <c r="T58" s="11">
        <v>372</v>
      </c>
      <c r="U58" s="11">
        <v>0</v>
      </c>
      <c r="V58" s="11">
        <v>2444</v>
      </c>
      <c r="W58" s="11">
        <v>267</v>
      </c>
      <c r="X58" s="11">
        <v>0</v>
      </c>
    </row>
    <row r="59" spans="1:24" x14ac:dyDescent="0.2">
      <c r="A59" s="6" t="s">
        <v>104</v>
      </c>
      <c r="B59" s="11">
        <v>64172</v>
      </c>
      <c r="C59" s="11">
        <v>3485</v>
      </c>
      <c r="D59" s="11">
        <v>4838</v>
      </c>
      <c r="E59" s="11">
        <v>1881</v>
      </c>
      <c r="F59" s="11">
        <v>5410</v>
      </c>
      <c r="G59" s="11">
        <v>2296</v>
      </c>
      <c r="H59" s="11">
        <v>3902</v>
      </c>
      <c r="I59" s="11">
        <v>4650</v>
      </c>
      <c r="J59" s="11">
        <v>1411</v>
      </c>
      <c r="K59" s="11">
        <v>1912</v>
      </c>
      <c r="L59" s="11">
        <v>2959</v>
      </c>
      <c r="M59" s="11">
        <v>4008</v>
      </c>
      <c r="N59" s="11">
        <v>2990</v>
      </c>
      <c r="O59" s="11">
        <v>5209</v>
      </c>
      <c r="P59" s="11">
        <v>3008</v>
      </c>
      <c r="Q59" s="11">
        <v>2795</v>
      </c>
      <c r="R59" s="11">
        <v>145</v>
      </c>
      <c r="S59" s="11">
        <v>44</v>
      </c>
      <c r="T59" s="11">
        <v>3439</v>
      </c>
      <c r="U59" s="11">
        <v>1414</v>
      </c>
      <c r="V59" s="11">
        <v>2299</v>
      </c>
      <c r="W59" s="11">
        <v>6041</v>
      </c>
      <c r="X59" s="11">
        <v>36</v>
      </c>
    </row>
    <row r="60" spans="1:24" x14ac:dyDescent="0.2">
      <c r="A60" s="6" t="s">
        <v>105</v>
      </c>
      <c r="B60" s="11">
        <v>823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823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</row>
    <row r="61" spans="1:24" x14ac:dyDescent="0.2">
      <c r="A61" s="6" t="s">
        <v>106</v>
      </c>
      <c r="B61" s="11">
        <v>25620</v>
      </c>
      <c r="C61" s="11">
        <v>1275</v>
      </c>
      <c r="D61" s="11">
        <v>1425</v>
      </c>
      <c r="E61" s="11">
        <v>5040</v>
      </c>
      <c r="F61" s="11">
        <v>1670</v>
      </c>
      <c r="G61" s="11">
        <v>3725</v>
      </c>
      <c r="H61" s="11">
        <v>0</v>
      </c>
      <c r="I61" s="11">
        <v>2200</v>
      </c>
      <c r="J61" s="11">
        <v>440</v>
      </c>
      <c r="K61" s="11">
        <v>3375</v>
      </c>
      <c r="L61" s="11">
        <v>1200</v>
      </c>
      <c r="M61" s="11">
        <v>0</v>
      </c>
      <c r="N61" s="11">
        <v>0</v>
      </c>
      <c r="O61" s="11">
        <v>0</v>
      </c>
      <c r="P61" s="11">
        <v>0</v>
      </c>
      <c r="Q61" s="11">
        <v>3295</v>
      </c>
      <c r="R61" s="11">
        <v>450</v>
      </c>
      <c r="S61" s="11">
        <v>0</v>
      </c>
      <c r="T61" s="11">
        <v>0</v>
      </c>
      <c r="U61" s="11">
        <v>1150</v>
      </c>
      <c r="V61" s="11">
        <v>0</v>
      </c>
      <c r="W61" s="11">
        <v>0</v>
      </c>
      <c r="X61" s="11">
        <v>375</v>
      </c>
    </row>
    <row r="62" spans="1:24" x14ac:dyDescent="0.2">
      <c r="A62" s="6" t="s">
        <v>107</v>
      </c>
      <c r="B62" s="11">
        <v>5406</v>
      </c>
      <c r="C62" s="11">
        <v>134</v>
      </c>
      <c r="D62" s="11">
        <v>134</v>
      </c>
      <c r="E62" s="11">
        <v>248</v>
      </c>
      <c r="F62" s="11">
        <v>108</v>
      </c>
      <c r="G62" s="11">
        <v>384</v>
      </c>
      <c r="H62" s="11">
        <v>134</v>
      </c>
      <c r="I62" s="11">
        <v>134</v>
      </c>
      <c r="J62" s="11">
        <v>150</v>
      </c>
      <c r="K62" s="11">
        <v>150</v>
      </c>
      <c r="L62" s="11">
        <v>150</v>
      </c>
      <c r="M62" s="11">
        <v>150</v>
      </c>
      <c r="N62" s="11">
        <v>150</v>
      </c>
      <c r="O62" s="11">
        <v>150</v>
      </c>
      <c r="P62" s="11">
        <v>150</v>
      </c>
      <c r="Q62" s="11">
        <v>150</v>
      </c>
      <c r="R62" s="11">
        <v>150</v>
      </c>
      <c r="S62" s="11">
        <v>300</v>
      </c>
      <c r="T62" s="11">
        <v>1430</v>
      </c>
      <c r="U62" s="11">
        <v>300</v>
      </c>
      <c r="V62" s="11">
        <v>150</v>
      </c>
      <c r="W62" s="11">
        <v>300</v>
      </c>
      <c r="X62" s="11">
        <v>300</v>
      </c>
    </row>
    <row r="63" spans="1:24" x14ac:dyDescent="0.2">
      <c r="A63" s="6" t="s">
        <v>108</v>
      </c>
      <c r="B63" s="11">
        <v>16210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643</v>
      </c>
      <c r="I63" s="11">
        <v>0</v>
      </c>
      <c r="J63" s="11">
        <v>427</v>
      </c>
      <c r="K63" s="11">
        <v>5220</v>
      </c>
      <c r="L63" s="11">
        <v>0</v>
      </c>
      <c r="M63" s="11">
        <v>0</v>
      </c>
      <c r="N63" s="11">
        <v>0</v>
      </c>
      <c r="O63" s="11">
        <v>3900</v>
      </c>
      <c r="P63" s="11">
        <v>1630</v>
      </c>
      <c r="Q63" s="11">
        <v>2406</v>
      </c>
      <c r="R63" s="11">
        <v>1030</v>
      </c>
      <c r="S63" s="11">
        <v>0</v>
      </c>
      <c r="T63" s="11">
        <v>0</v>
      </c>
      <c r="U63" s="11">
        <v>790</v>
      </c>
      <c r="V63" s="11">
        <v>0</v>
      </c>
      <c r="W63" s="11">
        <v>165</v>
      </c>
      <c r="X63" s="11">
        <v>0</v>
      </c>
    </row>
    <row r="64" spans="1:24" x14ac:dyDescent="0.2">
      <c r="A64" s="6" t="s">
        <v>109</v>
      </c>
      <c r="B64" s="11">
        <v>13896</v>
      </c>
      <c r="C64" s="11">
        <v>400</v>
      </c>
      <c r="D64" s="11">
        <v>500</v>
      </c>
      <c r="E64" s="11">
        <v>735</v>
      </c>
      <c r="F64" s="11">
        <v>565</v>
      </c>
      <c r="G64" s="11">
        <v>683</v>
      </c>
      <c r="H64" s="11">
        <v>800</v>
      </c>
      <c r="I64" s="11">
        <v>525</v>
      </c>
      <c r="J64" s="11">
        <v>743</v>
      </c>
      <c r="K64" s="11">
        <v>565</v>
      </c>
      <c r="L64" s="11">
        <v>695</v>
      </c>
      <c r="M64" s="11">
        <v>675</v>
      </c>
      <c r="N64" s="11">
        <v>1195</v>
      </c>
      <c r="O64" s="11">
        <v>885</v>
      </c>
      <c r="P64" s="11">
        <v>760</v>
      </c>
      <c r="Q64" s="11">
        <v>735</v>
      </c>
      <c r="R64" s="11">
        <v>1200</v>
      </c>
      <c r="S64" s="11">
        <v>310</v>
      </c>
      <c r="T64" s="11">
        <v>574</v>
      </c>
      <c r="U64" s="11">
        <v>400</v>
      </c>
      <c r="V64" s="11">
        <v>396</v>
      </c>
      <c r="W64" s="11">
        <v>310</v>
      </c>
      <c r="X64" s="11">
        <v>245</v>
      </c>
    </row>
    <row r="65" spans="1:24" x14ac:dyDescent="0.2">
      <c r="A65" s="6" t="s">
        <v>110</v>
      </c>
      <c r="B65" s="11">
        <v>1800</v>
      </c>
      <c r="C65" s="11">
        <v>150</v>
      </c>
      <c r="D65" s="11">
        <v>150</v>
      </c>
      <c r="E65" s="11">
        <v>150</v>
      </c>
      <c r="F65" s="11">
        <v>150</v>
      </c>
      <c r="G65" s="11">
        <v>0</v>
      </c>
      <c r="H65" s="11">
        <v>150</v>
      </c>
      <c r="I65" s="11">
        <v>150</v>
      </c>
      <c r="J65" s="11">
        <v>225</v>
      </c>
      <c r="K65" s="11">
        <v>0</v>
      </c>
      <c r="L65" s="11">
        <v>0</v>
      </c>
      <c r="M65" s="11">
        <v>150</v>
      </c>
      <c r="N65" s="11">
        <v>75</v>
      </c>
      <c r="O65" s="11">
        <v>75</v>
      </c>
      <c r="P65" s="11">
        <v>375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</row>
    <row r="66" spans="1:24" x14ac:dyDescent="0.2">
      <c r="A66" s="6" t="s">
        <v>111</v>
      </c>
      <c r="B66" s="11">
        <v>667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667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</row>
    <row r="67" spans="1:24" x14ac:dyDescent="0.2">
      <c r="A67" s="6" t="s">
        <v>112</v>
      </c>
      <c r="B67" s="11">
        <v>144347</v>
      </c>
      <c r="C67" s="11">
        <v>8658</v>
      </c>
      <c r="D67" s="11">
        <v>8816</v>
      </c>
      <c r="E67" s="11">
        <v>24</v>
      </c>
      <c r="F67" s="11">
        <v>6756</v>
      </c>
      <c r="G67" s="11">
        <v>4308</v>
      </c>
      <c r="H67" s="11">
        <v>5227</v>
      </c>
      <c r="I67" s="11">
        <v>6459</v>
      </c>
      <c r="J67" s="11">
        <v>5102</v>
      </c>
      <c r="K67" s="11">
        <v>852</v>
      </c>
      <c r="L67" s="11">
        <v>7917</v>
      </c>
      <c r="M67" s="11">
        <v>8493</v>
      </c>
      <c r="N67" s="11">
        <v>11135</v>
      </c>
      <c r="O67" s="11">
        <v>10577</v>
      </c>
      <c r="P67" s="11">
        <v>11900</v>
      </c>
      <c r="Q67" s="11">
        <v>6157</v>
      </c>
      <c r="R67" s="11">
        <v>10382</v>
      </c>
      <c r="S67" s="11">
        <v>2912</v>
      </c>
      <c r="T67" s="11">
        <v>6079</v>
      </c>
      <c r="U67" s="11">
        <v>8301</v>
      </c>
      <c r="V67" s="11">
        <v>5597</v>
      </c>
      <c r="W67" s="11">
        <v>8288</v>
      </c>
      <c r="X67" s="11">
        <v>407</v>
      </c>
    </row>
    <row r="68" spans="1:24" x14ac:dyDescent="0.2">
      <c r="A68" s="6" t="s">
        <v>113</v>
      </c>
      <c r="B68" s="11">
        <v>29836</v>
      </c>
      <c r="C68" s="11">
        <v>752</v>
      </c>
      <c r="D68" s="11">
        <v>677</v>
      </c>
      <c r="E68" s="11">
        <v>737</v>
      </c>
      <c r="F68" s="11">
        <v>687</v>
      </c>
      <c r="G68" s="11">
        <v>918</v>
      </c>
      <c r="H68" s="11">
        <v>682</v>
      </c>
      <c r="I68" s="11">
        <v>224</v>
      </c>
      <c r="J68" s="11">
        <v>2157</v>
      </c>
      <c r="K68" s="11">
        <v>1523</v>
      </c>
      <c r="L68" s="11">
        <v>692</v>
      </c>
      <c r="M68" s="11">
        <v>5282</v>
      </c>
      <c r="N68" s="11">
        <v>3871</v>
      </c>
      <c r="O68" s="11">
        <v>1323</v>
      </c>
      <c r="P68" s="11">
        <v>573</v>
      </c>
      <c r="Q68" s="11">
        <v>4093</v>
      </c>
      <c r="R68" s="11">
        <v>1231</v>
      </c>
      <c r="S68" s="11">
        <v>506</v>
      </c>
      <c r="T68" s="11">
        <v>879</v>
      </c>
      <c r="U68" s="11">
        <v>1185</v>
      </c>
      <c r="V68" s="11">
        <v>553</v>
      </c>
      <c r="W68" s="11">
        <v>880</v>
      </c>
      <c r="X68" s="11">
        <v>411</v>
      </c>
    </row>
    <row r="69" spans="1:24" x14ac:dyDescent="0.2">
      <c r="A69" s="6" t="s">
        <v>114</v>
      </c>
      <c r="B69" s="11">
        <v>51724</v>
      </c>
      <c r="C69" s="11">
        <v>3883</v>
      </c>
      <c r="D69" s="11">
        <v>1481</v>
      </c>
      <c r="E69" s="11">
        <v>1843</v>
      </c>
      <c r="F69" s="11">
        <v>316</v>
      </c>
      <c r="G69" s="11">
        <v>-381</v>
      </c>
      <c r="H69" s="11">
        <v>599</v>
      </c>
      <c r="I69" s="11">
        <v>74</v>
      </c>
      <c r="J69" s="11">
        <v>1151</v>
      </c>
      <c r="K69" s="11">
        <v>4246</v>
      </c>
      <c r="L69" s="11">
        <v>761</v>
      </c>
      <c r="M69" s="11">
        <v>2986</v>
      </c>
      <c r="N69" s="11">
        <v>8785</v>
      </c>
      <c r="O69" s="11">
        <v>8867</v>
      </c>
      <c r="P69" s="11">
        <v>10799</v>
      </c>
      <c r="Q69" s="11">
        <v>546</v>
      </c>
      <c r="R69" s="11">
        <v>-98</v>
      </c>
      <c r="S69" s="11">
        <v>1000</v>
      </c>
      <c r="T69" s="11">
        <v>501</v>
      </c>
      <c r="U69" s="11">
        <v>242</v>
      </c>
      <c r="V69" s="11">
        <v>3189</v>
      </c>
      <c r="W69" s="11">
        <v>1090</v>
      </c>
      <c r="X69" s="11">
        <v>-156</v>
      </c>
    </row>
    <row r="70" spans="1:24" x14ac:dyDescent="0.2">
      <c r="A70" s="6" t="s">
        <v>115</v>
      </c>
      <c r="B70" s="13">
        <v>460393</v>
      </c>
      <c r="C70" s="13">
        <v>24028</v>
      </c>
      <c r="D70" s="13">
        <v>21513</v>
      </c>
      <c r="E70" s="13">
        <v>14386</v>
      </c>
      <c r="F70" s="13">
        <v>21421</v>
      </c>
      <c r="G70" s="13">
        <v>15406</v>
      </c>
      <c r="H70" s="13">
        <v>17501</v>
      </c>
      <c r="I70" s="13">
        <v>17062</v>
      </c>
      <c r="J70" s="13">
        <v>17559</v>
      </c>
      <c r="K70" s="13">
        <v>23565</v>
      </c>
      <c r="L70" s="13">
        <v>19187</v>
      </c>
      <c r="M70" s="13">
        <v>25969</v>
      </c>
      <c r="N70" s="13">
        <v>36969</v>
      </c>
      <c r="O70" s="13">
        <v>39299</v>
      </c>
      <c r="P70" s="13">
        <v>38420</v>
      </c>
      <c r="Q70" s="13">
        <v>29530</v>
      </c>
      <c r="R70" s="13">
        <v>15115</v>
      </c>
      <c r="S70" s="13">
        <v>11167</v>
      </c>
      <c r="T70" s="13">
        <v>19565</v>
      </c>
      <c r="U70" s="13">
        <v>14699</v>
      </c>
      <c r="V70" s="13">
        <v>18567</v>
      </c>
      <c r="W70" s="13">
        <v>17845</v>
      </c>
      <c r="X70" s="13">
        <v>1618</v>
      </c>
    </row>
    <row r="71" spans="1:24" x14ac:dyDescent="0.2">
      <c r="A71" s="6" t="s">
        <v>41</v>
      </c>
      <c r="B71" s="15" t="s">
        <v>70</v>
      </c>
      <c r="C71" s="15" t="s">
        <v>70</v>
      </c>
      <c r="D71" s="15" t="s">
        <v>70</v>
      </c>
      <c r="E71" s="15" t="s">
        <v>70</v>
      </c>
      <c r="F71" s="15" t="s">
        <v>70</v>
      </c>
      <c r="G71" s="15" t="s">
        <v>70</v>
      </c>
      <c r="H71" s="15" t="s">
        <v>70</v>
      </c>
      <c r="I71" s="15" t="s">
        <v>70</v>
      </c>
      <c r="J71" s="15" t="s">
        <v>70</v>
      </c>
      <c r="K71" s="15" t="s">
        <v>70</v>
      </c>
      <c r="L71" s="15" t="s">
        <v>70</v>
      </c>
      <c r="M71" s="15" t="s">
        <v>70</v>
      </c>
      <c r="N71" s="15" t="s">
        <v>70</v>
      </c>
      <c r="O71" s="15" t="s">
        <v>70</v>
      </c>
      <c r="P71" s="15" t="s">
        <v>70</v>
      </c>
      <c r="Q71" s="15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</row>
    <row r="72" spans="1:24" x14ac:dyDescent="0.2">
      <c r="A72" s="6" t="s">
        <v>71</v>
      </c>
      <c r="B72" s="11">
        <v>319470</v>
      </c>
      <c r="C72" s="11">
        <v>14442</v>
      </c>
      <c r="D72" s="11">
        <v>16421</v>
      </c>
      <c r="E72" s="11">
        <v>13474</v>
      </c>
      <c r="F72" s="11">
        <v>15393</v>
      </c>
      <c r="G72" s="11">
        <v>15848</v>
      </c>
      <c r="H72" s="11">
        <v>12761</v>
      </c>
      <c r="I72" s="11">
        <v>11883</v>
      </c>
      <c r="J72" s="11">
        <v>17517</v>
      </c>
      <c r="K72" s="11">
        <v>12752</v>
      </c>
      <c r="L72" s="11">
        <v>21409</v>
      </c>
      <c r="M72" s="11">
        <v>15828</v>
      </c>
      <c r="N72" s="11">
        <v>34221</v>
      </c>
      <c r="O72" s="11">
        <v>20351</v>
      </c>
      <c r="P72" s="11">
        <v>17587</v>
      </c>
      <c r="Q72" s="11">
        <v>17129</v>
      </c>
      <c r="R72" s="11">
        <v>18305</v>
      </c>
      <c r="S72" s="11">
        <v>5114</v>
      </c>
      <c r="T72" s="11">
        <v>11108</v>
      </c>
      <c r="U72" s="11">
        <v>8847</v>
      </c>
      <c r="V72" s="11">
        <v>12882</v>
      </c>
      <c r="W72" s="11">
        <v>6201</v>
      </c>
      <c r="X72" s="11">
        <v>0</v>
      </c>
    </row>
    <row r="73" spans="1:24" x14ac:dyDescent="0.2">
      <c r="A73" s="6" t="s">
        <v>72</v>
      </c>
      <c r="B73" s="11">
        <v>12501</v>
      </c>
      <c r="C73" s="11">
        <v>1105</v>
      </c>
      <c r="D73" s="11">
        <v>228</v>
      </c>
      <c r="E73" s="11">
        <v>821</v>
      </c>
      <c r="F73" s="11">
        <v>54</v>
      </c>
      <c r="G73" s="11">
        <v>729</v>
      </c>
      <c r="H73" s="11">
        <v>14</v>
      </c>
      <c r="I73" s="11">
        <v>403</v>
      </c>
      <c r="J73" s="11">
        <v>202</v>
      </c>
      <c r="K73" s="11">
        <v>1317</v>
      </c>
      <c r="L73" s="11">
        <v>1015</v>
      </c>
      <c r="M73" s="11">
        <v>869</v>
      </c>
      <c r="N73" s="11">
        <v>1109</v>
      </c>
      <c r="O73" s="11">
        <v>397</v>
      </c>
      <c r="P73" s="11">
        <v>1048</v>
      </c>
      <c r="Q73" s="11">
        <v>1037</v>
      </c>
      <c r="R73" s="11">
        <v>0</v>
      </c>
      <c r="S73" s="11">
        <v>23</v>
      </c>
      <c r="T73" s="11">
        <v>1822</v>
      </c>
      <c r="U73" s="11">
        <v>302</v>
      </c>
      <c r="V73" s="11">
        <v>7</v>
      </c>
      <c r="W73" s="11">
        <v>0</v>
      </c>
      <c r="X73" s="11">
        <v>0</v>
      </c>
    </row>
    <row r="74" spans="1:24" x14ac:dyDescent="0.2">
      <c r="A74" s="6" t="s">
        <v>74</v>
      </c>
      <c r="B74" s="11">
        <v>407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207</v>
      </c>
      <c r="L74" s="11">
        <v>200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</row>
    <row r="75" spans="1:24" x14ac:dyDescent="0.2">
      <c r="A75" s="6" t="s">
        <v>75</v>
      </c>
      <c r="B75" s="11">
        <v>7566</v>
      </c>
      <c r="C75" s="11">
        <v>0</v>
      </c>
      <c r="D75" s="11">
        <v>279</v>
      </c>
      <c r="E75" s="11">
        <v>111</v>
      </c>
      <c r="F75" s="11">
        <v>66</v>
      </c>
      <c r="G75" s="11">
        <v>0</v>
      </c>
      <c r="H75" s="11">
        <v>544</v>
      </c>
      <c r="I75" s="11">
        <v>171</v>
      </c>
      <c r="J75" s="11">
        <v>716</v>
      </c>
      <c r="K75" s="11">
        <v>640</v>
      </c>
      <c r="L75" s="11">
        <v>0</v>
      </c>
      <c r="M75" s="11">
        <v>246</v>
      </c>
      <c r="N75" s="11">
        <v>831</v>
      </c>
      <c r="O75" s="11">
        <v>372</v>
      </c>
      <c r="P75" s="11">
        <v>652</v>
      </c>
      <c r="Q75" s="11">
        <v>857</v>
      </c>
      <c r="R75" s="11">
        <v>1108</v>
      </c>
      <c r="S75" s="11">
        <v>474</v>
      </c>
      <c r="T75" s="11">
        <v>38</v>
      </c>
      <c r="U75" s="11">
        <v>32</v>
      </c>
      <c r="V75" s="11">
        <v>425</v>
      </c>
      <c r="W75" s="11">
        <v>0</v>
      </c>
      <c r="X75" s="11">
        <v>0</v>
      </c>
    </row>
    <row r="76" spans="1:24" x14ac:dyDescent="0.2">
      <c r="A76" s="6" t="s">
        <v>76</v>
      </c>
      <c r="B76" s="11">
        <v>8110</v>
      </c>
      <c r="C76" s="11">
        <v>318</v>
      </c>
      <c r="D76" s="11">
        <v>706</v>
      </c>
      <c r="E76" s="11">
        <v>396</v>
      </c>
      <c r="F76" s="11">
        <v>333</v>
      </c>
      <c r="G76" s="11">
        <v>350</v>
      </c>
      <c r="H76" s="11">
        <v>627</v>
      </c>
      <c r="I76" s="11">
        <v>387</v>
      </c>
      <c r="J76" s="11">
        <v>484</v>
      </c>
      <c r="K76" s="11">
        <v>304</v>
      </c>
      <c r="L76" s="11">
        <v>259</v>
      </c>
      <c r="M76" s="11">
        <v>348</v>
      </c>
      <c r="N76" s="11">
        <v>796</v>
      </c>
      <c r="O76" s="11">
        <v>485</v>
      </c>
      <c r="P76" s="11">
        <v>535</v>
      </c>
      <c r="Q76" s="11">
        <v>364</v>
      </c>
      <c r="R76" s="11">
        <v>514</v>
      </c>
      <c r="S76" s="11">
        <v>36</v>
      </c>
      <c r="T76" s="11">
        <v>290</v>
      </c>
      <c r="U76" s="11">
        <v>133</v>
      </c>
      <c r="V76" s="11">
        <v>304</v>
      </c>
      <c r="W76" s="11">
        <v>144</v>
      </c>
      <c r="X76" s="11">
        <v>0</v>
      </c>
    </row>
    <row r="77" spans="1:24" x14ac:dyDescent="0.2">
      <c r="A77" s="6" t="s">
        <v>116</v>
      </c>
      <c r="B77" s="11">
        <v>227637</v>
      </c>
      <c r="C77" s="11">
        <v>13587</v>
      </c>
      <c r="D77" s="11">
        <v>8950</v>
      </c>
      <c r="E77" s="11">
        <v>13078</v>
      </c>
      <c r="F77" s="11">
        <v>8725</v>
      </c>
      <c r="G77" s="11">
        <v>12281</v>
      </c>
      <c r="H77" s="11">
        <v>8206</v>
      </c>
      <c r="I77" s="11">
        <v>7420</v>
      </c>
      <c r="J77" s="11">
        <v>10031</v>
      </c>
      <c r="K77" s="11">
        <v>7822</v>
      </c>
      <c r="L77" s="11">
        <v>16587</v>
      </c>
      <c r="M77" s="11">
        <v>10930</v>
      </c>
      <c r="N77" s="11">
        <v>30825</v>
      </c>
      <c r="O77" s="11">
        <v>15243</v>
      </c>
      <c r="P77" s="11">
        <v>16192</v>
      </c>
      <c r="Q77" s="11">
        <v>8074</v>
      </c>
      <c r="R77" s="11">
        <v>9654</v>
      </c>
      <c r="S77" s="11">
        <v>5268</v>
      </c>
      <c r="T77" s="11">
        <v>5596</v>
      </c>
      <c r="U77" s="11">
        <v>5769</v>
      </c>
      <c r="V77" s="11">
        <v>6707</v>
      </c>
      <c r="W77" s="11">
        <v>5727</v>
      </c>
      <c r="X77" s="11">
        <v>965</v>
      </c>
    </row>
    <row r="78" spans="1:24" x14ac:dyDescent="0.2">
      <c r="A78" s="6" t="s">
        <v>117</v>
      </c>
      <c r="B78" s="11">
        <v>14322</v>
      </c>
      <c r="C78" s="11">
        <v>1969</v>
      </c>
      <c r="D78" s="11">
        <v>757</v>
      </c>
      <c r="E78" s="11">
        <v>711</v>
      </c>
      <c r="F78" s="11">
        <v>690</v>
      </c>
      <c r="G78" s="11">
        <v>1140</v>
      </c>
      <c r="H78" s="11">
        <v>540</v>
      </c>
      <c r="I78" s="11">
        <v>385</v>
      </c>
      <c r="J78" s="11">
        <v>523</v>
      </c>
      <c r="K78" s="11">
        <v>409</v>
      </c>
      <c r="L78" s="11">
        <v>128</v>
      </c>
      <c r="M78" s="11">
        <v>400</v>
      </c>
      <c r="N78" s="11">
        <v>2448</v>
      </c>
      <c r="O78" s="11">
        <v>1445</v>
      </c>
      <c r="P78" s="11">
        <v>977</v>
      </c>
      <c r="Q78" s="11">
        <v>332</v>
      </c>
      <c r="R78" s="11">
        <v>1466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</row>
    <row r="79" spans="1:24" x14ac:dyDescent="0.2">
      <c r="A79" s="6" t="s">
        <v>118</v>
      </c>
      <c r="B79" s="11">
        <v>451</v>
      </c>
      <c r="C79" s="11">
        <v>0</v>
      </c>
      <c r="D79" s="11">
        <v>0</v>
      </c>
      <c r="E79" s="11">
        <v>0</v>
      </c>
      <c r="F79" s="11">
        <v>0</v>
      </c>
      <c r="G79" s="11">
        <v>49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304</v>
      </c>
      <c r="O79" s="11">
        <v>0</v>
      </c>
      <c r="P79" s="11">
        <v>0</v>
      </c>
      <c r="Q79" s="11">
        <v>82</v>
      </c>
      <c r="R79" s="11">
        <v>16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</row>
    <row r="80" spans="1:24" x14ac:dyDescent="0.2">
      <c r="A80" s="6" t="s">
        <v>119</v>
      </c>
      <c r="B80" s="11">
        <v>22817</v>
      </c>
      <c r="C80" s="11">
        <v>828</v>
      </c>
      <c r="D80" s="11">
        <v>795</v>
      </c>
      <c r="E80" s="11">
        <v>497</v>
      </c>
      <c r="F80" s="11">
        <v>1684</v>
      </c>
      <c r="G80" s="11">
        <v>1062</v>
      </c>
      <c r="H80" s="11">
        <v>757</v>
      </c>
      <c r="I80" s="11">
        <v>351</v>
      </c>
      <c r="J80" s="11">
        <v>1308</v>
      </c>
      <c r="K80" s="11">
        <v>630</v>
      </c>
      <c r="L80" s="11">
        <v>2256</v>
      </c>
      <c r="M80" s="11">
        <v>1485</v>
      </c>
      <c r="N80" s="11">
        <v>3907</v>
      </c>
      <c r="O80" s="11">
        <v>849</v>
      </c>
      <c r="P80" s="11">
        <v>1564</v>
      </c>
      <c r="Q80" s="11">
        <v>1209</v>
      </c>
      <c r="R80" s="11">
        <v>474</v>
      </c>
      <c r="S80" s="11">
        <v>469</v>
      </c>
      <c r="T80" s="11">
        <v>573</v>
      </c>
      <c r="U80" s="11">
        <v>747</v>
      </c>
      <c r="V80" s="11">
        <v>711</v>
      </c>
      <c r="W80" s="11">
        <v>394</v>
      </c>
      <c r="X80" s="11">
        <v>267</v>
      </c>
    </row>
    <row r="81" spans="1:24" x14ac:dyDescent="0.2">
      <c r="A81" s="6" t="s">
        <v>120</v>
      </c>
      <c r="B81" s="11">
        <v>777</v>
      </c>
      <c r="C81" s="11">
        <v>0</v>
      </c>
      <c r="D81" s="11">
        <v>0</v>
      </c>
      <c r="E81" s="11">
        <v>71</v>
      </c>
      <c r="F81" s="11">
        <v>0</v>
      </c>
      <c r="G81" s="11">
        <v>34</v>
      </c>
      <c r="H81" s="11">
        <v>0</v>
      </c>
      <c r="I81" s="11">
        <v>19</v>
      </c>
      <c r="J81" s="11">
        <v>0</v>
      </c>
      <c r="K81" s="11">
        <v>0</v>
      </c>
      <c r="L81" s="11">
        <v>0</v>
      </c>
      <c r="M81" s="11">
        <v>0</v>
      </c>
      <c r="N81" s="11">
        <v>6</v>
      </c>
      <c r="O81" s="11">
        <v>74</v>
      </c>
      <c r="P81" s="11">
        <v>14</v>
      </c>
      <c r="Q81" s="11">
        <v>0</v>
      </c>
      <c r="R81" s="11">
        <v>0</v>
      </c>
      <c r="S81" s="11">
        <v>104</v>
      </c>
      <c r="T81" s="11">
        <v>158</v>
      </c>
      <c r="U81" s="11">
        <v>169</v>
      </c>
      <c r="V81" s="11">
        <v>127</v>
      </c>
      <c r="W81" s="11">
        <v>0</v>
      </c>
      <c r="X81" s="11">
        <v>0</v>
      </c>
    </row>
    <row r="82" spans="1:24" x14ac:dyDescent="0.2">
      <c r="A82" s="6" t="s">
        <v>121</v>
      </c>
      <c r="B82" s="11">
        <v>18822</v>
      </c>
      <c r="C82" s="11">
        <v>1032</v>
      </c>
      <c r="D82" s="11">
        <v>987</v>
      </c>
      <c r="E82" s="11">
        <v>778</v>
      </c>
      <c r="F82" s="11">
        <v>867</v>
      </c>
      <c r="G82" s="11">
        <v>997</v>
      </c>
      <c r="H82" s="11">
        <v>715</v>
      </c>
      <c r="I82" s="11">
        <v>1116</v>
      </c>
      <c r="J82" s="11">
        <v>1206</v>
      </c>
      <c r="K82" s="11">
        <v>999</v>
      </c>
      <c r="L82" s="11">
        <v>1410</v>
      </c>
      <c r="M82" s="11">
        <v>1227</v>
      </c>
      <c r="N82" s="11">
        <v>1199</v>
      </c>
      <c r="O82" s="11">
        <v>1287</v>
      </c>
      <c r="P82" s="11">
        <v>1615</v>
      </c>
      <c r="Q82" s="11">
        <v>840</v>
      </c>
      <c r="R82" s="11">
        <v>796</v>
      </c>
      <c r="S82" s="11">
        <v>88</v>
      </c>
      <c r="T82" s="11">
        <v>50</v>
      </c>
      <c r="U82" s="11">
        <v>911</v>
      </c>
      <c r="V82" s="11">
        <v>459</v>
      </c>
      <c r="W82" s="11">
        <v>94</v>
      </c>
      <c r="X82" s="11">
        <v>150</v>
      </c>
    </row>
    <row r="83" spans="1:24" x14ac:dyDescent="0.2">
      <c r="A83" s="6" t="s">
        <v>122</v>
      </c>
      <c r="B83" s="11">
        <v>2362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278</v>
      </c>
      <c r="L83" s="11">
        <v>272</v>
      </c>
      <c r="M83" s="11">
        <v>0</v>
      </c>
      <c r="N83" s="11">
        <v>0</v>
      </c>
      <c r="O83" s="11">
        <v>0</v>
      </c>
      <c r="P83" s="11">
        <v>853</v>
      </c>
      <c r="Q83" s="11">
        <v>958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</row>
    <row r="84" spans="1:24" x14ac:dyDescent="0.2">
      <c r="A84" s="6" t="s">
        <v>123</v>
      </c>
      <c r="B84" s="11">
        <v>488</v>
      </c>
      <c r="C84" s="11">
        <v>0</v>
      </c>
      <c r="D84" s="11">
        <v>0</v>
      </c>
      <c r="E84" s="11">
        <v>487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</row>
    <row r="85" spans="1:24" x14ac:dyDescent="0.2">
      <c r="A85" s="6" t="s">
        <v>124</v>
      </c>
      <c r="B85" s="11">
        <v>7247</v>
      </c>
      <c r="C85" s="11">
        <v>1005</v>
      </c>
      <c r="D85" s="11">
        <v>1030</v>
      </c>
      <c r="E85" s="11">
        <v>1452</v>
      </c>
      <c r="F85" s="11">
        <v>1047</v>
      </c>
      <c r="G85" s="11">
        <v>1178</v>
      </c>
      <c r="H85" s="11">
        <v>528</v>
      </c>
      <c r="I85" s="11">
        <v>1007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</row>
    <row r="86" spans="1:24" x14ac:dyDescent="0.2">
      <c r="A86" s="6" t="s">
        <v>125</v>
      </c>
      <c r="B86" s="13">
        <v>642977</v>
      </c>
      <c r="C86" s="13">
        <v>34286</v>
      </c>
      <c r="D86" s="13">
        <v>30153</v>
      </c>
      <c r="E86" s="13">
        <v>31876</v>
      </c>
      <c r="F86" s="13">
        <v>28859</v>
      </c>
      <c r="G86" s="13">
        <v>33668</v>
      </c>
      <c r="H86" s="13">
        <v>24692</v>
      </c>
      <c r="I86" s="13">
        <v>23142</v>
      </c>
      <c r="J86" s="13">
        <v>31987</v>
      </c>
      <c r="K86" s="13">
        <v>25358</v>
      </c>
      <c r="L86" s="13">
        <v>43536</v>
      </c>
      <c r="M86" s="13">
        <v>31333</v>
      </c>
      <c r="N86" s="13">
        <v>75646</v>
      </c>
      <c r="O86" s="13">
        <v>40503</v>
      </c>
      <c r="P86" s="13">
        <v>41037</v>
      </c>
      <c r="Q86" s="13">
        <v>30882</v>
      </c>
      <c r="R86" s="13">
        <v>32333</v>
      </c>
      <c r="S86" s="13">
        <v>11576</v>
      </c>
      <c r="T86" s="13">
        <v>19635</v>
      </c>
      <c r="U86" s="13">
        <v>16910</v>
      </c>
      <c r="V86" s="13">
        <v>21622</v>
      </c>
      <c r="W86" s="13">
        <v>12560</v>
      </c>
      <c r="X86" s="13">
        <v>1382</v>
      </c>
    </row>
    <row r="87" spans="1:24" x14ac:dyDescent="0.2">
      <c r="A87" s="6" t="s">
        <v>42</v>
      </c>
      <c r="B87" s="15" t="s">
        <v>70</v>
      </c>
      <c r="C87" s="15" t="s">
        <v>70</v>
      </c>
      <c r="D87" s="15" t="s">
        <v>70</v>
      </c>
      <c r="E87" s="15" t="s">
        <v>70</v>
      </c>
      <c r="F87" s="15" t="s">
        <v>70</v>
      </c>
      <c r="G87" s="15" t="s">
        <v>70</v>
      </c>
      <c r="H87" s="15" t="s">
        <v>70</v>
      </c>
      <c r="I87" s="15" t="s">
        <v>70</v>
      </c>
      <c r="J87" s="15" t="s">
        <v>70</v>
      </c>
      <c r="K87" s="15" t="s">
        <v>70</v>
      </c>
      <c r="L87" s="15" t="s">
        <v>70</v>
      </c>
      <c r="M87" s="15" t="s">
        <v>70</v>
      </c>
      <c r="N87" s="15" t="s">
        <v>70</v>
      </c>
      <c r="O87" s="15" t="s">
        <v>70</v>
      </c>
      <c r="P87" s="15" t="s">
        <v>70</v>
      </c>
      <c r="Q87" s="15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</row>
    <row r="88" spans="1:24" x14ac:dyDescent="0.2">
      <c r="A88" s="6" t="s">
        <v>126</v>
      </c>
      <c r="B88" s="11">
        <v>244276</v>
      </c>
      <c r="C88" s="11">
        <v>14435</v>
      </c>
      <c r="D88" s="11">
        <v>11456</v>
      </c>
      <c r="E88" s="11">
        <v>13326</v>
      </c>
      <c r="F88" s="11">
        <v>11704</v>
      </c>
      <c r="G88" s="11">
        <v>12196</v>
      </c>
      <c r="H88" s="11">
        <v>12184</v>
      </c>
      <c r="I88" s="11">
        <v>8698</v>
      </c>
      <c r="J88" s="11">
        <v>11147</v>
      </c>
      <c r="K88" s="11">
        <v>9041</v>
      </c>
      <c r="L88" s="11">
        <v>14080</v>
      </c>
      <c r="M88" s="11">
        <v>12618</v>
      </c>
      <c r="N88" s="11">
        <v>29528</v>
      </c>
      <c r="O88" s="11">
        <v>16605</v>
      </c>
      <c r="P88" s="11">
        <v>17263</v>
      </c>
      <c r="Q88" s="11">
        <v>15484</v>
      </c>
      <c r="R88" s="11">
        <v>10143</v>
      </c>
      <c r="S88" s="11">
        <v>5710</v>
      </c>
      <c r="T88" s="11">
        <v>5241</v>
      </c>
      <c r="U88" s="11">
        <v>3947</v>
      </c>
      <c r="V88" s="11">
        <v>6592</v>
      </c>
      <c r="W88" s="11">
        <v>1786</v>
      </c>
      <c r="X88" s="11">
        <v>1094</v>
      </c>
    </row>
    <row r="89" spans="1:24" x14ac:dyDescent="0.2">
      <c r="A89" s="6" t="s">
        <v>127</v>
      </c>
      <c r="B89" s="11">
        <v>172583</v>
      </c>
      <c r="C89" s="11">
        <v>10104</v>
      </c>
      <c r="D89" s="11">
        <v>8061</v>
      </c>
      <c r="E89" s="11">
        <v>9405</v>
      </c>
      <c r="F89" s="11">
        <v>8472</v>
      </c>
      <c r="G89" s="11">
        <v>8334</v>
      </c>
      <c r="H89" s="11">
        <v>8745</v>
      </c>
      <c r="I89" s="11">
        <v>6282</v>
      </c>
      <c r="J89" s="11">
        <v>7904</v>
      </c>
      <c r="K89" s="11">
        <v>6853</v>
      </c>
      <c r="L89" s="11">
        <v>9703</v>
      </c>
      <c r="M89" s="11">
        <v>8798</v>
      </c>
      <c r="N89" s="11">
        <v>20241</v>
      </c>
      <c r="O89" s="11">
        <v>11735</v>
      </c>
      <c r="P89" s="11">
        <v>11672</v>
      </c>
      <c r="Q89" s="11">
        <v>7219</v>
      </c>
      <c r="R89" s="11">
        <v>11445</v>
      </c>
      <c r="S89" s="11">
        <v>4037</v>
      </c>
      <c r="T89" s="11">
        <v>3721</v>
      </c>
      <c r="U89" s="11">
        <v>2876</v>
      </c>
      <c r="V89" s="11">
        <v>4614</v>
      </c>
      <c r="W89" s="11">
        <v>1424</v>
      </c>
      <c r="X89" s="11">
        <v>938</v>
      </c>
    </row>
    <row r="90" spans="1:24" x14ac:dyDescent="0.2">
      <c r="A90" s="6" t="s">
        <v>128</v>
      </c>
      <c r="B90" s="11">
        <v>24744</v>
      </c>
      <c r="C90" s="11">
        <v>1412</v>
      </c>
      <c r="D90" s="11">
        <v>1178</v>
      </c>
      <c r="E90" s="11">
        <v>1367</v>
      </c>
      <c r="F90" s="11">
        <v>1210</v>
      </c>
      <c r="G90" s="11">
        <v>1206</v>
      </c>
      <c r="H90" s="11">
        <v>1276</v>
      </c>
      <c r="I90" s="11">
        <v>916</v>
      </c>
      <c r="J90" s="11">
        <v>1113</v>
      </c>
      <c r="K90" s="11">
        <v>987</v>
      </c>
      <c r="L90" s="11">
        <v>1347</v>
      </c>
      <c r="M90" s="11">
        <v>1305</v>
      </c>
      <c r="N90" s="11">
        <v>2865</v>
      </c>
      <c r="O90" s="11">
        <v>1707</v>
      </c>
      <c r="P90" s="11">
        <v>1650</v>
      </c>
      <c r="Q90" s="11">
        <v>1078</v>
      </c>
      <c r="R90" s="11">
        <v>1509</v>
      </c>
      <c r="S90" s="11">
        <v>605</v>
      </c>
      <c r="T90" s="11">
        <v>566</v>
      </c>
      <c r="U90" s="11">
        <v>431</v>
      </c>
      <c r="V90" s="11">
        <v>660</v>
      </c>
      <c r="W90" s="11">
        <v>217</v>
      </c>
      <c r="X90" s="11">
        <v>140</v>
      </c>
    </row>
    <row r="91" spans="1:24" x14ac:dyDescent="0.2">
      <c r="A91" s="6" t="s">
        <v>129</v>
      </c>
      <c r="B91" s="11">
        <v>28561</v>
      </c>
      <c r="C91" s="11">
        <v>2525</v>
      </c>
      <c r="D91" s="11">
        <v>2012</v>
      </c>
      <c r="E91" s="11">
        <v>2311</v>
      </c>
      <c r="F91" s="11">
        <v>2034</v>
      </c>
      <c r="G91" s="11">
        <v>1969</v>
      </c>
      <c r="H91" s="11">
        <v>1835</v>
      </c>
      <c r="I91" s="11">
        <v>1447</v>
      </c>
      <c r="J91" s="11">
        <v>2608</v>
      </c>
      <c r="K91" s="11">
        <v>509</v>
      </c>
      <c r="L91" s="11">
        <v>698</v>
      </c>
      <c r="M91" s="11">
        <v>755</v>
      </c>
      <c r="N91" s="11">
        <v>1747</v>
      </c>
      <c r="O91" s="11">
        <v>1032</v>
      </c>
      <c r="P91" s="11">
        <v>1302</v>
      </c>
      <c r="Q91" s="11">
        <v>1830</v>
      </c>
      <c r="R91" s="11">
        <v>1063</v>
      </c>
      <c r="S91" s="11">
        <v>639</v>
      </c>
      <c r="T91" s="11">
        <v>653</v>
      </c>
      <c r="U91" s="11">
        <v>502</v>
      </c>
      <c r="V91" s="11">
        <v>807</v>
      </c>
      <c r="W91" s="11">
        <v>241</v>
      </c>
      <c r="X91" s="11">
        <v>41</v>
      </c>
    </row>
    <row r="92" spans="1:24" x14ac:dyDescent="0.2">
      <c r="A92" s="6" t="s">
        <v>130</v>
      </c>
      <c r="B92" s="11">
        <v>26941</v>
      </c>
      <c r="C92" s="11">
        <v>4691</v>
      </c>
      <c r="D92" s="11">
        <v>1887</v>
      </c>
      <c r="E92" s="11">
        <v>1015</v>
      </c>
      <c r="F92" s="11">
        <v>3244</v>
      </c>
      <c r="G92" s="11">
        <v>4327</v>
      </c>
      <c r="H92" s="11">
        <v>465</v>
      </c>
      <c r="I92" s="11">
        <v>-127</v>
      </c>
      <c r="J92" s="11">
        <v>778</v>
      </c>
      <c r="K92" s="11">
        <v>396</v>
      </c>
      <c r="L92" s="11">
        <v>4418</v>
      </c>
      <c r="M92" s="11">
        <v>3366</v>
      </c>
      <c r="N92" s="11">
        <v>1229</v>
      </c>
      <c r="O92" s="11">
        <v>-9</v>
      </c>
      <c r="P92" s="11">
        <v>2843</v>
      </c>
      <c r="Q92" s="11">
        <v>0</v>
      </c>
      <c r="R92" s="11">
        <v>0</v>
      </c>
      <c r="S92" s="11">
        <v>-672</v>
      </c>
      <c r="T92" s="11">
        <v>2565</v>
      </c>
      <c r="U92" s="11">
        <v>-448</v>
      </c>
      <c r="V92" s="11">
        <v>-2763</v>
      </c>
      <c r="W92" s="11">
        <v>139</v>
      </c>
      <c r="X92" s="11">
        <v>-401</v>
      </c>
    </row>
    <row r="93" spans="1:24" x14ac:dyDescent="0.2">
      <c r="A93" s="6" t="s">
        <v>131</v>
      </c>
      <c r="B93" s="11">
        <v>2153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303</v>
      </c>
      <c r="K93" s="11">
        <v>122</v>
      </c>
      <c r="L93" s="11">
        <v>225</v>
      </c>
      <c r="M93" s="11">
        <v>175</v>
      </c>
      <c r="N93" s="11">
        <v>487</v>
      </c>
      <c r="O93" s="11">
        <v>434</v>
      </c>
      <c r="P93" s="11">
        <v>255</v>
      </c>
      <c r="Q93" s="11">
        <v>0</v>
      </c>
      <c r="R93" s="11">
        <v>0</v>
      </c>
      <c r="S93" s="11">
        <v>91</v>
      </c>
      <c r="T93" s="11">
        <v>51</v>
      </c>
      <c r="U93" s="11">
        <v>0</v>
      </c>
      <c r="V93" s="11">
        <v>0</v>
      </c>
      <c r="W93" s="11">
        <v>10</v>
      </c>
      <c r="X93" s="11">
        <v>0</v>
      </c>
    </row>
    <row r="94" spans="1:24" x14ac:dyDescent="0.2">
      <c r="A94" s="6" t="s">
        <v>132</v>
      </c>
      <c r="B94" s="11">
        <v>2996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247</v>
      </c>
      <c r="L94" s="11">
        <v>0</v>
      </c>
      <c r="M94" s="11">
        <v>581</v>
      </c>
      <c r="N94" s="11">
        <v>308</v>
      </c>
      <c r="O94" s="11">
        <v>0</v>
      </c>
      <c r="P94" s="11">
        <v>0</v>
      </c>
      <c r="Q94" s="11">
        <v>581</v>
      </c>
      <c r="R94" s="11">
        <v>919</v>
      </c>
      <c r="S94" s="11">
        <v>0</v>
      </c>
      <c r="T94" s="11">
        <v>0</v>
      </c>
      <c r="U94" s="11">
        <v>270</v>
      </c>
      <c r="V94" s="11">
        <v>90</v>
      </c>
      <c r="W94" s="11">
        <v>0</v>
      </c>
      <c r="X94" s="11">
        <v>0</v>
      </c>
    </row>
    <row r="95" spans="1:24" x14ac:dyDescent="0.2">
      <c r="A95" s="6" t="s">
        <v>133</v>
      </c>
      <c r="B95" s="11">
        <v>30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15</v>
      </c>
      <c r="R95" s="11">
        <v>15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</row>
    <row r="96" spans="1:24" x14ac:dyDescent="0.2">
      <c r="A96" s="6" t="s">
        <v>134</v>
      </c>
      <c r="B96" s="11">
        <v>100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100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</row>
    <row r="97" spans="1:24" x14ac:dyDescent="0.2">
      <c r="A97" s="6" t="s">
        <v>135</v>
      </c>
      <c r="B97" s="11">
        <v>6003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75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4014</v>
      </c>
      <c r="R97" s="11">
        <v>905</v>
      </c>
      <c r="S97" s="11">
        <v>0</v>
      </c>
      <c r="T97" s="11">
        <v>83</v>
      </c>
      <c r="U97" s="11">
        <v>324</v>
      </c>
      <c r="V97" s="11">
        <v>552</v>
      </c>
      <c r="W97" s="11">
        <v>0</v>
      </c>
      <c r="X97" s="11">
        <v>50</v>
      </c>
    </row>
    <row r="98" spans="1:24" x14ac:dyDescent="0.2">
      <c r="A98" s="6" t="s">
        <v>136</v>
      </c>
      <c r="B98" s="11">
        <v>1387</v>
      </c>
      <c r="C98" s="11">
        <v>0</v>
      </c>
      <c r="D98" s="11">
        <v>0</v>
      </c>
      <c r="E98" s="11">
        <v>0</v>
      </c>
      <c r="F98" s="11">
        <v>236</v>
      </c>
      <c r="G98" s="11">
        <v>0</v>
      </c>
      <c r="H98" s="11">
        <v>0</v>
      </c>
      <c r="I98" s="11">
        <v>0</v>
      </c>
      <c r="J98" s="11">
        <v>105</v>
      </c>
      <c r="K98" s="11">
        <v>0</v>
      </c>
      <c r="L98" s="11">
        <v>97</v>
      </c>
      <c r="M98" s="11">
        <v>0</v>
      </c>
      <c r="N98" s="11">
        <v>0</v>
      </c>
      <c r="O98" s="11">
        <v>518</v>
      </c>
      <c r="P98" s="11">
        <v>342</v>
      </c>
      <c r="Q98" s="11">
        <v>0</v>
      </c>
      <c r="R98" s="11">
        <v>0</v>
      </c>
      <c r="S98" s="11">
        <v>0</v>
      </c>
      <c r="T98" s="11">
        <v>29</v>
      </c>
      <c r="U98" s="11">
        <v>59</v>
      </c>
      <c r="V98" s="11">
        <v>0</v>
      </c>
      <c r="W98" s="11">
        <v>0</v>
      </c>
      <c r="X98" s="11">
        <v>0</v>
      </c>
    </row>
    <row r="99" spans="1:24" x14ac:dyDescent="0.2">
      <c r="A99" s="6" t="s">
        <v>137</v>
      </c>
      <c r="B99" s="11">
        <v>18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19</v>
      </c>
      <c r="V99" s="11">
        <v>0</v>
      </c>
      <c r="W99" s="11">
        <v>0</v>
      </c>
      <c r="X99" s="11">
        <v>0</v>
      </c>
    </row>
    <row r="100" spans="1:24" x14ac:dyDescent="0.2">
      <c r="A100" s="6" t="s">
        <v>138</v>
      </c>
      <c r="B100" s="13">
        <v>509792</v>
      </c>
      <c r="C100" s="13">
        <v>33167</v>
      </c>
      <c r="D100" s="13">
        <v>24594</v>
      </c>
      <c r="E100" s="13">
        <v>27424</v>
      </c>
      <c r="F100" s="13">
        <v>26900</v>
      </c>
      <c r="G100" s="13">
        <v>28032</v>
      </c>
      <c r="H100" s="13">
        <v>24505</v>
      </c>
      <c r="I100" s="13">
        <v>17216</v>
      </c>
      <c r="J100" s="13">
        <v>24033</v>
      </c>
      <c r="K100" s="13">
        <v>18155</v>
      </c>
      <c r="L100" s="13">
        <v>30568</v>
      </c>
      <c r="M100" s="13">
        <v>27598</v>
      </c>
      <c r="N100" s="13">
        <v>56405</v>
      </c>
      <c r="O100" s="13">
        <v>32022</v>
      </c>
      <c r="P100" s="13">
        <v>35327</v>
      </c>
      <c r="Q100" s="13">
        <v>30221</v>
      </c>
      <c r="R100" s="13">
        <v>26099</v>
      </c>
      <c r="S100" s="13">
        <v>10410</v>
      </c>
      <c r="T100" s="13">
        <v>12909</v>
      </c>
      <c r="U100" s="13">
        <v>7980</v>
      </c>
      <c r="V100" s="13">
        <v>10552</v>
      </c>
      <c r="W100" s="13">
        <v>3817</v>
      </c>
      <c r="X100" s="13">
        <v>1862</v>
      </c>
    </row>
    <row r="101" spans="1:24" x14ac:dyDescent="0.2">
      <c r="A101" s="6" t="s">
        <v>43</v>
      </c>
      <c r="B101" s="15" t="s">
        <v>70</v>
      </c>
      <c r="C101" s="15" t="s">
        <v>70</v>
      </c>
      <c r="D101" s="15" t="s">
        <v>70</v>
      </c>
      <c r="E101" s="15" t="s">
        <v>70</v>
      </c>
      <c r="F101" s="15" t="s">
        <v>70</v>
      </c>
      <c r="G101" s="15" t="s">
        <v>70</v>
      </c>
      <c r="H101" s="15" t="s">
        <v>70</v>
      </c>
      <c r="I101" s="15" t="s">
        <v>70</v>
      </c>
      <c r="J101" s="15" t="s">
        <v>70</v>
      </c>
      <c r="K101" s="15" t="s">
        <v>70</v>
      </c>
      <c r="L101" s="15" t="s">
        <v>70</v>
      </c>
      <c r="M101" s="15" t="s">
        <v>70</v>
      </c>
      <c r="N101" s="15" t="s">
        <v>70</v>
      </c>
      <c r="O101" s="15" t="s">
        <v>70</v>
      </c>
      <c r="P101" s="15" t="s">
        <v>70</v>
      </c>
      <c r="Q101" s="15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</row>
    <row r="102" spans="1:24" x14ac:dyDescent="0.2">
      <c r="A102" s="6" t="s">
        <v>71</v>
      </c>
      <c r="B102" s="11">
        <v>49147</v>
      </c>
      <c r="C102" s="11">
        <v>0</v>
      </c>
      <c r="D102" s="11">
        <v>0</v>
      </c>
      <c r="E102" s="11">
        <v>3231</v>
      </c>
      <c r="F102" s="11">
        <v>0</v>
      </c>
      <c r="G102" s="11">
        <v>3867</v>
      </c>
      <c r="H102" s="11">
        <v>672</v>
      </c>
      <c r="I102" s="11">
        <v>0</v>
      </c>
      <c r="J102" s="11">
        <v>6464</v>
      </c>
      <c r="K102" s="11">
        <v>3118</v>
      </c>
      <c r="L102" s="11">
        <v>3601</v>
      </c>
      <c r="M102" s="11">
        <v>5184</v>
      </c>
      <c r="N102" s="11">
        <v>5813</v>
      </c>
      <c r="O102" s="11">
        <v>9538</v>
      </c>
      <c r="P102" s="11">
        <v>1202</v>
      </c>
      <c r="Q102" s="11">
        <v>6456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</row>
    <row r="103" spans="1:24" x14ac:dyDescent="0.2">
      <c r="A103" s="6" t="s">
        <v>72</v>
      </c>
      <c r="B103" s="11">
        <v>479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150</v>
      </c>
      <c r="M103" s="11">
        <v>0</v>
      </c>
      <c r="N103" s="11">
        <v>36</v>
      </c>
      <c r="O103" s="11">
        <v>293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</row>
    <row r="104" spans="1:24" x14ac:dyDescent="0.2">
      <c r="A104" s="6" t="s">
        <v>74</v>
      </c>
      <c r="B104" s="11">
        <v>11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11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</row>
    <row r="105" spans="1:24" x14ac:dyDescent="0.2">
      <c r="A105" s="6" t="s">
        <v>75</v>
      </c>
      <c r="B105" s="11">
        <v>1440</v>
      </c>
      <c r="C105" s="11">
        <v>0</v>
      </c>
      <c r="D105" s="11">
        <v>0</v>
      </c>
      <c r="E105" s="11">
        <v>384</v>
      </c>
      <c r="F105" s="11">
        <v>0</v>
      </c>
      <c r="G105" s="11">
        <v>190</v>
      </c>
      <c r="H105" s="11">
        <v>0</v>
      </c>
      <c r="I105" s="11">
        <v>0</v>
      </c>
      <c r="J105" s="11">
        <v>0</v>
      </c>
      <c r="K105" s="11">
        <v>0</v>
      </c>
      <c r="L105" s="11">
        <v>120</v>
      </c>
      <c r="M105" s="11">
        <v>254</v>
      </c>
      <c r="N105" s="11">
        <v>51</v>
      </c>
      <c r="O105" s="11">
        <v>0</v>
      </c>
      <c r="P105" s="11">
        <v>0</v>
      </c>
      <c r="Q105" s="11">
        <v>441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</row>
    <row r="106" spans="1:24" x14ac:dyDescent="0.2">
      <c r="A106" s="6" t="s">
        <v>76</v>
      </c>
      <c r="B106" s="11">
        <v>838</v>
      </c>
      <c r="C106" s="11">
        <v>0</v>
      </c>
      <c r="D106" s="11">
        <v>0</v>
      </c>
      <c r="E106" s="11">
        <v>44</v>
      </c>
      <c r="F106" s="11">
        <v>0</v>
      </c>
      <c r="G106" s="11">
        <v>176</v>
      </c>
      <c r="H106" s="11">
        <v>0</v>
      </c>
      <c r="I106" s="11">
        <v>0</v>
      </c>
      <c r="J106" s="11">
        <v>88</v>
      </c>
      <c r="K106" s="11">
        <v>0</v>
      </c>
      <c r="L106" s="11">
        <v>0</v>
      </c>
      <c r="M106" s="11">
        <v>180</v>
      </c>
      <c r="N106" s="11">
        <v>86</v>
      </c>
      <c r="O106" s="11">
        <v>195</v>
      </c>
      <c r="P106" s="11">
        <v>0</v>
      </c>
      <c r="Q106" s="11">
        <v>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</row>
    <row r="107" spans="1:24" x14ac:dyDescent="0.2">
      <c r="A107" s="6" t="s">
        <v>139</v>
      </c>
      <c r="B107" s="11">
        <v>6761</v>
      </c>
      <c r="C107" s="11">
        <v>257</v>
      </c>
      <c r="D107" s="11">
        <v>83</v>
      </c>
      <c r="E107" s="11">
        <v>308</v>
      </c>
      <c r="F107" s="11">
        <v>330</v>
      </c>
      <c r="G107" s="11">
        <v>352</v>
      </c>
      <c r="H107" s="11">
        <v>167</v>
      </c>
      <c r="I107" s="11">
        <v>479</v>
      </c>
      <c r="J107" s="11">
        <v>250</v>
      </c>
      <c r="K107" s="11">
        <v>174</v>
      </c>
      <c r="L107" s="11">
        <v>266</v>
      </c>
      <c r="M107" s="11">
        <v>464</v>
      </c>
      <c r="N107" s="11">
        <v>881</v>
      </c>
      <c r="O107" s="11">
        <v>1006</v>
      </c>
      <c r="P107" s="11">
        <v>354</v>
      </c>
      <c r="Q107" s="11">
        <v>170</v>
      </c>
      <c r="R107" s="11">
        <v>389</v>
      </c>
      <c r="S107" s="11">
        <v>670</v>
      </c>
      <c r="T107" s="11">
        <v>0</v>
      </c>
      <c r="U107" s="11">
        <v>159</v>
      </c>
      <c r="V107" s="11">
        <v>0</v>
      </c>
      <c r="W107" s="11">
        <v>0</v>
      </c>
      <c r="X107" s="11">
        <v>0</v>
      </c>
    </row>
    <row r="108" spans="1:24" x14ac:dyDescent="0.2">
      <c r="A108" s="6" t="s">
        <v>140</v>
      </c>
      <c r="B108" s="11">
        <v>1653</v>
      </c>
      <c r="C108" s="11">
        <v>0</v>
      </c>
      <c r="D108" s="11">
        <v>1653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</row>
    <row r="109" spans="1:24" x14ac:dyDescent="0.2">
      <c r="A109" s="6" t="s">
        <v>141</v>
      </c>
      <c r="B109" s="11">
        <v>2895</v>
      </c>
      <c r="C109" s="11">
        <v>195</v>
      </c>
      <c r="D109" s="11">
        <v>497</v>
      </c>
      <c r="E109" s="11">
        <v>58</v>
      </c>
      <c r="F109" s="11">
        <v>346</v>
      </c>
      <c r="G109" s="11">
        <v>0</v>
      </c>
      <c r="H109" s="11">
        <v>0</v>
      </c>
      <c r="I109" s="11">
        <v>0</v>
      </c>
      <c r="J109" s="11">
        <v>0</v>
      </c>
      <c r="K109" s="11">
        <v>50</v>
      </c>
      <c r="L109" s="11">
        <v>0</v>
      </c>
      <c r="M109" s="11">
        <v>118</v>
      </c>
      <c r="N109" s="11">
        <v>330</v>
      </c>
      <c r="O109" s="11">
        <v>464</v>
      </c>
      <c r="P109" s="11">
        <v>337</v>
      </c>
      <c r="Q109" s="11">
        <v>0</v>
      </c>
      <c r="R109" s="11">
        <v>500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</row>
    <row r="110" spans="1:24" x14ac:dyDescent="0.2">
      <c r="A110" s="6" t="s">
        <v>142</v>
      </c>
      <c r="B110" s="13">
        <v>63224</v>
      </c>
      <c r="C110" s="13">
        <v>452</v>
      </c>
      <c r="D110" s="13">
        <v>2233</v>
      </c>
      <c r="E110" s="13">
        <v>4025</v>
      </c>
      <c r="F110" s="13">
        <v>676</v>
      </c>
      <c r="G110" s="13">
        <v>4585</v>
      </c>
      <c r="H110" s="13">
        <v>839</v>
      </c>
      <c r="I110" s="13">
        <v>479</v>
      </c>
      <c r="J110" s="13">
        <v>6813</v>
      </c>
      <c r="K110" s="13">
        <v>3342</v>
      </c>
      <c r="L110" s="13">
        <v>4137</v>
      </c>
      <c r="M110" s="13">
        <v>6200</v>
      </c>
      <c r="N110" s="13">
        <v>7197</v>
      </c>
      <c r="O110" s="13">
        <v>11496</v>
      </c>
      <c r="P110" s="13">
        <v>1893</v>
      </c>
      <c r="Q110" s="13">
        <v>7137</v>
      </c>
      <c r="R110" s="13">
        <v>889</v>
      </c>
      <c r="S110" s="13">
        <v>670</v>
      </c>
      <c r="T110" s="13">
        <v>0</v>
      </c>
      <c r="U110" s="13">
        <v>159</v>
      </c>
      <c r="V110" s="13">
        <v>0</v>
      </c>
      <c r="W110" s="13">
        <v>0</v>
      </c>
      <c r="X110" s="13">
        <v>0</v>
      </c>
    </row>
    <row r="111" spans="1:24" x14ac:dyDescent="0.2">
      <c r="A111" s="6" t="s">
        <v>44</v>
      </c>
      <c r="B111" s="14">
        <v>4837933</v>
      </c>
      <c r="C111" s="14">
        <v>267150</v>
      </c>
      <c r="D111" s="14">
        <v>211352</v>
      </c>
      <c r="E111" s="14">
        <v>230438</v>
      </c>
      <c r="F111" s="14">
        <v>220700</v>
      </c>
      <c r="G111" s="14">
        <v>246786</v>
      </c>
      <c r="H111" s="14">
        <v>209198</v>
      </c>
      <c r="I111" s="14">
        <v>157795</v>
      </c>
      <c r="J111" s="14">
        <v>224133</v>
      </c>
      <c r="K111" s="14">
        <v>200187</v>
      </c>
      <c r="L111" s="14">
        <v>272498</v>
      </c>
      <c r="M111" s="14">
        <v>263157</v>
      </c>
      <c r="N111" s="14">
        <v>577522</v>
      </c>
      <c r="O111" s="14">
        <v>365274</v>
      </c>
      <c r="P111" s="14">
        <v>389550</v>
      </c>
      <c r="Q111" s="14">
        <v>290605</v>
      </c>
      <c r="R111" s="14">
        <v>267664</v>
      </c>
      <c r="S111" s="14">
        <v>94012</v>
      </c>
      <c r="T111" s="14">
        <v>98467</v>
      </c>
      <c r="U111" s="14">
        <v>75954</v>
      </c>
      <c r="V111" s="14">
        <v>110630</v>
      </c>
      <c r="W111" s="14">
        <v>50675</v>
      </c>
      <c r="X111" s="14">
        <v>14186</v>
      </c>
    </row>
    <row r="112" spans="1:24" x14ac:dyDescent="0.2">
      <c r="A112" s="4" t="s">
        <v>6</v>
      </c>
    </row>
    <row r="113" spans="1:1" x14ac:dyDescent="0.2">
      <c r="A113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2"/>
  <sheetViews>
    <sheetView topLeftCell="A8" workbookViewId="0">
      <selection activeCell="B26" sqref="B26:X26"/>
    </sheetView>
  </sheetViews>
  <sheetFormatPr defaultColWidth="9.140625" defaultRowHeight="12.75" x14ac:dyDescent="0.2"/>
  <cols>
    <col min="1" max="1" width="42.28515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143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46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144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</row>
    <row r="13" spans="1:24" x14ac:dyDescent="0.2">
      <c r="A13" s="6" t="s">
        <v>145</v>
      </c>
      <c r="B13" s="11">
        <v>3878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15</v>
      </c>
      <c r="I13" s="11">
        <v>0</v>
      </c>
      <c r="J13" s="11">
        <v>485</v>
      </c>
      <c r="K13" s="11">
        <v>469</v>
      </c>
      <c r="L13" s="11">
        <v>560</v>
      </c>
      <c r="M13" s="11">
        <v>575</v>
      </c>
      <c r="N13" s="11">
        <v>469</v>
      </c>
      <c r="O13" s="11">
        <v>0</v>
      </c>
      <c r="P13" s="11">
        <v>682</v>
      </c>
      <c r="Q13" s="11">
        <v>0</v>
      </c>
      <c r="R13" s="11">
        <v>0</v>
      </c>
      <c r="S13" s="11">
        <v>312</v>
      </c>
      <c r="T13" s="11">
        <v>0</v>
      </c>
      <c r="U13" s="11">
        <v>73</v>
      </c>
      <c r="V13" s="11">
        <v>112</v>
      </c>
      <c r="W13" s="11">
        <v>126</v>
      </c>
      <c r="X13" s="11">
        <v>0</v>
      </c>
    </row>
    <row r="14" spans="1:24" x14ac:dyDescent="0.2">
      <c r="A14" s="6" t="s">
        <v>146</v>
      </c>
      <c r="B14" s="11">
        <v>128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16</v>
      </c>
      <c r="V14" s="11">
        <v>112</v>
      </c>
      <c r="W14" s="11">
        <v>0</v>
      </c>
      <c r="X14" s="11">
        <v>0</v>
      </c>
    </row>
    <row r="15" spans="1:24" x14ac:dyDescent="0.2">
      <c r="A15" s="6" t="s">
        <v>147</v>
      </c>
      <c r="B15" s="13">
        <v>4006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15</v>
      </c>
      <c r="I15" s="13">
        <v>0</v>
      </c>
      <c r="J15" s="13">
        <v>485</v>
      </c>
      <c r="K15" s="13">
        <v>469</v>
      </c>
      <c r="L15" s="13">
        <v>560</v>
      </c>
      <c r="M15" s="13">
        <v>575</v>
      </c>
      <c r="N15" s="13">
        <v>469</v>
      </c>
      <c r="O15" s="13">
        <v>0</v>
      </c>
      <c r="P15" s="13">
        <v>682</v>
      </c>
      <c r="Q15" s="13">
        <v>0</v>
      </c>
      <c r="R15" s="13">
        <v>0</v>
      </c>
      <c r="S15" s="13">
        <v>312</v>
      </c>
      <c r="T15" s="13">
        <v>0</v>
      </c>
      <c r="U15" s="13">
        <v>89</v>
      </c>
      <c r="V15" s="13">
        <v>224</v>
      </c>
      <c r="W15" s="13">
        <v>126</v>
      </c>
      <c r="X15" s="13">
        <v>0</v>
      </c>
    </row>
    <row r="16" spans="1:24" x14ac:dyDescent="0.2">
      <c r="A16" s="6" t="s">
        <v>148</v>
      </c>
      <c r="B16" s="15" t="s">
        <v>70</v>
      </c>
      <c r="C16" s="15" t="s">
        <v>70</v>
      </c>
      <c r="D16" s="15" t="s">
        <v>70</v>
      </c>
      <c r="E16" s="15" t="s">
        <v>70</v>
      </c>
      <c r="F16" s="15" t="s">
        <v>70</v>
      </c>
      <c r="G16" s="15" t="s">
        <v>70</v>
      </c>
      <c r="H16" s="15" t="s">
        <v>70</v>
      </c>
      <c r="I16" s="15" t="s">
        <v>70</v>
      </c>
      <c r="J16" s="15" t="s">
        <v>70</v>
      </c>
      <c r="K16" s="15" t="s">
        <v>70</v>
      </c>
      <c r="L16" s="15" t="s">
        <v>70</v>
      </c>
      <c r="M16" s="15" t="s">
        <v>70</v>
      </c>
      <c r="N16" s="15" t="s">
        <v>70</v>
      </c>
      <c r="O16" s="15" t="s">
        <v>70</v>
      </c>
      <c r="P16" s="15" t="s">
        <v>70</v>
      </c>
      <c r="Q16" s="15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</row>
    <row r="17" spans="1:24" x14ac:dyDescent="0.2">
      <c r="A17" s="6" t="s">
        <v>71</v>
      </c>
      <c r="B17" s="11">
        <v>195347</v>
      </c>
      <c r="C17" s="11">
        <v>10961</v>
      </c>
      <c r="D17" s="11">
        <v>7517</v>
      </c>
      <c r="E17" s="11">
        <v>9392</v>
      </c>
      <c r="F17" s="11">
        <v>10271</v>
      </c>
      <c r="G17" s="11">
        <v>9847</v>
      </c>
      <c r="H17" s="11">
        <v>10821</v>
      </c>
      <c r="I17" s="11">
        <v>8777</v>
      </c>
      <c r="J17" s="11">
        <v>5684</v>
      </c>
      <c r="K17" s="11">
        <v>3990</v>
      </c>
      <c r="L17" s="11">
        <v>13832</v>
      </c>
      <c r="M17" s="11">
        <v>8816</v>
      </c>
      <c r="N17" s="11">
        <v>12527</v>
      </c>
      <c r="O17" s="11">
        <v>2911</v>
      </c>
      <c r="P17" s="11">
        <v>17581</v>
      </c>
      <c r="Q17" s="11">
        <v>10160</v>
      </c>
      <c r="R17" s="11">
        <v>12133</v>
      </c>
      <c r="S17" s="11">
        <v>8974</v>
      </c>
      <c r="T17" s="11">
        <v>6865</v>
      </c>
      <c r="U17" s="11">
        <v>6734</v>
      </c>
      <c r="V17" s="11">
        <v>14315</v>
      </c>
      <c r="W17" s="11">
        <v>724</v>
      </c>
      <c r="X17" s="11">
        <v>2516</v>
      </c>
    </row>
    <row r="18" spans="1:24" x14ac:dyDescent="0.2">
      <c r="A18" s="6" t="s">
        <v>72</v>
      </c>
      <c r="B18" s="11">
        <v>3094</v>
      </c>
      <c r="C18" s="11">
        <v>489</v>
      </c>
      <c r="D18" s="11">
        <v>0</v>
      </c>
      <c r="E18" s="11">
        <v>0</v>
      </c>
      <c r="F18" s="11">
        <v>6</v>
      </c>
      <c r="G18" s="11">
        <v>56</v>
      </c>
      <c r="H18" s="11">
        <v>46</v>
      </c>
      <c r="I18" s="11">
        <v>40</v>
      </c>
      <c r="J18" s="11">
        <v>380</v>
      </c>
      <c r="K18" s="11">
        <v>347</v>
      </c>
      <c r="L18" s="11">
        <v>0</v>
      </c>
      <c r="M18" s="11">
        <v>0</v>
      </c>
      <c r="N18" s="11">
        <v>390</v>
      </c>
      <c r="O18" s="11">
        <v>0</v>
      </c>
      <c r="P18" s="11">
        <v>0</v>
      </c>
      <c r="Q18" s="11">
        <v>0</v>
      </c>
      <c r="R18" s="11">
        <v>0</v>
      </c>
      <c r="S18" s="11">
        <v>119</v>
      </c>
      <c r="T18" s="11">
        <v>20</v>
      </c>
      <c r="U18" s="11">
        <v>0</v>
      </c>
      <c r="V18" s="11">
        <v>28</v>
      </c>
      <c r="W18" s="11">
        <v>0</v>
      </c>
      <c r="X18" s="11">
        <v>1171</v>
      </c>
    </row>
    <row r="19" spans="1:24" x14ac:dyDescent="0.2">
      <c r="A19" s="6" t="s">
        <v>74</v>
      </c>
      <c r="B19" s="11">
        <v>257</v>
      </c>
      <c r="C19" s="11">
        <v>0</v>
      </c>
      <c r="D19" s="11">
        <v>0</v>
      </c>
      <c r="E19" s="11">
        <v>43</v>
      </c>
      <c r="F19" s="11">
        <v>0</v>
      </c>
      <c r="G19" s="11">
        <v>43</v>
      </c>
      <c r="H19" s="11">
        <v>42</v>
      </c>
      <c r="I19" s="11">
        <v>75</v>
      </c>
      <c r="J19" s="11">
        <v>54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6" t="s">
        <v>75</v>
      </c>
      <c r="B20" s="11">
        <v>7902</v>
      </c>
      <c r="C20" s="11">
        <v>358</v>
      </c>
      <c r="D20" s="11">
        <v>674</v>
      </c>
      <c r="E20" s="11">
        <v>0</v>
      </c>
      <c r="F20" s="11">
        <v>169</v>
      </c>
      <c r="G20" s="11">
        <v>0</v>
      </c>
      <c r="H20" s="11">
        <v>629</v>
      </c>
      <c r="I20" s="11">
        <v>1164</v>
      </c>
      <c r="J20" s="11">
        <v>126</v>
      </c>
      <c r="K20" s="11">
        <v>240</v>
      </c>
      <c r="L20" s="11">
        <v>564</v>
      </c>
      <c r="M20" s="11">
        <v>126</v>
      </c>
      <c r="N20" s="11">
        <v>279</v>
      </c>
      <c r="O20" s="11">
        <v>450</v>
      </c>
      <c r="P20" s="11">
        <v>594</v>
      </c>
      <c r="Q20" s="11">
        <v>0</v>
      </c>
      <c r="R20" s="11">
        <v>480</v>
      </c>
      <c r="S20" s="11">
        <v>126</v>
      </c>
      <c r="T20" s="11">
        <v>0</v>
      </c>
      <c r="U20" s="11">
        <v>51</v>
      </c>
      <c r="V20" s="11">
        <v>347</v>
      </c>
      <c r="W20" s="11">
        <v>0</v>
      </c>
      <c r="X20" s="11">
        <v>1526</v>
      </c>
    </row>
    <row r="21" spans="1:24" x14ac:dyDescent="0.2">
      <c r="A21" s="6" t="s">
        <v>76</v>
      </c>
      <c r="B21" s="11">
        <v>5059</v>
      </c>
      <c r="C21" s="11">
        <v>442</v>
      </c>
      <c r="D21" s="11">
        <v>319</v>
      </c>
      <c r="E21" s="11">
        <v>337</v>
      </c>
      <c r="F21" s="11">
        <v>389</v>
      </c>
      <c r="G21" s="11">
        <v>384</v>
      </c>
      <c r="H21" s="11">
        <v>394</v>
      </c>
      <c r="I21" s="11">
        <v>368</v>
      </c>
      <c r="J21" s="11">
        <v>272</v>
      </c>
      <c r="K21" s="11">
        <v>135</v>
      </c>
      <c r="L21" s="11">
        <v>0</v>
      </c>
      <c r="M21" s="11">
        <v>352</v>
      </c>
      <c r="N21" s="11">
        <v>63</v>
      </c>
      <c r="O21" s="11">
        <v>118</v>
      </c>
      <c r="P21" s="11">
        <v>181</v>
      </c>
      <c r="Q21" s="11">
        <v>289</v>
      </c>
      <c r="R21" s="11">
        <v>440</v>
      </c>
      <c r="S21" s="11">
        <v>0</v>
      </c>
      <c r="T21" s="11">
        <v>91</v>
      </c>
      <c r="U21" s="11">
        <v>0</v>
      </c>
      <c r="V21" s="11">
        <v>488</v>
      </c>
      <c r="W21" s="11">
        <v>0</v>
      </c>
      <c r="X21" s="11">
        <v>0</v>
      </c>
    </row>
    <row r="22" spans="1:24" x14ac:dyDescent="0.2">
      <c r="A22" s="6" t="s">
        <v>149</v>
      </c>
      <c r="B22" s="11">
        <v>2555</v>
      </c>
      <c r="C22" s="11">
        <v>0</v>
      </c>
      <c r="D22" s="11">
        <v>23</v>
      </c>
      <c r="E22" s="11">
        <v>0</v>
      </c>
      <c r="F22" s="11">
        <v>4</v>
      </c>
      <c r="G22" s="11">
        <v>90</v>
      </c>
      <c r="H22" s="11">
        <v>51</v>
      </c>
      <c r="I22" s="11">
        <v>1010</v>
      </c>
      <c r="J22" s="11">
        <v>20</v>
      </c>
      <c r="K22" s="11">
        <v>70</v>
      </c>
      <c r="L22" s="11">
        <v>305</v>
      </c>
      <c r="M22" s="11">
        <v>0</v>
      </c>
      <c r="N22" s="11">
        <v>332</v>
      </c>
      <c r="O22" s="11">
        <v>0</v>
      </c>
      <c r="P22" s="11">
        <v>366</v>
      </c>
      <c r="Q22" s="11">
        <v>142</v>
      </c>
      <c r="R22" s="11">
        <v>110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30</v>
      </c>
    </row>
    <row r="23" spans="1:24" x14ac:dyDescent="0.2">
      <c r="A23" s="6" t="s">
        <v>150</v>
      </c>
      <c r="B23" s="11">
        <v>12884</v>
      </c>
      <c r="C23" s="11">
        <v>839</v>
      </c>
      <c r="D23" s="11">
        <v>555</v>
      </c>
      <c r="E23" s="11">
        <v>559</v>
      </c>
      <c r="F23" s="11">
        <v>1586</v>
      </c>
      <c r="G23" s="11">
        <v>890</v>
      </c>
      <c r="H23" s="11">
        <v>960</v>
      </c>
      <c r="I23" s="11">
        <v>786</v>
      </c>
      <c r="J23" s="11">
        <v>335</v>
      </c>
      <c r="K23" s="11">
        <v>325</v>
      </c>
      <c r="L23" s="11">
        <v>348</v>
      </c>
      <c r="M23" s="11">
        <v>433</v>
      </c>
      <c r="N23" s="11">
        <v>1239</v>
      </c>
      <c r="O23" s="11">
        <v>404</v>
      </c>
      <c r="P23" s="11">
        <v>459</v>
      </c>
      <c r="Q23" s="11">
        <v>1044</v>
      </c>
      <c r="R23" s="11">
        <v>1608</v>
      </c>
      <c r="S23" s="11">
        <v>96</v>
      </c>
      <c r="T23" s="11">
        <v>99</v>
      </c>
      <c r="U23" s="11">
        <v>94</v>
      </c>
      <c r="V23" s="11">
        <v>107</v>
      </c>
      <c r="W23" s="11">
        <v>87</v>
      </c>
      <c r="X23" s="11">
        <v>31</v>
      </c>
    </row>
    <row r="24" spans="1:24" x14ac:dyDescent="0.2">
      <c r="A24" s="6" t="s">
        <v>151</v>
      </c>
      <c r="B24" s="11">
        <v>8021</v>
      </c>
      <c r="C24" s="11">
        <v>120</v>
      </c>
      <c r="D24" s="11">
        <v>51</v>
      </c>
      <c r="E24" s="11">
        <v>51</v>
      </c>
      <c r="F24" s="11">
        <v>50</v>
      </c>
      <c r="G24" s="11">
        <v>52</v>
      </c>
      <c r="H24" s="11">
        <v>1918</v>
      </c>
      <c r="I24" s="11">
        <v>821</v>
      </c>
      <c r="J24" s="11">
        <v>971</v>
      </c>
      <c r="K24" s="11">
        <v>99</v>
      </c>
      <c r="L24" s="11">
        <v>99</v>
      </c>
      <c r="M24" s="11">
        <v>1028</v>
      </c>
      <c r="N24" s="11">
        <v>99</v>
      </c>
      <c r="O24" s="11">
        <v>160</v>
      </c>
      <c r="P24" s="11">
        <v>99</v>
      </c>
      <c r="Q24" s="11">
        <v>94</v>
      </c>
      <c r="R24" s="11">
        <v>650</v>
      </c>
      <c r="S24" s="11">
        <v>391</v>
      </c>
      <c r="T24" s="11">
        <v>81</v>
      </c>
      <c r="U24" s="11">
        <v>646</v>
      </c>
      <c r="V24" s="11">
        <v>353</v>
      </c>
      <c r="W24" s="11">
        <v>89</v>
      </c>
      <c r="X24" s="11">
        <v>99</v>
      </c>
    </row>
    <row r="25" spans="1:24" x14ac:dyDescent="0.2">
      <c r="A25" s="6" t="s">
        <v>152</v>
      </c>
      <c r="B25" s="11">
        <v>148298</v>
      </c>
      <c r="C25" s="11">
        <v>4860</v>
      </c>
      <c r="D25" s="11">
        <v>8228</v>
      </c>
      <c r="E25" s="11">
        <v>3884</v>
      </c>
      <c r="F25" s="11">
        <v>7084</v>
      </c>
      <c r="G25" s="11">
        <v>8587</v>
      </c>
      <c r="H25" s="11">
        <v>7534</v>
      </c>
      <c r="I25" s="11">
        <v>6252</v>
      </c>
      <c r="J25" s="11">
        <v>6705</v>
      </c>
      <c r="K25" s="11">
        <v>7054</v>
      </c>
      <c r="L25" s="11">
        <v>9650</v>
      </c>
      <c r="M25" s="11">
        <v>7191</v>
      </c>
      <c r="N25" s="11">
        <v>16055</v>
      </c>
      <c r="O25" s="11">
        <v>14160</v>
      </c>
      <c r="P25" s="11">
        <v>12525</v>
      </c>
      <c r="Q25" s="11">
        <v>6560</v>
      </c>
      <c r="R25" s="11">
        <v>7440</v>
      </c>
      <c r="S25" s="11">
        <v>7143</v>
      </c>
      <c r="T25" s="11">
        <v>1664</v>
      </c>
      <c r="U25" s="11">
        <v>1725</v>
      </c>
      <c r="V25" s="11">
        <v>1821</v>
      </c>
      <c r="W25" s="11">
        <v>1635</v>
      </c>
      <c r="X25" s="11">
        <v>540</v>
      </c>
    </row>
    <row r="26" spans="1:24" x14ac:dyDescent="0.2">
      <c r="A26" s="6" t="s">
        <v>153</v>
      </c>
      <c r="B26" s="11">
        <v>2000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1000</v>
      </c>
      <c r="R26" s="11">
        <v>1000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</row>
    <row r="27" spans="1:24" x14ac:dyDescent="0.2">
      <c r="A27" s="6" t="s">
        <v>154</v>
      </c>
      <c r="B27" s="11">
        <v>11129</v>
      </c>
      <c r="C27" s="11">
        <v>662</v>
      </c>
      <c r="D27" s="11">
        <v>633</v>
      </c>
      <c r="E27" s="11">
        <v>497</v>
      </c>
      <c r="F27" s="11">
        <v>682</v>
      </c>
      <c r="G27" s="11">
        <v>461</v>
      </c>
      <c r="H27" s="11">
        <v>0</v>
      </c>
      <c r="I27" s="11">
        <v>390</v>
      </c>
      <c r="J27" s="11">
        <v>626</v>
      </c>
      <c r="K27" s="11">
        <v>437</v>
      </c>
      <c r="L27" s="11">
        <v>65</v>
      </c>
      <c r="M27" s="11">
        <v>334</v>
      </c>
      <c r="N27" s="11">
        <v>1330</v>
      </c>
      <c r="O27" s="11">
        <v>931</v>
      </c>
      <c r="P27" s="11">
        <v>484</v>
      </c>
      <c r="Q27" s="11">
        <v>450</v>
      </c>
      <c r="R27" s="11">
        <v>474</v>
      </c>
      <c r="S27" s="11">
        <v>661</v>
      </c>
      <c r="T27" s="11">
        <v>456</v>
      </c>
      <c r="U27" s="11">
        <v>0</v>
      </c>
      <c r="V27" s="11">
        <v>447</v>
      </c>
      <c r="W27" s="11">
        <v>798</v>
      </c>
      <c r="X27" s="11">
        <v>311</v>
      </c>
    </row>
    <row r="28" spans="1:24" x14ac:dyDescent="0.2">
      <c r="A28" s="6" t="s">
        <v>155</v>
      </c>
      <c r="B28" s="11">
        <v>325</v>
      </c>
      <c r="C28" s="11">
        <v>5</v>
      </c>
      <c r="D28" s="11">
        <v>5</v>
      </c>
      <c r="E28" s="11">
        <v>5</v>
      </c>
      <c r="F28" s="11">
        <v>205</v>
      </c>
      <c r="G28" s="11">
        <v>5</v>
      </c>
      <c r="H28" s="11">
        <v>5</v>
      </c>
      <c r="I28" s="11">
        <v>5</v>
      </c>
      <c r="J28" s="11">
        <v>5</v>
      </c>
      <c r="K28" s="11">
        <v>5</v>
      </c>
      <c r="L28" s="11">
        <v>5</v>
      </c>
      <c r="M28" s="11">
        <v>5</v>
      </c>
      <c r="N28" s="11">
        <v>-495</v>
      </c>
      <c r="O28" s="11">
        <v>196</v>
      </c>
      <c r="P28" s="11">
        <v>359</v>
      </c>
      <c r="Q28" s="11">
        <v>5</v>
      </c>
      <c r="R28" s="11">
        <v>5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</row>
    <row r="29" spans="1:24" x14ac:dyDescent="0.2">
      <c r="A29" s="6" t="s">
        <v>156</v>
      </c>
      <c r="B29" s="11">
        <v>923</v>
      </c>
      <c r="C29" s="11">
        <v>18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10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575</v>
      </c>
      <c r="S29" s="11">
        <v>0</v>
      </c>
      <c r="T29" s="11">
        <v>0</v>
      </c>
      <c r="U29" s="11">
        <v>220</v>
      </c>
      <c r="V29" s="11">
        <v>100</v>
      </c>
      <c r="W29" s="11">
        <v>0</v>
      </c>
      <c r="X29" s="11">
        <v>0</v>
      </c>
    </row>
    <row r="30" spans="1:24" x14ac:dyDescent="0.2">
      <c r="A30" s="6" t="s">
        <v>157</v>
      </c>
      <c r="B30" s="11">
        <v>121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40</v>
      </c>
      <c r="N30" s="11">
        <v>82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</row>
    <row r="31" spans="1:24" x14ac:dyDescent="0.2">
      <c r="A31" s="6" t="s">
        <v>158</v>
      </c>
      <c r="B31" s="11">
        <v>3370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21</v>
      </c>
      <c r="K31" s="11">
        <v>63</v>
      </c>
      <c r="L31" s="11">
        <v>93</v>
      </c>
      <c r="M31" s="11">
        <v>144</v>
      </c>
      <c r="N31" s="11">
        <v>382</v>
      </c>
      <c r="O31" s="11">
        <v>85</v>
      </c>
      <c r="P31" s="11">
        <v>10</v>
      </c>
      <c r="Q31" s="11">
        <v>2182</v>
      </c>
      <c r="R31" s="11">
        <v>99</v>
      </c>
      <c r="S31" s="11">
        <v>90</v>
      </c>
      <c r="T31" s="11">
        <v>191</v>
      </c>
      <c r="U31" s="11">
        <v>0</v>
      </c>
      <c r="V31" s="11">
        <v>11</v>
      </c>
      <c r="W31" s="11">
        <v>0</v>
      </c>
      <c r="X31" s="11">
        <v>0</v>
      </c>
    </row>
    <row r="32" spans="1:24" x14ac:dyDescent="0.2">
      <c r="A32" s="6" t="s">
        <v>159</v>
      </c>
      <c r="B32" s="11">
        <v>60093</v>
      </c>
      <c r="C32" s="11">
        <v>4294</v>
      </c>
      <c r="D32" s="11">
        <v>3522</v>
      </c>
      <c r="E32" s="11">
        <v>3715</v>
      </c>
      <c r="F32" s="11">
        <v>3666</v>
      </c>
      <c r="G32" s="11">
        <v>3076</v>
      </c>
      <c r="H32" s="11">
        <v>2325</v>
      </c>
      <c r="I32" s="11">
        <v>2870</v>
      </c>
      <c r="J32" s="11">
        <v>2346</v>
      </c>
      <c r="K32" s="11">
        <v>1625</v>
      </c>
      <c r="L32" s="11">
        <v>3784</v>
      </c>
      <c r="M32" s="11">
        <v>2298</v>
      </c>
      <c r="N32" s="11">
        <v>4843</v>
      </c>
      <c r="O32" s="11">
        <v>3273</v>
      </c>
      <c r="P32" s="11">
        <v>3051</v>
      </c>
      <c r="Q32" s="11">
        <v>5350</v>
      </c>
      <c r="R32" s="11">
        <v>4404</v>
      </c>
      <c r="S32" s="11">
        <v>953</v>
      </c>
      <c r="T32" s="11">
        <v>1015</v>
      </c>
      <c r="U32" s="11">
        <v>906</v>
      </c>
      <c r="V32" s="11">
        <v>1131</v>
      </c>
      <c r="W32" s="11">
        <v>1040</v>
      </c>
      <c r="X32" s="11">
        <v>603</v>
      </c>
    </row>
    <row r="33" spans="1:24" x14ac:dyDescent="0.2">
      <c r="A33" s="6" t="s">
        <v>160</v>
      </c>
      <c r="B33" s="11">
        <v>167000</v>
      </c>
      <c r="C33" s="11">
        <v>11000</v>
      </c>
      <c r="D33" s="11">
        <v>11000</v>
      </c>
      <c r="E33" s="11">
        <v>11000</v>
      </c>
      <c r="F33" s="11">
        <v>11000</v>
      </c>
      <c r="G33" s="11">
        <v>11000</v>
      </c>
      <c r="H33" s="11">
        <v>11000</v>
      </c>
      <c r="I33" s="11">
        <v>11000</v>
      </c>
      <c r="J33" s="11">
        <v>8000</v>
      </c>
      <c r="K33" s="11">
        <v>8000</v>
      </c>
      <c r="L33" s="11">
        <v>8000</v>
      </c>
      <c r="M33" s="11">
        <v>8000</v>
      </c>
      <c r="N33" s="11">
        <v>8000</v>
      </c>
      <c r="O33" s="11">
        <v>8000</v>
      </c>
      <c r="P33" s="11">
        <v>8000</v>
      </c>
      <c r="Q33" s="11">
        <v>11000</v>
      </c>
      <c r="R33" s="11">
        <v>11000</v>
      </c>
      <c r="S33" s="11">
        <v>2000</v>
      </c>
      <c r="T33" s="11">
        <v>2000</v>
      </c>
      <c r="U33" s="11">
        <v>2000</v>
      </c>
      <c r="V33" s="11">
        <v>2000</v>
      </c>
      <c r="W33" s="11">
        <v>2000</v>
      </c>
      <c r="X33" s="11">
        <v>2000</v>
      </c>
    </row>
    <row r="34" spans="1:24" x14ac:dyDescent="0.2">
      <c r="A34" s="6" t="s">
        <v>161</v>
      </c>
      <c r="B34" s="11">
        <v>7351</v>
      </c>
      <c r="C34" s="11">
        <v>216</v>
      </c>
      <c r="D34" s="11">
        <v>216</v>
      </c>
      <c r="E34" s="11">
        <v>797</v>
      </c>
      <c r="F34" s="11">
        <v>550</v>
      </c>
      <c r="G34" s="11">
        <v>95</v>
      </c>
      <c r="H34" s="11">
        <v>125</v>
      </c>
      <c r="I34" s="11">
        <v>275</v>
      </c>
      <c r="J34" s="11">
        <v>275</v>
      </c>
      <c r="K34" s="11">
        <v>275</v>
      </c>
      <c r="L34" s="11">
        <v>761</v>
      </c>
      <c r="M34" s="11">
        <v>131</v>
      </c>
      <c r="N34" s="11">
        <v>131</v>
      </c>
      <c r="O34" s="11">
        <v>275</v>
      </c>
      <c r="P34" s="11">
        <v>568</v>
      </c>
      <c r="Q34" s="11">
        <v>131</v>
      </c>
      <c r="R34" s="11">
        <v>1113</v>
      </c>
      <c r="S34" s="11">
        <v>-262</v>
      </c>
      <c r="T34" s="11">
        <v>145</v>
      </c>
      <c r="U34" s="11">
        <v>275</v>
      </c>
      <c r="V34" s="11">
        <v>730</v>
      </c>
      <c r="W34" s="11">
        <v>131</v>
      </c>
      <c r="X34" s="11">
        <v>401</v>
      </c>
    </row>
    <row r="35" spans="1:24" x14ac:dyDescent="0.2">
      <c r="A35" s="6" t="s">
        <v>162</v>
      </c>
      <c r="B35" s="11">
        <v>8756</v>
      </c>
      <c r="C35" s="11">
        <v>75</v>
      </c>
      <c r="D35" s="11">
        <v>0</v>
      </c>
      <c r="E35" s="11">
        <v>1750</v>
      </c>
      <c r="F35" s="11">
        <v>0</v>
      </c>
      <c r="G35" s="11">
        <v>0</v>
      </c>
      <c r="H35" s="11">
        <v>350</v>
      </c>
      <c r="I35" s="11">
        <v>0</v>
      </c>
      <c r="J35" s="11">
        <v>0</v>
      </c>
      <c r="K35" s="11">
        <v>0</v>
      </c>
      <c r="L35" s="11">
        <v>1990</v>
      </c>
      <c r="M35" s="11">
        <v>1990</v>
      </c>
      <c r="N35" s="11">
        <v>1990</v>
      </c>
      <c r="O35" s="11">
        <v>450</v>
      </c>
      <c r="P35" s="11">
        <v>0</v>
      </c>
      <c r="Q35" s="11">
        <v>0</v>
      </c>
      <c r="R35" s="11">
        <v>0</v>
      </c>
      <c r="S35" s="11">
        <v>0</v>
      </c>
      <c r="T35" s="11">
        <v>161</v>
      </c>
      <c r="U35" s="11">
        <v>0</v>
      </c>
      <c r="V35" s="11">
        <v>0</v>
      </c>
      <c r="W35" s="11">
        <v>0</v>
      </c>
      <c r="X35" s="11">
        <v>0</v>
      </c>
    </row>
    <row r="36" spans="1:24" x14ac:dyDescent="0.2">
      <c r="A36" s="6" t="s">
        <v>163</v>
      </c>
      <c r="B36" s="11">
        <v>10274</v>
      </c>
      <c r="C36" s="11">
        <v>340</v>
      </c>
      <c r="D36" s="11">
        <v>283</v>
      </c>
      <c r="E36" s="11">
        <v>426</v>
      </c>
      <c r="F36" s="11">
        <v>325</v>
      </c>
      <c r="G36" s="11">
        <v>127</v>
      </c>
      <c r="H36" s="11">
        <v>323</v>
      </c>
      <c r="I36" s="11">
        <v>336</v>
      </c>
      <c r="J36" s="11">
        <v>172</v>
      </c>
      <c r="K36" s="11">
        <v>347</v>
      </c>
      <c r="L36" s="11">
        <v>599</v>
      </c>
      <c r="M36" s="11">
        <v>715</v>
      </c>
      <c r="N36" s="11">
        <v>828</v>
      </c>
      <c r="O36" s="11">
        <v>901</v>
      </c>
      <c r="P36" s="11">
        <v>675</v>
      </c>
      <c r="Q36" s="11">
        <v>1189</v>
      </c>
      <c r="R36" s="11">
        <v>718</v>
      </c>
      <c r="S36" s="11">
        <v>216</v>
      </c>
      <c r="T36" s="11">
        <v>494</v>
      </c>
      <c r="U36" s="11">
        <v>575</v>
      </c>
      <c r="V36" s="11">
        <v>391</v>
      </c>
      <c r="W36" s="11">
        <v>291</v>
      </c>
      <c r="X36" s="11">
        <v>0</v>
      </c>
    </row>
    <row r="37" spans="1:24" x14ac:dyDescent="0.2">
      <c r="A37" s="6" t="s">
        <v>164</v>
      </c>
      <c r="B37" s="11">
        <v>2267</v>
      </c>
      <c r="C37" s="11">
        <v>227</v>
      </c>
      <c r="D37" s="11">
        <v>195</v>
      </c>
      <c r="E37" s="11">
        <v>357</v>
      </c>
      <c r="F37" s="11">
        <v>215</v>
      </c>
      <c r="G37" s="11">
        <v>55</v>
      </c>
      <c r="H37" s="11">
        <v>0</v>
      </c>
      <c r="I37" s="11">
        <v>157</v>
      </c>
      <c r="J37" s="11">
        <v>0</v>
      </c>
      <c r="K37" s="11">
        <v>157</v>
      </c>
      <c r="L37" s="11">
        <v>157</v>
      </c>
      <c r="M37" s="11">
        <v>0</v>
      </c>
      <c r="N37" s="11">
        <v>0</v>
      </c>
      <c r="O37" s="11">
        <v>132</v>
      </c>
      <c r="P37" s="11">
        <v>156</v>
      </c>
      <c r="Q37" s="11">
        <v>0</v>
      </c>
      <c r="R37" s="11">
        <v>0</v>
      </c>
      <c r="S37" s="11">
        <v>0</v>
      </c>
      <c r="T37" s="11">
        <v>0</v>
      </c>
      <c r="U37" s="11">
        <v>145</v>
      </c>
      <c r="V37" s="11">
        <v>156</v>
      </c>
      <c r="W37" s="11">
        <v>158</v>
      </c>
      <c r="X37" s="11">
        <v>0</v>
      </c>
    </row>
    <row r="38" spans="1:24" x14ac:dyDescent="0.2">
      <c r="A38" s="6" t="s">
        <v>165</v>
      </c>
      <c r="B38" s="11">
        <v>65</v>
      </c>
      <c r="C38" s="11">
        <v>0</v>
      </c>
      <c r="D38" s="11">
        <v>0</v>
      </c>
      <c r="E38" s="11">
        <v>0</v>
      </c>
      <c r="F38" s="11">
        <v>65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</row>
    <row r="39" spans="1:24" x14ac:dyDescent="0.2">
      <c r="A39" s="6" t="s">
        <v>166</v>
      </c>
      <c r="B39" s="11">
        <v>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6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167</v>
      </c>
      <c r="B40" s="11">
        <v>28132</v>
      </c>
      <c r="C40" s="11">
        <v>1047</v>
      </c>
      <c r="D40" s="11">
        <v>960</v>
      </c>
      <c r="E40" s="11">
        <v>1293</v>
      </c>
      <c r="F40" s="11">
        <v>4317</v>
      </c>
      <c r="G40" s="11">
        <v>1099</v>
      </c>
      <c r="H40" s="11">
        <v>1266</v>
      </c>
      <c r="I40" s="11">
        <v>885</v>
      </c>
      <c r="J40" s="11">
        <v>1039</v>
      </c>
      <c r="K40" s="11">
        <v>988</v>
      </c>
      <c r="L40" s="11">
        <v>917</v>
      </c>
      <c r="M40" s="11">
        <v>1436</v>
      </c>
      <c r="N40" s="11">
        <v>2180</v>
      </c>
      <c r="O40" s="11">
        <v>1298</v>
      </c>
      <c r="P40" s="11">
        <v>2961</v>
      </c>
      <c r="Q40" s="11">
        <v>1324</v>
      </c>
      <c r="R40" s="11">
        <v>1362</v>
      </c>
      <c r="S40" s="11">
        <v>738</v>
      </c>
      <c r="T40" s="11">
        <v>930</v>
      </c>
      <c r="U40" s="11">
        <v>689</v>
      </c>
      <c r="V40" s="11">
        <v>841</v>
      </c>
      <c r="W40" s="11">
        <v>337</v>
      </c>
      <c r="X40" s="11">
        <v>223</v>
      </c>
    </row>
    <row r="41" spans="1:24" x14ac:dyDescent="0.2">
      <c r="A41" s="6" t="s">
        <v>168</v>
      </c>
      <c r="B41" s="11">
        <v>3987</v>
      </c>
      <c r="C41" s="11">
        <v>6</v>
      </c>
      <c r="D41" s="11">
        <v>193</v>
      </c>
      <c r="E41" s="11">
        <v>1107</v>
      </c>
      <c r="F41" s="11">
        <v>411</v>
      </c>
      <c r="G41" s="11">
        <v>28</v>
      </c>
      <c r="H41" s="11">
        <v>121</v>
      </c>
      <c r="I41" s="11">
        <v>143</v>
      </c>
      <c r="J41" s="11">
        <v>56</v>
      </c>
      <c r="K41" s="11">
        <v>86</v>
      </c>
      <c r="L41" s="11">
        <v>96</v>
      </c>
      <c r="M41" s="11">
        <v>53</v>
      </c>
      <c r="N41" s="11">
        <v>124</v>
      </c>
      <c r="O41" s="11">
        <v>739</v>
      </c>
      <c r="P41" s="11">
        <v>124</v>
      </c>
      <c r="Q41" s="11">
        <v>159</v>
      </c>
      <c r="R41" s="11">
        <v>88</v>
      </c>
      <c r="S41" s="11">
        <v>55</v>
      </c>
      <c r="T41" s="11">
        <v>80</v>
      </c>
      <c r="U41" s="11">
        <v>112</v>
      </c>
      <c r="V41" s="11">
        <v>62</v>
      </c>
      <c r="W41" s="11">
        <v>79</v>
      </c>
      <c r="X41" s="11">
        <v>64</v>
      </c>
    </row>
    <row r="42" spans="1:24" x14ac:dyDescent="0.2">
      <c r="A42" s="6" t="s">
        <v>169</v>
      </c>
      <c r="B42" s="11">
        <v>4113</v>
      </c>
      <c r="C42" s="11">
        <v>133</v>
      </c>
      <c r="D42" s="11">
        <v>143</v>
      </c>
      <c r="E42" s="11">
        <v>204</v>
      </c>
      <c r="F42" s="11">
        <v>143</v>
      </c>
      <c r="G42" s="11">
        <v>137</v>
      </c>
      <c r="H42" s="11">
        <v>780</v>
      </c>
      <c r="I42" s="11">
        <v>140</v>
      </c>
      <c r="J42" s="11">
        <v>129</v>
      </c>
      <c r="K42" s="11">
        <v>-279</v>
      </c>
      <c r="L42" s="11">
        <v>248</v>
      </c>
      <c r="M42" s="11">
        <v>176</v>
      </c>
      <c r="N42" s="11">
        <v>251</v>
      </c>
      <c r="O42" s="11">
        <v>231</v>
      </c>
      <c r="P42" s="11">
        <v>424</v>
      </c>
      <c r="Q42" s="11">
        <v>181</v>
      </c>
      <c r="R42" s="11">
        <v>136</v>
      </c>
      <c r="S42" s="11">
        <v>104</v>
      </c>
      <c r="T42" s="11">
        <v>164</v>
      </c>
      <c r="U42" s="11">
        <v>104</v>
      </c>
      <c r="V42" s="11">
        <v>327</v>
      </c>
      <c r="W42" s="11">
        <v>173</v>
      </c>
      <c r="X42" s="11">
        <v>67</v>
      </c>
    </row>
    <row r="43" spans="1:24" x14ac:dyDescent="0.2">
      <c r="A43" s="6" t="s">
        <v>170</v>
      </c>
      <c r="B43" s="11">
        <v>180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10</v>
      </c>
      <c r="L43" s="11">
        <v>40</v>
      </c>
      <c r="M43" s="11">
        <v>0</v>
      </c>
      <c r="N43" s="11">
        <v>0</v>
      </c>
      <c r="O43" s="11">
        <v>0</v>
      </c>
      <c r="P43" s="11">
        <v>130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171</v>
      </c>
      <c r="B44" s="11">
        <v>462</v>
      </c>
      <c r="C44" s="11">
        <v>0</v>
      </c>
      <c r="D44" s="11">
        <v>0</v>
      </c>
      <c r="E44" s="11">
        <v>0</v>
      </c>
      <c r="F44" s="11">
        <v>0</v>
      </c>
      <c r="G44" s="11">
        <v>156</v>
      </c>
      <c r="H44" s="11">
        <v>0</v>
      </c>
      <c r="I44" s="11">
        <v>0</v>
      </c>
      <c r="J44" s="11">
        <v>26</v>
      </c>
      <c r="K44" s="11">
        <v>0</v>
      </c>
      <c r="L44" s="11">
        <v>0</v>
      </c>
      <c r="M44" s="11">
        <v>37</v>
      </c>
      <c r="N44" s="11">
        <v>0</v>
      </c>
      <c r="O44" s="11">
        <v>0</v>
      </c>
      <c r="P44" s="11">
        <v>0</v>
      </c>
      <c r="Q44" s="11">
        <v>39</v>
      </c>
      <c r="R44" s="11">
        <v>0</v>
      </c>
      <c r="S44" s="11">
        <v>117</v>
      </c>
      <c r="T44" s="11">
        <v>0</v>
      </c>
      <c r="U44" s="11">
        <v>0</v>
      </c>
      <c r="V44" s="11">
        <v>86</v>
      </c>
      <c r="W44" s="11">
        <v>0</v>
      </c>
      <c r="X44" s="11">
        <v>0</v>
      </c>
    </row>
    <row r="45" spans="1:24" x14ac:dyDescent="0.2">
      <c r="A45" s="6" t="s">
        <v>172</v>
      </c>
      <c r="B45" s="11">
        <v>4970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382</v>
      </c>
      <c r="K45" s="11">
        <v>710</v>
      </c>
      <c r="L45" s="11">
        <v>1045</v>
      </c>
      <c r="M45" s="11">
        <v>131</v>
      </c>
      <c r="N45" s="11">
        <v>0</v>
      </c>
      <c r="O45" s="11">
        <v>196</v>
      </c>
      <c r="P45" s="11">
        <v>1477</v>
      </c>
      <c r="Q45" s="11">
        <v>548</v>
      </c>
      <c r="R45" s="11">
        <v>0</v>
      </c>
      <c r="S45" s="11">
        <v>174</v>
      </c>
      <c r="T45" s="11">
        <v>0</v>
      </c>
      <c r="U45" s="11">
        <v>119</v>
      </c>
      <c r="V45" s="11">
        <v>102</v>
      </c>
      <c r="W45" s="11">
        <v>0</v>
      </c>
      <c r="X45" s="11">
        <v>88</v>
      </c>
    </row>
    <row r="46" spans="1:24" x14ac:dyDescent="0.2">
      <c r="A46" s="6" t="s">
        <v>173</v>
      </c>
      <c r="B46" s="11">
        <v>1500</v>
      </c>
      <c r="C46" s="11">
        <v>215</v>
      </c>
      <c r="D46" s="11">
        <v>214</v>
      </c>
      <c r="E46" s="11">
        <v>214</v>
      </c>
      <c r="F46" s="11">
        <v>214</v>
      </c>
      <c r="G46" s="11">
        <v>214</v>
      </c>
      <c r="H46" s="11">
        <v>215</v>
      </c>
      <c r="I46" s="11">
        <v>214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</row>
    <row r="47" spans="1:24" x14ac:dyDescent="0.2">
      <c r="A47" s="6" t="s">
        <v>174</v>
      </c>
      <c r="B47" s="11">
        <v>124937</v>
      </c>
      <c r="C47" s="11">
        <v>7500</v>
      </c>
      <c r="D47" s="11">
        <v>5000</v>
      </c>
      <c r="E47" s="11">
        <v>5000</v>
      </c>
      <c r="F47" s="11">
        <v>5100</v>
      </c>
      <c r="G47" s="11">
        <v>8400</v>
      </c>
      <c r="H47" s="11">
        <v>5000</v>
      </c>
      <c r="I47" s="11">
        <v>5000</v>
      </c>
      <c r="J47" s="11">
        <v>6000</v>
      </c>
      <c r="K47" s="11">
        <v>4300</v>
      </c>
      <c r="L47" s="11">
        <v>6500</v>
      </c>
      <c r="M47" s="11">
        <v>8000</v>
      </c>
      <c r="N47" s="11">
        <v>17000</v>
      </c>
      <c r="O47" s="11">
        <v>10000</v>
      </c>
      <c r="P47" s="11">
        <v>10000</v>
      </c>
      <c r="Q47" s="11">
        <v>5137</v>
      </c>
      <c r="R47" s="11">
        <v>7000</v>
      </c>
      <c r="S47" s="11">
        <v>2500</v>
      </c>
      <c r="T47" s="11">
        <v>2500</v>
      </c>
      <c r="U47" s="11">
        <v>1500</v>
      </c>
      <c r="V47" s="11">
        <v>3500</v>
      </c>
      <c r="W47" s="11">
        <v>0</v>
      </c>
      <c r="X47" s="11">
        <v>0</v>
      </c>
    </row>
    <row r="48" spans="1:24" x14ac:dyDescent="0.2">
      <c r="A48" s="6" t="s">
        <v>175</v>
      </c>
      <c r="B48" s="11">
        <v>121</v>
      </c>
      <c r="C48" s="11">
        <v>20</v>
      </c>
      <c r="D48" s="11">
        <v>11</v>
      </c>
      <c r="E48" s="11">
        <v>10</v>
      </c>
      <c r="F48" s="11">
        <v>13</v>
      </c>
      <c r="G48" s="11">
        <v>16</v>
      </c>
      <c r="H48" s="11">
        <v>14</v>
      </c>
      <c r="I48" s="11">
        <v>13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24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</row>
    <row r="49" spans="1:24" x14ac:dyDescent="0.2">
      <c r="A49" s="6" t="s">
        <v>176</v>
      </c>
      <c r="B49" s="11">
        <v>66827</v>
      </c>
      <c r="C49" s="11">
        <v>3850</v>
      </c>
      <c r="D49" s="11">
        <v>3850</v>
      </c>
      <c r="E49" s="11">
        <v>3500</v>
      </c>
      <c r="F49" s="11">
        <v>3850</v>
      </c>
      <c r="G49" s="11">
        <v>3850</v>
      </c>
      <c r="H49" s="11">
        <v>3850</v>
      </c>
      <c r="I49" s="11">
        <v>3850</v>
      </c>
      <c r="J49" s="11">
        <v>3950</v>
      </c>
      <c r="K49" s="11">
        <v>3950</v>
      </c>
      <c r="L49" s="11">
        <v>2150</v>
      </c>
      <c r="M49" s="11">
        <v>2900</v>
      </c>
      <c r="N49" s="11">
        <v>2800</v>
      </c>
      <c r="O49" s="11">
        <v>3250</v>
      </c>
      <c r="P49" s="11">
        <v>2500</v>
      </c>
      <c r="Q49" s="11">
        <v>3583</v>
      </c>
      <c r="R49" s="11">
        <v>3932</v>
      </c>
      <c r="S49" s="11">
        <v>2133</v>
      </c>
      <c r="T49" s="11">
        <v>2082</v>
      </c>
      <c r="U49" s="11">
        <v>2132</v>
      </c>
      <c r="V49" s="11">
        <v>2182</v>
      </c>
      <c r="W49" s="11">
        <v>2133</v>
      </c>
      <c r="X49" s="11">
        <v>550</v>
      </c>
    </row>
    <row r="50" spans="1:24" x14ac:dyDescent="0.2">
      <c r="A50" s="6" t="s">
        <v>177</v>
      </c>
      <c r="B50" s="14">
        <v>896331</v>
      </c>
      <c r="C50" s="14">
        <v>47677</v>
      </c>
      <c r="D50" s="14">
        <v>43592</v>
      </c>
      <c r="E50" s="14">
        <v>44141</v>
      </c>
      <c r="F50" s="14">
        <v>50315</v>
      </c>
      <c r="G50" s="14">
        <v>48668</v>
      </c>
      <c r="H50" s="14">
        <v>47784</v>
      </c>
      <c r="I50" s="14">
        <v>44571</v>
      </c>
      <c r="J50" s="14">
        <v>38065</v>
      </c>
      <c r="K50" s="14">
        <v>33413</v>
      </c>
      <c r="L50" s="14">
        <v>51808</v>
      </c>
      <c r="M50" s="14">
        <v>44911</v>
      </c>
      <c r="N50" s="14">
        <v>70899</v>
      </c>
      <c r="O50" s="14">
        <v>48160</v>
      </c>
      <c r="P50" s="14">
        <v>63406</v>
      </c>
      <c r="Q50" s="14">
        <v>50591</v>
      </c>
      <c r="R50" s="14">
        <v>54767</v>
      </c>
      <c r="S50" s="14">
        <v>26640</v>
      </c>
      <c r="T50" s="14">
        <v>19038</v>
      </c>
      <c r="U50" s="14">
        <v>18116</v>
      </c>
      <c r="V50" s="14">
        <v>29749</v>
      </c>
      <c r="W50" s="14">
        <v>9801</v>
      </c>
      <c r="X50" s="14">
        <v>10220</v>
      </c>
    </row>
    <row r="51" spans="1:24" x14ac:dyDescent="0.2">
      <c r="A51" s="4" t="s">
        <v>6</v>
      </c>
    </row>
    <row r="52" spans="1:24" x14ac:dyDescent="0.2">
      <c r="A52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6"/>
  <sheetViews>
    <sheetView workbookViewId="0"/>
  </sheetViews>
  <sheetFormatPr defaultColWidth="9.140625" defaultRowHeight="12.75" x14ac:dyDescent="0.2"/>
  <cols>
    <col min="1" max="1" width="32.28515625" style="3" customWidth="1"/>
    <col min="2" max="2" width="15" style="3" customWidth="1"/>
    <col min="3" max="3" width="16.140625" style="3" customWidth="1"/>
    <col min="4" max="4" width="18.85546875" style="3" customWidth="1"/>
    <col min="5" max="5" width="12.7109375" style="3" customWidth="1"/>
    <col min="6" max="6" width="26.28515625" style="3" customWidth="1"/>
    <col min="7" max="7" width="19.42578125" style="3" customWidth="1"/>
    <col min="8" max="8" width="18.7109375" style="3" customWidth="1"/>
    <col min="9" max="9" width="14.85546875" style="3" customWidth="1"/>
    <col min="10" max="10" width="15.5703125" style="3" customWidth="1"/>
    <col min="11" max="11" width="12.85546875" style="3" customWidth="1"/>
    <col min="12" max="12" width="20.7109375" style="3" customWidth="1"/>
    <col min="13" max="13" width="14.140625" style="3" customWidth="1"/>
    <col min="14" max="14" width="15.7109375" style="3" customWidth="1"/>
    <col min="15" max="15" width="20.7109375" style="3" customWidth="1"/>
    <col min="16" max="16" width="13.5703125" style="3" customWidth="1"/>
    <col min="17" max="17" width="15.5703125" style="3" customWidth="1"/>
    <col min="18" max="18" width="22.28515625" style="3" customWidth="1"/>
    <col min="19" max="19" width="17.42578125" style="3" customWidth="1"/>
    <col min="20" max="20" width="16.42578125" style="3" customWidth="1"/>
    <col min="21" max="21" width="13.5703125" style="3" customWidth="1"/>
    <col min="22" max="22" width="13.140625" style="3" customWidth="1"/>
    <col min="23" max="23" width="13.85546875" style="3" customWidth="1"/>
    <col min="24" max="24" width="14" style="3" customWidth="1"/>
    <col min="25" max="25" width="14.5703125" style="3" customWidth="1"/>
    <col min="26" max="26" width="9.140625" style="3" customWidth="1"/>
    <col min="27" max="16384" width="9.140625" style="3"/>
  </cols>
  <sheetData>
    <row r="1" spans="1:25" ht="18" x14ac:dyDescent="0.25">
      <c r="A1" s="5" t="s">
        <v>178</v>
      </c>
    </row>
    <row r="2" spans="1:25" ht="18" x14ac:dyDescent="0.25">
      <c r="A2" s="5" t="s">
        <v>179</v>
      </c>
    </row>
    <row r="3" spans="1:25" ht="18" x14ac:dyDescent="0.25">
      <c r="A3" s="5" t="s">
        <v>2</v>
      </c>
    </row>
    <row r="4" spans="1:25" x14ac:dyDescent="0.2">
      <c r="A4" s="6" t="s">
        <v>3</v>
      </c>
      <c r="B4" s="6" t="s">
        <v>4</v>
      </c>
    </row>
    <row r="5" spans="1:25" x14ac:dyDescent="0.2">
      <c r="A5" s="6" t="s">
        <v>5</v>
      </c>
      <c r="B5" s="6" t="s">
        <v>0</v>
      </c>
    </row>
    <row r="6" spans="1:25" x14ac:dyDescent="0.2">
      <c r="A6" s="4" t="s">
        <v>6</v>
      </c>
    </row>
    <row r="7" spans="1:25" x14ac:dyDescent="0.2">
      <c r="A7" s="6" t="s">
        <v>6</v>
      </c>
      <c r="B7" s="2" t="s">
        <v>6</v>
      </c>
      <c r="C7" s="2"/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  <c r="Y7" s="7" t="s">
        <v>28</v>
      </c>
    </row>
    <row r="8" spans="1:25" x14ac:dyDescent="0.2">
      <c r="A8" s="6" t="s">
        <v>6</v>
      </c>
      <c r="B8" s="2" t="s">
        <v>29</v>
      </c>
      <c r="C8" s="2"/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  <c r="Y8" s="7" t="s">
        <v>29</v>
      </c>
    </row>
    <row r="9" spans="1:25" x14ac:dyDescent="0.2">
      <c r="A9" s="6" t="s">
        <v>6</v>
      </c>
      <c r="B9" s="1" t="s">
        <v>4</v>
      </c>
      <c r="C9" s="1"/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  <c r="Y9" s="8" t="s">
        <v>4</v>
      </c>
    </row>
    <row r="10" spans="1:25" x14ac:dyDescent="0.2">
      <c r="A10" s="9" t="s">
        <v>6</v>
      </c>
      <c r="B10" s="10" t="s">
        <v>180</v>
      </c>
      <c r="C10" s="10" t="s">
        <v>181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  <c r="Y10" s="10" t="s">
        <v>30</v>
      </c>
    </row>
    <row r="11" spans="1:25" x14ac:dyDescent="0.2">
      <c r="A11" s="6" t="s">
        <v>182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</row>
    <row r="12" spans="1:25" x14ac:dyDescent="0.2">
      <c r="A12" s="6" t="s">
        <v>183</v>
      </c>
      <c r="B12" s="16">
        <v>2779</v>
      </c>
      <c r="C12" s="16">
        <v>89.65</v>
      </c>
      <c r="D12" s="16">
        <v>317</v>
      </c>
      <c r="E12" s="16">
        <v>142</v>
      </c>
      <c r="F12" s="16">
        <v>0</v>
      </c>
      <c r="G12" s="16">
        <v>81</v>
      </c>
      <c r="H12" s="16">
        <v>123</v>
      </c>
      <c r="I12" s="16">
        <v>31</v>
      </c>
      <c r="J12" s="16">
        <v>126</v>
      </c>
      <c r="K12" s="16">
        <v>288</v>
      </c>
      <c r="L12" s="16">
        <v>31</v>
      </c>
      <c r="M12" s="16">
        <v>210</v>
      </c>
      <c r="N12" s="16">
        <v>306</v>
      </c>
      <c r="O12" s="16">
        <v>166</v>
      </c>
      <c r="P12" s="16">
        <v>419</v>
      </c>
      <c r="Q12" s="16">
        <v>184</v>
      </c>
      <c r="R12" s="16">
        <v>169</v>
      </c>
      <c r="S12" s="16">
        <v>186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</row>
    <row r="13" spans="1:25" x14ac:dyDescent="0.2">
      <c r="A13" s="6" t="s">
        <v>184</v>
      </c>
      <c r="B13" s="16">
        <v>3367</v>
      </c>
      <c r="C13" s="16">
        <v>108.61</v>
      </c>
      <c r="D13" s="16">
        <v>197</v>
      </c>
      <c r="E13" s="16">
        <v>159</v>
      </c>
      <c r="F13" s="16">
        <v>628</v>
      </c>
      <c r="G13" s="16">
        <v>52</v>
      </c>
      <c r="H13" s="16">
        <v>214</v>
      </c>
      <c r="I13" s="16">
        <v>93</v>
      </c>
      <c r="J13" s="16">
        <v>163</v>
      </c>
      <c r="K13" s="16">
        <v>177</v>
      </c>
      <c r="L13" s="16">
        <v>179</v>
      </c>
      <c r="M13" s="16">
        <v>210</v>
      </c>
      <c r="N13" s="16">
        <v>31</v>
      </c>
      <c r="O13" s="16">
        <v>621</v>
      </c>
      <c r="P13" s="16">
        <v>160</v>
      </c>
      <c r="Q13" s="16">
        <v>109</v>
      </c>
      <c r="R13" s="16">
        <v>126</v>
      </c>
      <c r="S13" s="16">
        <v>248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</row>
    <row r="14" spans="1:25" x14ac:dyDescent="0.2">
      <c r="A14" s="6" t="s">
        <v>185</v>
      </c>
      <c r="B14" s="16">
        <v>1851</v>
      </c>
      <c r="C14" s="16">
        <v>59.71</v>
      </c>
      <c r="D14" s="16">
        <v>61</v>
      </c>
      <c r="E14" s="16">
        <v>39</v>
      </c>
      <c r="F14" s="16">
        <v>146</v>
      </c>
      <c r="G14" s="16">
        <v>19</v>
      </c>
      <c r="H14" s="16">
        <v>2</v>
      </c>
      <c r="I14" s="16">
        <v>14</v>
      </c>
      <c r="J14" s="16">
        <v>0</v>
      </c>
      <c r="K14" s="16">
        <v>136</v>
      </c>
      <c r="L14" s="16">
        <v>64</v>
      </c>
      <c r="M14" s="16">
        <v>192</v>
      </c>
      <c r="N14" s="16">
        <v>126</v>
      </c>
      <c r="O14" s="16">
        <v>239</v>
      </c>
      <c r="P14" s="16">
        <v>343</v>
      </c>
      <c r="Q14" s="16">
        <v>171</v>
      </c>
      <c r="R14" s="16">
        <v>113</v>
      </c>
      <c r="S14" s="16">
        <v>186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</row>
    <row r="15" spans="1:25" x14ac:dyDescent="0.2">
      <c r="A15" s="6" t="s">
        <v>186</v>
      </c>
      <c r="B15" s="16">
        <v>2059</v>
      </c>
      <c r="C15" s="16">
        <v>66.42</v>
      </c>
      <c r="D15" s="16">
        <v>226</v>
      </c>
      <c r="E15" s="16">
        <v>86</v>
      </c>
      <c r="F15" s="16">
        <v>-127</v>
      </c>
      <c r="G15" s="16">
        <v>154</v>
      </c>
      <c r="H15" s="16">
        <v>331</v>
      </c>
      <c r="I15" s="16">
        <v>154</v>
      </c>
      <c r="J15" s="16">
        <v>59</v>
      </c>
      <c r="K15" s="16">
        <v>-57</v>
      </c>
      <c r="L15" s="16">
        <v>0</v>
      </c>
      <c r="M15" s="16">
        <v>165</v>
      </c>
      <c r="N15" s="16">
        <v>238</v>
      </c>
      <c r="O15" s="16">
        <v>-23</v>
      </c>
      <c r="P15" s="16">
        <v>417</v>
      </c>
      <c r="Q15" s="16">
        <v>312</v>
      </c>
      <c r="R15" s="16">
        <v>124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</row>
    <row r="16" spans="1:25" x14ac:dyDescent="0.2">
      <c r="A16" s="6" t="s">
        <v>187</v>
      </c>
      <c r="B16" s="16">
        <v>1161</v>
      </c>
      <c r="C16" s="16">
        <v>37.450000000000003</v>
      </c>
      <c r="D16" s="16">
        <v>218</v>
      </c>
      <c r="E16" s="16">
        <v>144</v>
      </c>
      <c r="F16" s="16">
        <v>0</v>
      </c>
      <c r="G16" s="16">
        <v>25</v>
      </c>
      <c r="H16" s="16">
        <v>110</v>
      </c>
      <c r="I16" s="16">
        <v>56</v>
      </c>
      <c r="J16" s="16">
        <v>67</v>
      </c>
      <c r="K16" s="16">
        <v>48</v>
      </c>
      <c r="L16" s="16">
        <v>0</v>
      </c>
      <c r="M16" s="16">
        <v>78</v>
      </c>
      <c r="N16" s="16">
        <v>186</v>
      </c>
      <c r="O16" s="16">
        <v>33</v>
      </c>
      <c r="P16" s="16">
        <v>99</v>
      </c>
      <c r="Q16" s="16">
        <v>13</v>
      </c>
      <c r="R16" s="16">
        <v>13</v>
      </c>
      <c r="S16" s="16">
        <v>71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</row>
    <row r="17" spans="1:25" x14ac:dyDescent="0.2">
      <c r="A17" s="6" t="s">
        <v>188</v>
      </c>
      <c r="B17" s="16">
        <v>24</v>
      </c>
      <c r="C17" s="16">
        <v>0.77</v>
      </c>
      <c r="D17" s="16">
        <v>0</v>
      </c>
      <c r="E17" s="16">
        <v>0</v>
      </c>
      <c r="F17" s="16">
        <v>0</v>
      </c>
      <c r="G17" s="16">
        <v>0</v>
      </c>
      <c r="H17" s="16">
        <v>13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11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</row>
    <row r="18" spans="1:25" x14ac:dyDescent="0.2">
      <c r="A18" s="6" t="s">
        <v>189</v>
      </c>
      <c r="B18" s="16">
        <v>4326</v>
      </c>
      <c r="C18" s="16">
        <v>139.55000000000001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715</v>
      </c>
      <c r="U18" s="16">
        <v>966</v>
      </c>
      <c r="V18" s="16">
        <v>618</v>
      </c>
      <c r="W18" s="16">
        <v>1117</v>
      </c>
      <c r="X18" s="16">
        <v>910</v>
      </c>
      <c r="Y18" s="16">
        <v>0</v>
      </c>
    </row>
    <row r="19" spans="1:25" x14ac:dyDescent="0.2">
      <c r="A19" s="6" t="s">
        <v>190</v>
      </c>
      <c r="B19" s="16">
        <v>31</v>
      </c>
      <c r="C19" s="16">
        <v>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31</v>
      </c>
    </row>
    <row r="20" spans="1:25" x14ac:dyDescent="0.2">
      <c r="A20" s="6" t="s">
        <v>191</v>
      </c>
      <c r="B20" s="16">
        <v>11530</v>
      </c>
      <c r="C20" s="16">
        <v>371.94</v>
      </c>
      <c r="D20" s="16">
        <v>745</v>
      </c>
      <c r="E20" s="16">
        <v>456</v>
      </c>
      <c r="F20" s="16">
        <v>676</v>
      </c>
      <c r="G20" s="16">
        <v>693</v>
      </c>
      <c r="H20" s="16">
        <v>519</v>
      </c>
      <c r="I20" s="16">
        <v>695</v>
      </c>
      <c r="J20" s="16">
        <v>248</v>
      </c>
      <c r="K20" s="16">
        <v>559</v>
      </c>
      <c r="L20" s="16">
        <v>793</v>
      </c>
      <c r="M20" s="16">
        <v>401</v>
      </c>
      <c r="N20" s="16">
        <v>635</v>
      </c>
      <c r="O20" s="16">
        <v>2390</v>
      </c>
      <c r="P20" s="16">
        <v>668</v>
      </c>
      <c r="Q20" s="16">
        <v>1001</v>
      </c>
      <c r="R20" s="16">
        <v>483</v>
      </c>
      <c r="S20" s="16">
        <v>568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</row>
    <row r="21" spans="1:25" x14ac:dyDescent="0.2">
      <c r="A21" s="6" t="s">
        <v>192</v>
      </c>
      <c r="B21" s="16">
        <v>2248</v>
      </c>
      <c r="C21" s="16">
        <v>72.52</v>
      </c>
      <c r="D21" s="16">
        <v>124</v>
      </c>
      <c r="E21" s="16">
        <v>92</v>
      </c>
      <c r="F21" s="16">
        <v>155</v>
      </c>
      <c r="G21" s="16">
        <v>124</v>
      </c>
      <c r="H21" s="16">
        <v>39</v>
      </c>
      <c r="I21" s="16">
        <v>62</v>
      </c>
      <c r="J21" s="16">
        <v>124</v>
      </c>
      <c r="K21" s="16">
        <v>117</v>
      </c>
      <c r="L21" s="16">
        <v>0</v>
      </c>
      <c r="M21" s="16">
        <v>71</v>
      </c>
      <c r="N21" s="16">
        <v>0</v>
      </c>
      <c r="O21" s="16">
        <v>608</v>
      </c>
      <c r="P21" s="16">
        <v>0</v>
      </c>
      <c r="Q21" s="16">
        <v>274</v>
      </c>
      <c r="R21" s="16">
        <v>124</v>
      </c>
      <c r="S21" s="16">
        <v>334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</row>
    <row r="22" spans="1:25" x14ac:dyDescent="0.2">
      <c r="A22" s="6" t="s">
        <v>193</v>
      </c>
      <c r="B22" s="16">
        <v>219</v>
      </c>
      <c r="C22" s="16">
        <v>7.06</v>
      </c>
      <c r="D22" s="16">
        <v>0</v>
      </c>
      <c r="E22" s="16">
        <v>0</v>
      </c>
      <c r="F22" s="16">
        <v>0</v>
      </c>
      <c r="G22" s="16">
        <v>0</v>
      </c>
      <c r="H22" s="16">
        <v>107</v>
      </c>
      <c r="I22" s="16">
        <v>2</v>
      </c>
      <c r="J22" s="16">
        <v>65</v>
      </c>
      <c r="K22" s="16">
        <v>7</v>
      </c>
      <c r="L22" s="16">
        <v>0</v>
      </c>
      <c r="M22" s="16">
        <v>3</v>
      </c>
      <c r="N22" s="16">
        <v>0</v>
      </c>
      <c r="O22" s="16">
        <v>0</v>
      </c>
      <c r="P22" s="16">
        <v>8</v>
      </c>
      <c r="Q22" s="16">
        <v>16</v>
      </c>
      <c r="R22" s="16">
        <v>3</v>
      </c>
      <c r="S22" s="16">
        <v>8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</row>
    <row r="23" spans="1:25" x14ac:dyDescent="0.2">
      <c r="A23" s="6" t="s">
        <v>194</v>
      </c>
      <c r="B23" s="16">
        <v>-42</v>
      </c>
      <c r="C23" s="16">
        <v>-1.35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-42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</row>
    <row r="24" spans="1:25" x14ac:dyDescent="0.2">
      <c r="A24" s="6" t="s">
        <v>195</v>
      </c>
      <c r="B24" s="17">
        <v>29553</v>
      </c>
      <c r="C24" s="17">
        <v>953.32</v>
      </c>
      <c r="D24" s="17">
        <v>1888</v>
      </c>
      <c r="E24" s="17">
        <v>1118</v>
      </c>
      <c r="F24" s="17">
        <v>1478</v>
      </c>
      <c r="G24" s="17">
        <v>1148</v>
      </c>
      <c r="H24" s="17">
        <v>1458</v>
      </c>
      <c r="I24" s="17">
        <v>1107</v>
      </c>
      <c r="J24" s="17">
        <v>810</v>
      </c>
      <c r="K24" s="17">
        <v>1275</v>
      </c>
      <c r="L24" s="17">
        <v>1067</v>
      </c>
      <c r="M24" s="17">
        <v>1330</v>
      </c>
      <c r="N24" s="17">
        <v>1522</v>
      </c>
      <c r="O24" s="17">
        <v>4045</v>
      </c>
      <c r="P24" s="17">
        <v>2114</v>
      </c>
      <c r="Q24" s="17">
        <v>2080</v>
      </c>
      <c r="R24" s="17">
        <v>1155</v>
      </c>
      <c r="S24" s="17">
        <v>1601</v>
      </c>
      <c r="T24" s="17">
        <v>715</v>
      </c>
      <c r="U24" s="17">
        <v>966</v>
      </c>
      <c r="V24" s="17">
        <v>618</v>
      </c>
      <c r="W24" s="17">
        <v>1117</v>
      </c>
      <c r="X24" s="17">
        <v>910</v>
      </c>
      <c r="Y24" s="17">
        <v>31</v>
      </c>
    </row>
    <row r="25" spans="1:25" x14ac:dyDescent="0.2">
      <c r="A25" s="4" t="s">
        <v>6</v>
      </c>
    </row>
    <row r="26" spans="1:25" x14ac:dyDescent="0.2">
      <c r="A26" s="4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"/>
  <sheetViews>
    <sheetView workbookViewId="0"/>
  </sheetViews>
  <sheetFormatPr defaultColWidth="9.140625" defaultRowHeight="12.75" x14ac:dyDescent="0.2"/>
  <cols>
    <col min="1" max="1" width="37.85546875" style="3" customWidth="1"/>
    <col min="2" max="2" width="14.28515625" style="3" customWidth="1"/>
    <col min="3" max="3" width="13.140625" style="3" customWidth="1"/>
    <col min="4" max="4" width="18.85546875" style="3" customWidth="1"/>
    <col min="5" max="5" width="12.7109375" style="3" customWidth="1"/>
    <col min="6" max="6" width="26.28515625" style="3" customWidth="1"/>
    <col min="7" max="7" width="19.42578125" style="3" customWidth="1"/>
    <col min="8" max="8" width="18.7109375" style="3" customWidth="1"/>
    <col min="9" max="9" width="14.85546875" style="3" customWidth="1"/>
    <col min="10" max="10" width="15.5703125" style="3" customWidth="1"/>
    <col min="11" max="11" width="12.85546875" style="3" customWidth="1"/>
    <col min="12" max="12" width="20.7109375" style="3" customWidth="1"/>
    <col min="13" max="13" width="14.140625" style="3" customWidth="1"/>
    <col min="14" max="14" width="15.7109375" style="3" customWidth="1"/>
    <col min="15" max="15" width="20.7109375" style="3" customWidth="1"/>
    <col min="16" max="16" width="13.5703125" style="3" customWidth="1"/>
    <col min="17" max="17" width="15.5703125" style="3" customWidth="1"/>
    <col min="18" max="18" width="22.28515625" style="3" customWidth="1"/>
    <col min="19" max="19" width="17.42578125" style="3" customWidth="1"/>
    <col min="20" max="20" width="16.42578125" style="3" customWidth="1"/>
    <col min="21" max="21" width="13.5703125" style="3" customWidth="1"/>
    <col min="22" max="22" width="13.140625" style="3" customWidth="1"/>
    <col min="23" max="23" width="13.85546875" style="3" customWidth="1"/>
    <col min="24" max="24" width="14" style="3" customWidth="1"/>
    <col min="25" max="25" width="14.5703125" style="3" customWidth="1"/>
    <col min="26" max="26" width="9.140625" style="3" customWidth="1"/>
    <col min="27" max="16384" width="9.140625" style="3"/>
  </cols>
  <sheetData>
    <row r="1" spans="1:25" ht="18" x14ac:dyDescent="0.25">
      <c r="A1" s="5" t="s">
        <v>178</v>
      </c>
    </row>
    <row r="2" spans="1:25" ht="18" x14ac:dyDescent="0.25">
      <c r="A2" s="5" t="s">
        <v>196</v>
      </c>
    </row>
    <row r="3" spans="1:25" ht="18" x14ac:dyDescent="0.25">
      <c r="A3" s="5" t="s">
        <v>2</v>
      </c>
    </row>
    <row r="4" spans="1:25" x14ac:dyDescent="0.2">
      <c r="A4" s="6" t="s">
        <v>3</v>
      </c>
      <c r="B4" s="6" t="s">
        <v>4</v>
      </c>
    </row>
    <row r="5" spans="1:25" x14ac:dyDescent="0.2">
      <c r="A5" s="6" t="s">
        <v>5</v>
      </c>
      <c r="B5" s="6" t="s">
        <v>0</v>
      </c>
    </row>
    <row r="6" spans="1:25" x14ac:dyDescent="0.2">
      <c r="A6" s="4" t="s">
        <v>6</v>
      </c>
    </row>
    <row r="7" spans="1:25" x14ac:dyDescent="0.2">
      <c r="A7" s="6" t="s">
        <v>6</v>
      </c>
      <c r="B7" s="2" t="s">
        <v>6</v>
      </c>
      <c r="C7" s="2"/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  <c r="Y7" s="7" t="s">
        <v>28</v>
      </c>
    </row>
    <row r="8" spans="1:25" x14ac:dyDescent="0.2">
      <c r="A8" s="6" t="s">
        <v>6</v>
      </c>
      <c r="B8" s="2" t="s">
        <v>29</v>
      </c>
      <c r="C8" s="2"/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  <c r="Y8" s="7" t="s">
        <v>29</v>
      </c>
    </row>
    <row r="9" spans="1:25" x14ac:dyDescent="0.2">
      <c r="A9" s="6" t="s">
        <v>6</v>
      </c>
      <c r="B9" s="1" t="s">
        <v>4</v>
      </c>
      <c r="C9" s="1"/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  <c r="Y9" s="8" t="s">
        <v>4</v>
      </c>
    </row>
    <row r="10" spans="1:25" x14ac:dyDescent="0.2">
      <c r="A10" s="9" t="s">
        <v>6</v>
      </c>
      <c r="B10" s="10" t="s">
        <v>30</v>
      </c>
      <c r="C10" s="10" t="s">
        <v>197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  <c r="Y10" s="10" t="s">
        <v>30</v>
      </c>
    </row>
    <row r="11" spans="1:25" x14ac:dyDescent="0.2">
      <c r="A11" s="6" t="s">
        <v>198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</row>
    <row r="12" spans="1:25" x14ac:dyDescent="0.2">
      <c r="A12" s="6" t="s">
        <v>199</v>
      </c>
      <c r="B12" s="11">
        <v>667506</v>
      </c>
      <c r="C12" s="16">
        <v>240.2</v>
      </c>
      <c r="D12" s="11">
        <v>75345</v>
      </c>
      <c r="E12" s="11">
        <v>32725</v>
      </c>
      <c r="F12" s="11">
        <v>0</v>
      </c>
      <c r="G12" s="11">
        <v>16795</v>
      </c>
      <c r="H12" s="11">
        <v>31890</v>
      </c>
      <c r="I12" s="11">
        <v>6665</v>
      </c>
      <c r="J12" s="11">
        <v>31460</v>
      </c>
      <c r="K12" s="11">
        <v>65600</v>
      </c>
      <c r="L12" s="11">
        <v>6975</v>
      </c>
      <c r="M12" s="11">
        <v>49825</v>
      </c>
      <c r="N12" s="11">
        <v>71310</v>
      </c>
      <c r="O12" s="11">
        <v>35970</v>
      </c>
      <c r="P12" s="11">
        <v>98920</v>
      </c>
      <c r="Q12" s="11">
        <v>43690</v>
      </c>
      <c r="R12" s="11">
        <v>48411</v>
      </c>
      <c r="S12" s="11">
        <v>51925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</row>
    <row r="13" spans="1:25" x14ac:dyDescent="0.2">
      <c r="A13" s="6" t="s">
        <v>200</v>
      </c>
      <c r="B13" s="18">
        <v>1462901</v>
      </c>
      <c r="C13" s="19">
        <v>201.03</v>
      </c>
      <c r="D13" s="18">
        <v>89138</v>
      </c>
      <c r="E13" s="18">
        <v>58904</v>
      </c>
      <c r="F13" s="18">
        <v>122141</v>
      </c>
      <c r="G13" s="18">
        <v>46231</v>
      </c>
      <c r="H13" s="18">
        <v>121620</v>
      </c>
      <c r="I13" s="18">
        <v>51414</v>
      </c>
      <c r="J13" s="18">
        <v>44795</v>
      </c>
      <c r="K13" s="18">
        <v>46093</v>
      </c>
      <c r="L13" s="18">
        <v>49536</v>
      </c>
      <c r="M13" s="18">
        <v>112997</v>
      </c>
      <c r="N13" s="18">
        <v>82286</v>
      </c>
      <c r="O13" s="18">
        <v>165307</v>
      </c>
      <c r="P13" s="18">
        <v>185978</v>
      </c>
      <c r="Q13" s="18">
        <v>127731</v>
      </c>
      <c r="R13" s="18">
        <v>70419</v>
      </c>
      <c r="S13" s="18">
        <v>88310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</row>
    <row r="14" spans="1:25" x14ac:dyDescent="0.2">
      <c r="A14" s="6" t="s">
        <v>201</v>
      </c>
      <c r="B14" s="12">
        <v>700505</v>
      </c>
      <c r="C14" s="20">
        <v>603.36</v>
      </c>
      <c r="D14" s="12">
        <v>126608</v>
      </c>
      <c r="E14" s="12">
        <v>87391</v>
      </c>
      <c r="F14" s="12">
        <v>0</v>
      </c>
      <c r="G14" s="12">
        <v>16215</v>
      </c>
      <c r="H14" s="12">
        <v>64912</v>
      </c>
      <c r="I14" s="12">
        <v>33205</v>
      </c>
      <c r="J14" s="12">
        <v>40850</v>
      </c>
      <c r="K14" s="12">
        <v>29419</v>
      </c>
      <c r="L14" s="12">
        <v>0</v>
      </c>
      <c r="M14" s="12">
        <v>49835</v>
      </c>
      <c r="N14" s="12">
        <v>105877</v>
      </c>
      <c r="O14" s="12">
        <v>23451</v>
      </c>
      <c r="P14" s="12">
        <v>53962</v>
      </c>
      <c r="Q14" s="12">
        <v>9170</v>
      </c>
      <c r="R14" s="12">
        <v>10403</v>
      </c>
      <c r="S14" s="12">
        <v>49209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</row>
    <row r="15" spans="1:25" x14ac:dyDescent="0.2">
      <c r="A15" s="6" t="s">
        <v>202</v>
      </c>
      <c r="B15" s="11">
        <v>10791</v>
      </c>
      <c r="C15" s="16">
        <v>449.62</v>
      </c>
      <c r="D15" s="11">
        <v>-108</v>
      </c>
      <c r="E15" s="11">
        <v>-151</v>
      </c>
      <c r="F15" s="11">
        <v>0</v>
      </c>
      <c r="G15" s="11">
        <v>0</v>
      </c>
      <c r="H15" s="11">
        <v>8247</v>
      </c>
      <c r="I15" s="11">
        <v>0</v>
      </c>
      <c r="J15" s="11">
        <v>-80</v>
      </c>
      <c r="K15" s="11">
        <v>-83</v>
      </c>
      <c r="L15" s="11">
        <v>0</v>
      </c>
      <c r="M15" s="11">
        <v>-15</v>
      </c>
      <c r="N15" s="11">
        <v>-10</v>
      </c>
      <c r="O15" s="11">
        <v>3244</v>
      </c>
      <c r="P15" s="11">
        <v>-20</v>
      </c>
      <c r="Q15" s="11">
        <v>-234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</row>
    <row r="16" spans="1:25" x14ac:dyDescent="0.2">
      <c r="A16" s="6" t="s">
        <v>203</v>
      </c>
      <c r="B16" s="11">
        <v>97868</v>
      </c>
      <c r="C16" s="16">
        <v>0</v>
      </c>
      <c r="D16" s="11">
        <v>8453</v>
      </c>
      <c r="E16" s="11">
        <v>9311</v>
      </c>
      <c r="F16" s="11">
        <v>0</v>
      </c>
      <c r="G16" s="11">
        <v>9725</v>
      </c>
      <c r="H16" s="11">
        <v>3488</v>
      </c>
      <c r="I16" s="11">
        <v>10218</v>
      </c>
      <c r="J16" s="11">
        <v>5196</v>
      </c>
      <c r="K16" s="11">
        <v>6739</v>
      </c>
      <c r="L16" s="11">
        <v>0</v>
      </c>
      <c r="M16" s="11">
        <v>2848</v>
      </c>
      <c r="N16" s="11">
        <v>435</v>
      </c>
      <c r="O16" s="11">
        <v>7247</v>
      </c>
      <c r="P16" s="11">
        <v>3123</v>
      </c>
      <c r="Q16" s="11">
        <v>19191</v>
      </c>
      <c r="R16" s="11">
        <v>7193</v>
      </c>
      <c r="S16" s="11">
        <v>4700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</row>
    <row r="17" spans="1:25" x14ac:dyDescent="0.2">
      <c r="A17" s="6" t="s">
        <v>204</v>
      </c>
      <c r="B17" s="11">
        <v>536513</v>
      </c>
      <c r="C17" s="16">
        <v>124.02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125175</v>
      </c>
      <c r="U17" s="11">
        <v>111193</v>
      </c>
      <c r="V17" s="11">
        <v>62344</v>
      </c>
      <c r="W17" s="11">
        <v>159413</v>
      </c>
      <c r="X17" s="11">
        <v>78388</v>
      </c>
      <c r="Y17" s="11">
        <v>0</v>
      </c>
    </row>
    <row r="18" spans="1:25" x14ac:dyDescent="0.2">
      <c r="A18" s="6" t="s">
        <v>205</v>
      </c>
      <c r="B18" s="11">
        <v>1297</v>
      </c>
      <c r="C18" s="16">
        <v>41.82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1296</v>
      </c>
    </row>
    <row r="19" spans="1:25" x14ac:dyDescent="0.2">
      <c r="A19" s="6" t="s">
        <v>206</v>
      </c>
      <c r="B19" s="18">
        <v>2756719</v>
      </c>
      <c r="C19" s="19">
        <v>200.08</v>
      </c>
      <c r="D19" s="18">
        <v>160044</v>
      </c>
      <c r="E19" s="18">
        <v>113661</v>
      </c>
      <c r="F19" s="18">
        <v>156876</v>
      </c>
      <c r="G19" s="18">
        <v>167869</v>
      </c>
      <c r="H19" s="18">
        <v>124066</v>
      </c>
      <c r="I19" s="18">
        <v>149122</v>
      </c>
      <c r="J19" s="18">
        <v>75063</v>
      </c>
      <c r="K19" s="18">
        <v>121714</v>
      </c>
      <c r="L19" s="18">
        <v>161653</v>
      </c>
      <c r="M19" s="18">
        <v>94065</v>
      </c>
      <c r="N19" s="18">
        <v>132283</v>
      </c>
      <c r="O19" s="18">
        <v>587100</v>
      </c>
      <c r="P19" s="18">
        <v>135037</v>
      </c>
      <c r="Q19" s="18">
        <v>276879</v>
      </c>
      <c r="R19" s="18">
        <v>117752</v>
      </c>
      <c r="S19" s="18">
        <v>183539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</row>
    <row r="20" spans="1:25" x14ac:dyDescent="0.2">
      <c r="A20" s="6" t="s">
        <v>207</v>
      </c>
      <c r="B20" s="13">
        <v>117712</v>
      </c>
      <c r="C20" s="21">
        <v>117888.73</v>
      </c>
      <c r="D20" s="13">
        <v>106</v>
      </c>
      <c r="E20" s="13">
        <v>0</v>
      </c>
      <c r="F20" s="13">
        <v>0</v>
      </c>
      <c r="G20" s="13">
        <v>0</v>
      </c>
      <c r="H20" s="13">
        <v>67513</v>
      </c>
      <c r="I20" s="13">
        <v>1123</v>
      </c>
      <c r="J20" s="13">
        <v>24669</v>
      </c>
      <c r="K20" s="13">
        <v>3886</v>
      </c>
      <c r="L20" s="13">
        <v>0</v>
      </c>
      <c r="M20" s="13">
        <v>2363</v>
      </c>
      <c r="N20" s="13">
        <v>0</v>
      </c>
      <c r="O20" s="13">
        <v>0</v>
      </c>
      <c r="P20" s="13">
        <v>5888</v>
      </c>
      <c r="Q20" s="13">
        <v>3586</v>
      </c>
      <c r="R20" s="13">
        <v>2657</v>
      </c>
      <c r="S20" s="13">
        <v>5918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</row>
    <row r="21" spans="1:25" x14ac:dyDescent="0.2">
      <c r="A21" s="6" t="s">
        <v>208</v>
      </c>
      <c r="B21" s="14">
        <v>6351812</v>
      </c>
      <c r="C21" s="17">
        <v>214.93</v>
      </c>
      <c r="D21" s="14">
        <v>459586</v>
      </c>
      <c r="E21" s="14">
        <v>301841</v>
      </c>
      <c r="F21" s="14">
        <v>279017</v>
      </c>
      <c r="G21" s="14">
        <v>256835</v>
      </c>
      <c r="H21" s="14">
        <v>421736</v>
      </c>
      <c r="I21" s="14">
        <v>251747</v>
      </c>
      <c r="J21" s="14">
        <v>221953</v>
      </c>
      <c r="K21" s="14">
        <v>273368</v>
      </c>
      <c r="L21" s="14">
        <v>218164</v>
      </c>
      <c r="M21" s="14">
        <v>311918</v>
      </c>
      <c r="N21" s="14">
        <v>392181</v>
      </c>
      <c r="O21" s="14">
        <v>822319</v>
      </c>
      <c r="P21" s="14">
        <v>482888</v>
      </c>
      <c r="Q21" s="14">
        <v>480013</v>
      </c>
      <c r="R21" s="14">
        <v>256835</v>
      </c>
      <c r="S21" s="14">
        <v>383601</v>
      </c>
      <c r="T21" s="14">
        <v>125175</v>
      </c>
      <c r="U21" s="14">
        <v>111193</v>
      </c>
      <c r="V21" s="14">
        <v>62344</v>
      </c>
      <c r="W21" s="14">
        <v>159413</v>
      </c>
      <c r="X21" s="14">
        <v>78388</v>
      </c>
      <c r="Y21" s="14">
        <v>1296</v>
      </c>
    </row>
    <row r="22" spans="1:25" x14ac:dyDescent="0.2">
      <c r="A22" s="4" t="s">
        <v>6</v>
      </c>
    </row>
    <row r="23" spans="1:25" x14ac:dyDescent="0.2">
      <c r="A23" s="4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9"/>
  <sheetViews>
    <sheetView workbookViewId="0"/>
  </sheetViews>
  <sheetFormatPr defaultColWidth="9.140625" defaultRowHeight="12.75" x14ac:dyDescent="0.2"/>
  <cols>
    <col min="1" max="1" width="48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3.5703125" style="3" customWidth="1"/>
    <col min="20" max="20" width="9.140625" style="3" customWidth="1"/>
    <col min="21" max="16384" width="9.140625" style="3"/>
  </cols>
  <sheetData>
    <row r="1" spans="1:19" ht="18" x14ac:dyDescent="0.25">
      <c r="A1" s="5" t="s">
        <v>0</v>
      </c>
    </row>
    <row r="2" spans="1:19" ht="18" x14ac:dyDescent="0.25">
      <c r="A2" s="5" t="s">
        <v>209</v>
      </c>
    </row>
    <row r="3" spans="1:19" ht="18" x14ac:dyDescent="0.25">
      <c r="A3" s="5" t="s">
        <v>2</v>
      </c>
    </row>
    <row r="4" spans="1:19" x14ac:dyDescent="0.2">
      <c r="A4" s="6" t="s">
        <v>3</v>
      </c>
      <c r="B4" s="6" t="s">
        <v>4</v>
      </c>
    </row>
    <row r="5" spans="1:19" x14ac:dyDescent="0.2">
      <c r="A5" s="6" t="s">
        <v>5</v>
      </c>
      <c r="B5" s="6" t="s">
        <v>0</v>
      </c>
    </row>
    <row r="6" spans="1:19" x14ac:dyDescent="0.2">
      <c r="A6" s="4" t="s">
        <v>6</v>
      </c>
    </row>
    <row r="7" spans="1:19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24</v>
      </c>
    </row>
    <row r="8" spans="1:19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</row>
    <row r="9" spans="1:19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</row>
    <row r="10" spans="1:19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</row>
    <row r="11" spans="1:19" x14ac:dyDescent="0.2">
      <c r="A11" s="6" t="s">
        <v>210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</row>
    <row r="12" spans="1:19" x14ac:dyDescent="0.2">
      <c r="A12" s="6" t="s">
        <v>211</v>
      </c>
      <c r="B12" s="11">
        <v>2424</v>
      </c>
      <c r="C12" s="11">
        <v>260</v>
      </c>
      <c r="D12" s="11">
        <v>0</v>
      </c>
      <c r="E12" s="11">
        <v>0</v>
      </c>
      <c r="F12" s="11">
        <v>129</v>
      </c>
      <c r="G12" s="11">
        <v>0</v>
      </c>
      <c r="H12" s="11">
        <v>651</v>
      </c>
      <c r="I12" s="11">
        <v>223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621</v>
      </c>
      <c r="Q12" s="11">
        <v>430</v>
      </c>
      <c r="R12" s="11">
        <v>110</v>
      </c>
      <c r="S12" s="11">
        <v>0</v>
      </c>
    </row>
    <row r="13" spans="1:19" x14ac:dyDescent="0.2">
      <c r="A13" s="6" t="s">
        <v>212</v>
      </c>
      <c r="B13" s="11">
        <v>70344</v>
      </c>
      <c r="C13" s="11">
        <v>13516</v>
      </c>
      <c r="D13" s="11">
        <v>8928</v>
      </c>
      <c r="E13" s="11">
        <v>0</v>
      </c>
      <c r="F13" s="11">
        <v>1240</v>
      </c>
      <c r="G13" s="11">
        <v>6758</v>
      </c>
      <c r="H13" s="11">
        <v>3348</v>
      </c>
      <c r="I13" s="11">
        <v>4154</v>
      </c>
      <c r="J13" s="11">
        <v>2700</v>
      </c>
      <c r="K13" s="11">
        <v>0</v>
      </c>
      <c r="L13" s="11">
        <v>4680</v>
      </c>
      <c r="M13" s="11">
        <v>11100</v>
      </c>
      <c r="N13" s="11">
        <v>1980</v>
      </c>
      <c r="O13" s="11">
        <v>5940</v>
      </c>
      <c r="P13" s="11">
        <v>780</v>
      </c>
      <c r="Q13" s="11">
        <v>960</v>
      </c>
      <c r="R13" s="11">
        <v>4260</v>
      </c>
      <c r="S13" s="11">
        <v>0</v>
      </c>
    </row>
    <row r="14" spans="1:19" x14ac:dyDescent="0.2">
      <c r="A14" s="6" t="s">
        <v>213</v>
      </c>
      <c r="B14" s="11">
        <v>10932</v>
      </c>
      <c r="C14" s="11">
        <v>0</v>
      </c>
      <c r="D14" s="11">
        <v>0</v>
      </c>
      <c r="E14" s="11">
        <v>0</v>
      </c>
      <c r="F14" s="11">
        <v>0</v>
      </c>
      <c r="G14" s="11">
        <v>6426</v>
      </c>
      <c r="H14" s="11">
        <v>124</v>
      </c>
      <c r="I14" s="11">
        <v>1318</v>
      </c>
      <c r="J14" s="11">
        <v>420</v>
      </c>
      <c r="K14" s="11">
        <v>0</v>
      </c>
      <c r="L14" s="11">
        <v>180</v>
      </c>
      <c r="M14" s="11">
        <v>0</v>
      </c>
      <c r="N14" s="11">
        <v>544</v>
      </c>
      <c r="O14" s="11">
        <v>480</v>
      </c>
      <c r="P14" s="11">
        <v>960</v>
      </c>
      <c r="Q14" s="11">
        <v>0</v>
      </c>
      <c r="R14" s="11">
        <v>480</v>
      </c>
      <c r="S14" s="11">
        <v>0</v>
      </c>
    </row>
    <row r="15" spans="1:19" x14ac:dyDescent="0.2">
      <c r="A15" s="6" t="s">
        <v>214</v>
      </c>
      <c r="B15" s="11">
        <v>90763</v>
      </c>
      <c r="C15" s="11">
        <v>7291</v>
      </c>
      <c r="D15" s="11">
        <v>8231</v>
      </c>
      <c r="E15" s="11">
        <v>0</v>
      </c>
      <c r="F15" s="11">
        <v>8891</v>
      </c>
      <c r="G15" s="11">
        <v>3072</v>
      </c>
      <c r="H15" s="11">
        <v>8765</v>
      </c>
      <c r="I15" s="11">
        <v>5743</v>
      </c>
      <c r="J15" s="11">
        <v>5745</v>
      </c>
      <c r="K15" s="11">
        <v>0</v>
      </c>
      <c r="L15" s="11">
        <v>2335</v>
      </c>
      <c r="M15" s="11">
        <v>1458</v>
      </c>
      <c r="N15" s="11">
        <v>7184</v>
      </c>
      <c r="O15" s="11">
        <v>2702</v>
      </c>
      <c r="P15" s="11">
        <v>17598</v>
      </c>
      <c r="Q15" s="11">
        <v>5791</v>
      </c>
      <c r="R15" s="11">
        <v>5956</v>
      </c>
      <c r="S15" s="11">
        <v>0</v>
      </c>
    </row>
    <row r="16" spans="1:19" x14ac:dyDescent="0.2">
      <c r="A16" s="6" t="s">
        <v>215</v>
      </c>
      <c r="B16" s="18">
        <v>105578</v>
      </c>
      <c r="C16" s="18">
        <v>12655</v>
      </c>
      <c r="D16" s="18">
        <v>14626</v>
      </c>
      <c r="E16" s="18">
        <v>196</v>
      </c>
      <c r="F16" s="18">
        <v>3778</v>
      </c>
      <c r="G16" s="18">
        <v>9999</v>
      </c>
      <c r="H16" s="18">
        <v>1044</v>
      </c>
      <c r="I16" s="18">
        <v>4191</v>
      </c>
      <c r="J16" s="18">
        <v>5610</v>
      </c>
      <c r="K16" s="18">
        <v>162</v>
      </c>
      <c r="L16" s="18">
        <v>1390</v>
      </c>
      <c r="M16" s="18">
        <v>8176</v>
      </c>
      <c r="N16" s="18">
        <v>11547</v>
      </c>
      <c r="O16" s="18">
        <v>7503</v>
      </c>
      <c r="P16" s="18">
        <v>6990</v>
      </c>
      <c r="Q16" s="18">
        <v>9515</v>
      </c>
      <c r="R16" s="18">
        <v>7911</v>
      </c>
      <c r="S16" s="18">
        <v>285</v>
      </c>
    </row>
    <row r="17" spans="1:19" x14ac:dyDescent="0.2">
      <c r="A17" s="6" t="s">
        <v>216</v>
      </c>
      <c r="B17" s="14">
        <v>280041</v>
      </c>
      <c r="C17" s="14">
        <v>33722</v>
      </c>
      <c r="D17" s="14">
        <v>31785</v>
      </c>
      <c r="E17" s="14">
        <v>196</v>
      </c>
      <c r="F17" s="14">
        <v>14038</v>
      </c>
      <c r="G17" s="14">
        <v>26255</v>
      </c>
      <c r="H17" s="14">
        <v>13932</v>
      </c>
      <c r="I17" s="14">
        <v>15629</v>
      </c>
      <c r="J17" s="14">
        <v>14475</v>
      </c>
      <c r="K17" s="14">
        <v>162</v>
      </c>
      <c r="L17" s="14">
        <v>8585</v>
      </c>
      <c r="M17" s="14">
        <v>20734</v>
      </c>
      <c r="N17" s="14">
        <v>21255</v>
      </c>
      <c r="O17" s="14">
        <v>16625</v>
      </c>
      <c r="P17" s="14">
        <v>26949</v>
      </c>
      <c r="Q17" s="14">
        <v>16696</v>
      </c>
      <c r="R17" s="14">
        <v>18717</v>
      </c>
      <c r="S17" s="14">
        <v>285</v>
      </c>
    </row>
    <row r="18" spans="1:19" x14ac:dyDescent="0.2">
      <c r="A18" s="4" t="s">
        <v>6</v>
      </c>
    </row>
    <row r="19" spans="1:19" x14ac:dyDescent="0.2">
      <c r="A19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4"/>
  <sheetViews>
    <sheetView workbookViewId="0"/>
  </sheetViews>
  <sheetFormatPr defaultColWidth="9.140625" defaultRowHeight="12.75" x14ac:dyDescent="0.2"/>
  <cols>
    <col min="1" max="1" width="48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3.5703125" style="3" customWidth="1"/>
    <col min="20" max="20" width="9.140625" style="3" customWidth="1"/>
    <col min="21" max="16384" width="9.140625" style="3"/>
  </cols>
  <sheetData>
    <row r="1" spans="1:19" ht="18" x14ac:dyDescent="0.25">
      <c r="A1" s="5" t="s">
        <v>0</v>
      </c>
    </row>
    <row r="2" spans="1:19" ht="18" x14ac:dyDescent="0.25">
      <c r="A2" s="5" t="s">
        <v>217</v>
      </c>
    </row>
    <row r="3" spans="1:19" ht="18" x14ac:dyDescent="0.25">
      <c r="A3" s="5" t="s">
        <v>2</v>
      </c>
    </row>
    <row r="4" spans="1:19" x14ac:dyDescent="0.2">
      <c r="A4" s="6" t="s">
        <v>3</v>
      </c>
      <c r="B4" s="6" t="s">
        <v>4</v>
      </c>
    </row>
    <row r="5" spans="1:19" x14ac:dyDescent="0.2">
      <c r="A5" s="6" t="s">
        <v>5</v>
      </c>
      <c r="B5" s="6" t="s">
        <v>0</v>
      </c>
    </row>
    <row r="6" spans="1:19" x14ac:dyDescent="0.2">
      <c r="A6" s="4" t="s">
        <v>6</v>
      </c>
    </row>
    <row r="7" spans="1:19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24</v>
      </c>
    </row>
    <row r="8" spans="1:19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</row>
    <row r="9" spans="1:19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</row>
    <row r="10" spans="1:19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</row>
    <row r="11" spans="1:19" x14ac:dyDescent="0.2">
      <c r="A11" s="6" t="s">
        <v>210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</row>
    <row r="12" spans="1:19" x14ac:dyDescent="0.2">
      <c r="A12" s="6" t="s">
        <v>211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</row>
    <row r="13" spans="1:19" x14ac:dyDescent="0.2">
      <c r="A13" s="6" t="s">
        <v>218</v>
      </c>
      <c r="B13" s="11">
        <v>1240</v>
      </c>
      <c r="C13" s="11">
        <v>0</v>
      </c>
      <c r="D13" s="11">
        <v>0</v>
      </c>
      <c r="E13" s="11">
        <v>0</v>
      </c>
      <c r="F13" s="11">
        <v>40</v>
      </c>
      <c r="G13" s="11">
        <v>0</v>
      </c>
      <c r="H13" s="11">
        <v>627</v>
      </c>
      <c r="I13" s="11">
        <v>134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215</v>
      </c>
      <c r="Q13" s="11">
        <v>225</v>
      </c>
      <c r="R13" s="11">
        <v>0</v>
      </c>
      <c r="S13" s="11">
        <v>0</v>
      </c>
    </row>
    <row r="14" spans="1:19" x14ac:dyDescent="0.2">
      <c r="A14" s="6" t="s">
        <v>219</v>
      </c>
      <c r="B14" s="11">
        <v>1124</v>
      </c>
      <c r="C14" s="11">
        <v>260</v>
      </c>
      <c r="D14" s="11">
        <v>0</v>
      </c>
      <c r="E14" s="11">
        <v>0</v>
      </c>
      <c r="F14" s="11">
        <v>89</v>
      </c>
      <c r="G14" s="11">
        <v>0</v>
      </c>
      <c r="H14" s="11">
        <v>24</v>
      </c>
      <c r="I14" s="11">
        <v>89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406</v>
      </c>
      <c r="Q14" s="11">
        <v>145</v>
      </c>
      <c r="R14" s="11">
        <v>110</v>
      </c>
      <c r="S14" s="11">
        <v>0</v>
      </c>
    </row>
    <row r="15" spans="1:19" x14ac:dyDescent="0.2">
      <c r="A15" s="6" t="s">
        <v>220</v>
      </c>
      <c r="B15" s="11">
        <v>60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60</v>
      </c>
      <c r="R15" s="11">
        <v>0</v>
      </c>
      <c r="S15" s="11">
        <v>0</v>
      </c>
    </row>
    <row r="16" spans="1:19" x14ac:dyDescent="0.2">
      <c r="A16" s="6" t="s">
        <v>221</v>
      </c>
      <c r="B16" s="13">
        <v>2424</v>
      </c>
      <c r="C16" s="13">
        <v>260</v>
      </c>
      <c r="D16" s="13">
        <v>0</v>
      </c>
      <c r="E16" s="13">
        <v>0</v>
      </c>
      <c r="F16" s="13">
        <v>129</v>
      </c>
      <c r="G16" s="13">
        <v>0</v>
      </c>
      <c r="H16" s="13">
        <v>651</v>
      </c>
      <c r="I16" s="13">
        <v>223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621</v>
      </c>
      <c r="Q16" s="13">
        <v>430</v>
      </c>
      <c r="R16" s="13">
        <v>110</v>
      </c>
      <c r="S16" s="13">
        <v>0</v>
      </c>
    </row>
    <row r="17" spans="1:19" x14ac:dyDescent="0.2">
      <c r="A17" s="6" t="s">
        <v>212</v>
      </c>
      <c r="B17" s="15" t="s">
        <v>70</v>
      </c>
      <c r="C17" s="15" t="s">
        <v>70</v>
      </c>
      <c r="D17" s="15" t="s">
        <v>70</v>
      </c>
      <c r="E17" s="15" t="s">
        <v>70</v>
      </c>
      <c r="F17" s="15" t="s">
        <v>70</v>
      </c>
      <c r="G17" s="15" t="s">
        <v>70</v>
      </c>
      <c r="H17" s="15" t="s">
        <v>70</v>
      </c>
      <c r="I17" s="15" t="s">
        <v>70</v>
      </c>
      <c r="J17" s="15" t="s">
        <v>70</v>
      </c>
      <c r="K17" s="15" t="s">
        <v>70</v>
      </c>
      <c r="L17" s="15" t="s">
        <v>70</v>
      </c>
      <c r="M17" s="15" t="s">
        <v>70</v>
      </c>
      <c r="N17" s="15" t="s">
        <v>70</v>
      </c>
      <c r="O17" s="15" t="s">
        <v>70</v>
      </c>
      <c r="P17" s="15" t="s">
        <v>70</v>
      </c>
      <c r="Q17" s="15" t="s">
        <v>70</v>
      </c>
      <c r="R17" s="15" t="s">
        <v>70</v>
      </c>
      <c r="S17" s="15" t="s">
        <v>70</v>
      </c>
    </row>
    <row r="18" spans="1:19" x14ac:dyDescent="0.2">
      <c r="A18" s="6" t="s">
        <v>218</v>
      </c>
      <c r="B18" s="11">
        <v>25643</v>
      </c>
      <c r="C18" s="11">
        <v>7510</v>
      </c>
      <c r="D18" s="11">
        <v>4405</v>
      </c>
      <c r="E18" s="11">
        <v>0</v>
      </c>
      <c r="F18" s="11">
        <v>824</v>
      </c>
      <c r="G18" s="11">
        <v>3322</v>
      </c>
      <c r="H18" s="11">
        <v>1687</v>
      </c>
      <c r="I18" s="11">
        <v>-2626</v>
      </c>
      <c r="J18" s="11">
        <v>465</v>
      </c>
      <c r="K18" s="11">
        <v>0</v>
      </c>
      <c r="L18" s="11">
        <v>2829</v>
      </c>
      <c r="M18" s="11">
        <v>3889</v>
      </c>
      <c r="N18" s="11">
        <v>990</v>
      </c>
      <c r="O18" s="11">
        <v>0</v>
      </c>
      <c r="P18" s="11">
        <v>461</v>
      </c>
      <c r="Q18" s="11">
        <v>522</v>
      </c>
      <c r="R18" s="11">
        <v>1365</v>
      </c>
      <c r="S18" s="11">
        <v>0</v>
      </c>
    </row>
    <row r="19" spans="1:19" x14ac:dyDescent="0.2">
      <c r="A19" s="6" t="s">
        <v>219</v>
      </c>
      <c r="B19" s="11">
        <v>42315</v>
      </c>
      <c r="C19" s="11">
        <v>5628</v>
      </c>
      <c r="D19" s="11">
        <v>4174</v>
      </c>
      <c r="E19" s="11">
        <v>0</v>
      </c>
      <c r="F19" s="11">
        <v>416</v>
      </c>
      <c r="G19" s="11">
        <v>2756</v>
      </c>
      <c r="H19" s="11">
        <v>1661</v>
      </c>
      <c r="I19" s="11">
        <v>6235</v>
      </c>
      <c r="J19" s="11">
        <v>2235</v>
      </c>
      <c r="K19" s="11">
        <v>0</v>
      </c>
      <c r="L19" s="11">
        <v>1656</v>
      </c>
      <c r="M19" s="11">
        <v>7043</v>
      </c>
      <c r="N19" s="11">
        <v>990</v>
      </c>
      <c r="O19" s="11">
        <v>5868</v>
      </c>
      <c r="P19" s="11">
        <v>319</v>
      </c>
      <c r="Q19" s="11">
        <v>438</v>
      </c>
      <c r="R19" s="11">
        <v>2895</v>
      </c>
      <c r="S19" s="11">
        <v>0</v>
      </c>
    </row>
    <row r="20" spans="1:19" x14ac:dyDescent="0.2">
      <c r="A20" s="6" t="s">
        <v>220</v>
      </c>
      <c r="B20" s="11">
        <v>2386</v>
      </c>
      <c r="C20" s="11">
        <v>378</v>
      </c>
      <c r="D20" s="11">
        <v>349</v>
      </c>
      <c r="E20" s="11">
        <v>0</v>
      </c>
      <c r="F20" s="11">
        <v>0</v>
      </c>
      <c r="G20" s="11">
        <v>680</v>
      </c>
      <c r="H20" s="11">
        <v>0</v>
      </c>
      <c r="I20" s="11">
        <v>545</v>
      </c>
      <c r="J20" s="11">
        <v>0</v>
      </c>
      <c r="K20" s="11">
        <v>0</v>
      </c>
      <c r="L20" s="11">
        <v>195</v>
      </c>
      <c r="M20" s="11">
        <v>168</v>
      </c>
      <c r="N20" s="11">
        <v>0</v>
      </c>
      <c r="O20" s="11">
        <v>72</v>
      </c>
      <c r="P20" s="11">
        <v>0</v>
      </c>
      <c r="Q20" s="11">
        <v>0</v>
      </c>
      <c r="R20" s="11">
        <v>0</v>
      </c>
      <c r="S20" s="11">
        <v>0</v>
      </c>
    </row>
    <row r="21" spans="1:19" x14ac:dyDescent="0.2">
      <c r="A21" s="6" t="s">
        <v>222</v>
      </c>
      <c r="B21" s="13">
        <v>70344</v>
      </c>
      <c r="C21" s="13">
        <v>13516</v>
      </c>
      <c r="D21" s="13">
        <v>8928</v>
      </c>
      <c r="E21" s="13">
        <v>0</v>
      </c>
      <c r="F21" s="13">
        <v>1240</v>
      </c>
      <c r="G21" s="13">
        <v>6758</v>
      </c>
      <c r="H21" s="13">
        <v>3348</v>
      </c>
      <c r="I21" s="13">
        <v>4154</v>
      </c>
      <c r="J21" s="13">
        <v>2700</v>
      </c>
      <c r="K21" s="13">
        <v>0</v>
      </c>
      <c r="L21" s="13">
        <v>4680</v>
      </c>
      <c r="M21" s="13">
        <v>11100</v>
      </c>
      <c r="N21" s="13">
        <v>1980</v>
      </c>
      <c r="O21" s="13">
        <v>5940</v>
      </c>
      <c r="P21" s="13">
        <v>780</v>
      </c>
      <c r="Q21" s="13">
        <v>960</v>
      </c>
      <c r="R21" s="13">
        <v>4260</v>
      </c>
      <c r="S21" s="13">
        <v>0</v>
      </c>
    </row>
    <row r="22" spans="1:19" x14ac:dyDescent="0.2">
      <c r="A22" s="6" t="s">
        <v>213</v>
      </c>
      <c r="B22" s="15" t="s">
        <v>70</v>
      </c>
      <c r="C22" s="15" t="s">
        <v>70</v>
      </c>
      <c r="D22" s="15" t="s">
        <v>70</v>
      </c>
      <c r="E22" s="15" t="s">
        <v>70</v>
      </c>
      <c r="F22" s="15" t="s">
        <v>70</v>
      </c>
      <c r="G22" s="15" t="s">
        <v>70</v>
      </c>
      <c r="H22" s="15" t="s">
        <v>70</v>
      </c>
      <c r="I22" s="15" t="s">
        <v>70</v>
      </c>
      <c r="J22" s="15" t="s">
        <v>70</v>
      </c>
      <c r="K22" s="15" t="s">
        <v>70</v>
      </c>
      <c r="L22" s="15" t="s">
        <v>70</v>
      </c>
      <c r="M22" s="15" t="s">
        <v>70</v>
      </c>
      <c r="N22" s="15" t="s">
        <v>70</v>
      </c>
      <c r="O22" s="15" t="s">
        <v>70</v>
      </c>
      <c r="P22" s="15" t="s">
        <v>70</v>
      </c>
      <c r="Q22" s="15" t="s">
        <v>70</v>
      </c>
      <c r="R22" s="15" t="s">
        <v>70</v>
      </c>
      <c r="S22" s="15" t="s">
        <v>70</v>
      </c>
    </row>
    <row r="23" spans="1:19" x14ac:dyDescent="0.2">
      <c r="A23" s="6" t="s">
        <v>218</v>
      </c>
      <c r="B23" s="11">
        <v>3751</v>
      </c>
      <c r="C23" s="11">
        <v>0</v>
      </c>
      <c r="D23" s="11">
        <v>0</v>
      </c>
      <c r="E23" s="11">
        <v>0</v>
      </c>
      <c r="F23" s="11">
        <v>0</v>
      </c>
      <c r="G23" s="11">
        <v>2600</v>
      </c>
      <c r="H23" s="11">
        <v>36</v>
      </c>
      <c r="I23" s="11">
        <v>237</v>
      </c>
      <c r="J23" s="11">
        <v>108</v>
      </c>
      <c r="K23" s="11">
        <v>0</v>
      </c>
      <c r="L23" s="11">
        <v>120</v>
      </c>
      <c r="M23" s="11">
        <v>0</v>
      </c>
      <c r="N23" s="11">
        <v>188</v>
      </c>
      <c r="O23" s="11">
        <v>0</v>
      </c>
      <c r="P23" s="11">
        <v>462</v>
      </c>
      <c r="Q23" s="11">
        <v>0</v>
      </c>
      <c r="R23" s="11">
        <v>0</v>
      </c>
      <c r="S23" s="11">
        <v>0</v>
      </c>
    </row>
    <row r="24" spans="1:19" x14ac:dyDescent="0.2">
      <c r="A24" s="6" t="s">
        <v>219</v>
      </c>
      <c r="B24" s="11">
        <v>4855</v>
      </c>
      <c r="C24" s="11">
        <v>0</v>
      </c>
      <c r="D24" s="11">
        <v>0</v>
      </c>
      <c r="E24" s="11">
        <v>0</v>
      </c>
      <c r="F24" s="11">
        <v>0</v>
      </c>
      <c r="G24" s="11">
        <v>1915</v>
      </c>
      <c r="H24" s="11">
        <v>88</v>
      </c>
      <c r="I24" s="11">
        <v>1015</v>
      </c>
      <c r="J24" s="11">
        <v>312</v>
      </c>
      <c r="K24" s="11">
        <v>0</v>
      </c>
      <c r="L24" s="11">
        <v>60</v>
      </c>
      <c r="M24" s="11">
        <v>0</v>
      </c>
      <c r="N24" s="11">
        <v>256</v>
      </c>
      <c r="O24" s="11">
        <v>316</v>
      </c>
      <c r="P24" s="11">
        <v>412</v>
      </c>
      <c r="Q24" s="11">
        <v>0</v>
      </c>
      <c r="R24" s="11">
        <v>480</v>
      </c>
      <c r="S24" s="11">
        <v>0</v>
      </c>
    </row>
    <row r="25" spans="1:19" x14ac:dyDescent="0.2">
      <c r="A25" s="6" t="s">
        <v>220</v>
      </c>
      <c r="B25" s="11">
        <v>2326</v>
      </c>
      <c r="C25" s="11">
        <v>0</v>
      </c>
      <c r="D25" s="11">
        <v>0</v>
      </c>
      <c r="E25" s="11">
        <v>0</v>
      </c>
      <c r="F25" s="11">
        <v>0</v>
      </c>
      <c r="G25" s="11">
        <v>1911</v>
      </c>
      <c r="H25" s="11">
        <v>0</v>
      </c>
      <c r="I25" s="11">
        <v>66</v>
      </c>
      <c r="J25" s="11">
        <v>0</v>
      </c>
      <c r="K25" s="11">
        <v>0</v>
      </c>
      <c r="L25" s="11">
        <v>0</v>
      </c>
      <c r="M25" s="11">
        <v>0</v>
      </c>
      <c r="N25" s="11">
        <v>100</v>
      </c>
      <c r="O25" s="11">
        <v>164</v>
      </c>
      <c r="P25" s="11">
        <v>86</v>
      </c>
      <c r="Q25" s="11">
        <v>0</v>
      </c>
      <c r="R25" s="11">
        <v>0</v>
      </c>
      <c r="S25" s="11">
        <v>0</v>
      </c>
    </row>
    <row r="26" spans="1:19" x14ac:dyDescent="0.2">
      <c r="A26" s="6" t="s">
        <v>223</v>
      </c>
      <c r="B26" s="13">
        <v>10932</v>
      </c>
      <c r="C26" s="13">
        <v>0</v>
      </c>
      <c r="D26" s="13">
        <v>0</v>
      </c>
      <c r="E26" s="13">
        <v>0</v>
      </c>
      <c r="F26" s="13">
        <v>0</v>
      </c>
      <c r="G26" s="13">
        <v>6426</v>
      </c>
      <c r="H26" s="13">
        <v>124</v>
      </c>
      <c r="I26" s="13">
        <v>1318</v>
      </c>
      <c r="J26" s="13">
        <v>420</v>
      </c>
      <c r="K26" s="13">
        <v>0</v>
      </c>
      <c r="L26" s="13">
        <v>180</v>
      </c>
      <c r="M26" s="13">
        <v>0</v>
      </c>
      <c r="N26" s="13">
        <v>544</v>
      </c>
      <c r="O26" s="13">
        <v>480</v>
      </c>
      <c r="P26" s="13">
        <v>960</v>
      </c>
      <c r="Q26" s="13">
        <v>0</v>
      </c>
      <c r="R26" s="13">
        <v>480</v>
      </c>
      <c r="S26" s="13">
        <v>0</v>
      </c>
    </row>
    <row r="27" spans="1:19" x14ac:dyDescent="0.2">
      <c r="A27" s="6" t="s">
        <v>214</v>
      </c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</row>
    <row r="28" spans="1:19" x14ac:dyDescent="0.2">
      <c r="A28" s="6" t="s">
        <v>218</v>
      </c>
      <c r="B28" s="11">
        <v>38947</v>
      </c>
      <c r="C28" s="11">
        <v>2670</v>
      </c>
      <c r="D28" s="11">
        <v>5024</v>
      </c>
      <c r="E28" s="11">
        <v>0</v>
      </c>
      <c r="F28" s="11">
        <v>4319</v>
      </c>
      <c r="G28" s="11">
        <v>1414</v>
      </c>
      <c r="H28" s="11">
        <v>4312</v>
      </c>
      <c r="I28" s="11">
        <v>2074</v>
      </c>
      <c r="J28" s="11">
        <v>0</v>
      </c>
      <c r="K28" s="11">
        <v>0</v>
      </c>
      <c r="L28" s="11">
        <v>1661</v>
      </c>
      <c r="M28" s="11">
        <v>1458</v>
      </c>
      <c r="N28" s="11">
        <v>3535</v>
      </c>
      <c r="O28" s="11">
        <v>0</v>
      </c>
      <c r="P28" s="11">
        <v>8489</v>
      </c>
      <c r="Q28" s="11">
        <v>3181</v>
      </c>
      <c r="R28" s="11">
        <v>811</v>
      </c>
      <c r="S28" s="11">
        <v>0</v>
      </c>
    </row>
    <row r="29" spans="1:19" x14ac:dyDescent="0.2">
      <c r="A29" s="6" t="s">
        <v>219</v>
      </c>
      <c r="B29" s="11">
        <v>46400</v>
      </c>
      <c r="C29" s="11">
        <v>3831</v>
      </c>
      <c r="D29" s="11">
        <v>3207</v>
      </c>
      <c r="E29" s="11">
        <v>0</v>
      </c>
      <c r="F29" s="11">
        <v>3550</v>
      </c>
      <c r="G29" s="11">
        <v>1111</v>
      </c>
      <c r="H29" s="11">
        <v>4453</v>
      </c>
      <c r="I29" s="11">
        <v>3209</v>
      </c>
      <c r="J29" s="11">
        <v>5745</v>
      </c>
      <c r="K29" s="11">
        <v>0</v>
      </c>
      <c r="L29" s="11">
        <v>422</v>
      </c>
      <c r="M29" s="11">
        <v>0</v>
      </c>
      <c r="N29" s="11">
        <v>3332</v>
      </c>
      <c r="O29" s="11">
        <v>2323</v>
      </c>
      <c r="P29" s="11">
        <v>7984</v>
      </c>
      <c r="Q29" s="11">
        <v>2403</v>
      </c>
      <c r="R29" s="11">
        <v>4829</v>
      </c>
      <c r="S29" s="11">
        <v>0</v>
      </c>
    </row>
    <row r="30" spans="1:19" x14ac:dyDescent="0.2">
      <c r="A30" s="6" t="s">
        <v>220</v>
      </c>
      <c r="B30" s="11">
        <v>5416</v>
      </c>
      <c r="C30" s="11">
        <v>790</v>
      </c>
      <c r="D30" s="11">
        <v>0</v>
      </c>
      <c r="E30" s="11">
        <v>0</v>
      </c>
      <c r="F30" s="11">
        <v>1022</v>
      </c>
      <c r="G30" s="11">
        <v>547</v>
      </c>
      <c r="H30" s="11">
        <v>0</v>
      </c>
      <c r="I30" s="11">
        <v>460</v>
      </c>
      <c r="J30" s="11">
        <v>0</v>
      </c>
      <c r="K30" s="11">
        <v>0</v>
      </c>
      <c r="L30" s="11">
        <v>252</v>
      </c>
      <c r="M30" s="11">
        <v>0</v>
      </c>
      <c r="N30" s="11">
        <v>317</v>
      </c>
      <c r="O30" s="11">
        <v>379</v>
      </c>
      <c r="P30" s="11">
        <v>1125</v>
      </c>
      <c r="Q30" s="11">
        <v>207</v>
      </c>
      <c r="R30" s="11">
        <v>316</v>
      </c>
      <c r="S30" s="11">
        <v>0</v>
      </c>
    </row>
    <row r="31" spans="1:19" x14ac:dyDescent="0.2">
      <c r="A31" s="6" t="s">
        <v>224</v>
      </c>
      <c r="B31" s="13">
        <v>90763</v>
      </c>
      <c r="C31" s="13">
        <v>7291</v>
      </c>
      <c r="D31" s="13">
        <v>8231</v>
      </c>
      <c r="E31" s="13">
        <v>0</v>
      </c>
      <c r="F31" s="13">
        <v>8891</v>
      </c>
      <c r="G31" s="13">
        <v>3072</v>
      </c>
      <c r="H31" s="13">
        <v>8765</v>
      </c>
      <c r="I31" s="13">
        <v>5743</v>
      </c>
      <c r="J31" s="13">
        <v>5745</v>
      </c>
      <c r="K31" s="13">
        <v>0</v>
      </c>
      <c r="L31" s="13">
        <v>2335</v>
      </c>
      <c r="M31" s="13">
        <v>1458</v>
      </c>
      <c r="N31" s="13">
        <v>7184</v>
      </c>
      <c r="O31" s="13">
        <v>2702</v>
      </c>
      <c r="P31" s="13">
        <v>17598</v>
      </c>
      <c r="Q31" s="13">
        <v>5791</v>
      </c>
      <c r="R31" s="13">
        <v>5956</v>
      </c>
      <c r="S31" s="13">
        <v>0</v>
      </c>
    </row>
    <row r="32" spans="1:19" x14ac:dyDescent="0.2">
      <c r="A32" s="6" t="s">
        <v>215</v>
      </c>
      <c r="B32" s="15" t="s">
        <v>70</v>
      </c>
      <c r="C32" s="15" t="s">
        <v>70</v>
      </c>
      <c r="D32" s="15" t="s">
        <v>70</v>
      </c>
      <c r="E32" s="15" t="s">
        <v>70</v>
      </c>
      <c r="F32" s="15" t="s">
        <v>70</v>
      </c>
      <c r="G32" s="15" t="s">
        <v>70</v>
      </c>
      <c r="H32" s="15" t="s">
        <v>70</v>
      </c>
      <c r="I32" s="15" t="s">
        <v>70</v>
      </c>
      <c r="J32" s="15" t="s">
        <v>70</v>
      </c>
      <c r="K32" s="15" t="s">
        <v>70</v>
      </c>
      <c r="L32" s="15" t="s">
        <v>70</v>
      </c>
      <c r="M32" s="15" t="s">
        <v>70</v>
      </c>
      <c r="N32" s="15" t="s">
        <v>70</v>
      </c>
      <c r="O32" s="15" t="s">
        <v>70</v>
      </c>
      <c r="P32" s="15" t="s">
        <v>70</v>
      </c>
      <c r="Q32" s="15" t="s">
        <v>70</v>
      </c>
      <c r="R32" s="15" t="s">
        <v>70</v>
      </c>
      <c r="S32" s="15" t="s">
        <v>70</v>
      </c>
    </row>
    <row r="33" spans="1:19" x14ac:dyDescent="0.2">
      <c r="A33" s="6" t="s">
        <v>225</v>
      </c>
      <c r="B33" s="11">
        <v>92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89</v>
      </c>
      <c r="N33" s="11">
        <v>0</v>
      </c>
      <c r="O33" s="11">
        <v>0</v>
      </c>
      <c r="P33" s="11">
        <v>0</v>
      </c>
      <c r="Q33" s="11">
        <v>0</v>
      </c>
      <c r="R33" s="11">
        <v>3</v>
      </c>
      <c r="S33" s="11">
        <v>0</v>
      </c>
    </row>
    <row r="34" spans="1:19" x14ac:dyDescent="0.2">
      <c r="A34" s="6" t="s">
        <v>226</v>
      </c>
      <c r="B34" s="11">
        <v>55796</v>
      </c>
      <c r="C34" s="11">
        <v>9172</v>
      </c>
      <c r="D34" s="11">
        <v>8324</v>
      </c>
      <c r="E34" s="11">
        <v>196</v>
      </c>
      <c r="F34" s="11">
        <v>3175</v>
      </c>
      <c r="G34" s="11">
        <v>6946</v>
      </c>
      <c r="H34" s="11">
        <v>800</v>
      </c>
      <c r="I34" s="11">
        <v>3590</v>
      </c>
      <c r="J34" s="11">
        <v>2149</v>
      </c>
      <c r="K34" s="11">
        <v>92</v>
      </c>
      <c r="L34" s="11">
        <v>1390</v>
      </c>
      <c r="M34" s="11">
        <v>4502</v>
      </c>
      <c r="N34" s="11">
        <v>2339</v>
      </c>
      <c r="O34" s="11">
        <v>3637</v>
      </c>
      <c r="P34" s="11">
        <v>2471</v>
      </c>
      <c r="Q34" s="11">
        <v>3129</v>
      </c>
      <c r="R34" s="11">
        <v>3600</v>
      </c>
      <c r="S34" s="11">
        <v>285</v>
      </c>
    </row>
    <row r="35" spans="1:19" x14ac:dyDescent="0.2">
      <c r="A35" s="6" t="s">
        <v>227</v>
      </c>
      <c r="B35" s="11">
        <v>2938</v>
      </c>
      <c r="C35" s="11">
        <v>255</v>
      </c>
      <c r="D35" s="11">
        <v>0</v>
      </c>
      <c r="E35" s="11">
        <v>0</v>
      </c>
      <c r="F35" s="11">
        <v>0</v>
      </c>
      <c r="G35" s="11">
        <v>160</v>
      </c>
      <c r="H35" s="11">
        <v>0</v>
      </c>
      <c r="I35" s="11">
        <v>160</v>
      </c>
      <c r="J35" s="11">
        <v>140</v>
      </c>
      <c r="K35" s="11">
        <v>70</v>
      </c>
      <c r="L35" s="11">
        <v>0</v>
      </c>
      <c r="M35" s="11">
        <v>220</v>
      </c>
      <c r="N35" s="11">
        <v>1070</v>
      </c>
      <c r="O35" s="11">
        <v>250</v>
      </c>
      <c r="P35" s="11">
        <v>150</v>
      </c>
      <c r="Q35" s="11">
        <v>0</v>
      </c>
      <c r="R35" s="11">
        <v>463</v>
      </c>
      <c r="S35" s="11">
        <v>0</v>
      </c>
    </row>
    <row r="36" spans="1:19" x14ac:dyDescent="0.2">
      <c r="A36" s="6" t="s">
        <v>228</v>
      </c>
      <c r="B36" s="11">
        <v>9789</v>
      </c>
      <c r="C36" s="11">
        <v>2139</v>
      </c>
      <c r="D36" s="11">
        <v>5322</v>
      </c>
      <c r="E36" s="11">
        <v>0</v>
      </c>
      <c r="F36" s="11">
        <v>0</v>
      </c>
      <c r="G36" s="11">
        <v>1222</v>
      </c>
      <c r="H36" s="11">
        <v>0</v>
      </c>
      <c r="I36" s="11">
        <v>0</v>
      </c>
      <c r="J36" s="11">
        <v>51</v>
      </c>
      <c r="K36" s="11">
        <v>0</v>
      </c>
      <c r="L36" s="11">
        <v>0</v>
      </c>
      <c r="M36" s="11">
        <v>336</v>
      </c>
      <c r="N36" s="11">
        <v>0</v>
      </c>
      <c r="O36" s="11">
        <v>329</v>
      </c>
      <c r="P36" s="11">
        <v>91</v>
      </c>
      <c r="Q36" s="11">
        <v>222</v>
      </c>
      <c r="R36" s="11">
        <v>77</v>
      </c>
      <c r="S36" s="11">
        <v>0</v>
      </c>
    </row>
    <row r="37" spans="1:19" x14ac:dyDescent="0.2">
      <c r="A37" s="6" t="s">
        <v>229</v>
      </c>
      <c r="B37" s="11">
        <v>2885</v>
      </c>
      <c r="C37" s="11">
        <v>0</v>
      </c>
      <c r="D37" s="11">
        <v>769</v>
      </c>
      <c r="E37" s="11">
        <v>0</v>
      </c>
      <c r="F37" s="11">
        <v>603</v>
      </c>
      <c r="G37" s="11">
        <v>859</v>
      </c>
      <c r="H37" s="11">
        <v>0</v>
      </c>
      <c r="I37" s="11">
        <v>0</v>
      </c>
      <c r="J37" s="11">
        <v>185</v>
      </c>
      <c r="K37" s="11">
        <v>0</v>
      </c>
      <c r="L37" s="11">
        <v>0</v>
      </c>
      <c r="M37" s="11">
        <v>0</v>
      </c>
      <c r="N37" s="11">
        <v>468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</row>
    <row r="38" spans="1:19" x14ac:dyDescent="0.2">
      <c r="A38" s="6" t="s">
        <v>230</v>
      </c>
      <c r="B38" s="11">
        <v>7903</v>
      </c>
      <c r="C38" s="11">
        <v>1089</v>
      </c>
      <c r="D38" s="11">
        <v>211</v>
      </c>
      <c r="E38" s="11">
        <v>0</v>
      </c>
      <c r="F38" s="11">
        <v>0</v>
      </c>
      <c r="G38" s="11">
        <v>812</v>
      </c>
      <c r="H38" s="11">
        <v>244</v>
      </c>
      <c r="I38" s="11">
        <v>441</v>
      </c>
      <c r="J38" s="11">
        <v>0</v>
      </c>
      <c r="K38" s="11">
        <v>0</v>
      </c>
      <c r="L38" s="11">
        <v>0</v>
      </c>
      <c r="M38" s="11">
        <v>29</v>
      </c>
      <c r="N38" s="11">
        <v>3790</v>
      </c>
      <c r="O38" s="11">
        <v>287</v>
      </c>
      <c r="P38" s="11">
        <v>538</v>
      </c>
      <c r="Q38" s="11">
        <v>93</v>
      </c>
      <c r="R38" s="11">
        <v>368</v>
      </c>
      <c r="S38" s="11">
        <v>0</v>
      </c>
    </row>
    <row r="39" spans="1:19" x14ac:dyDescent="0.2">
      <c r="A39" s="6" t="s">
        <v>231</v>
      </c>
      <c r="B39" s="11">
        <v>23105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3085</v>
      </c>
      <c r="K39" s="11">
        <v>0</v>
      </c>
      <c r="L39" s="11">
        <v>0</v>
      </c>
      <c r="M39" s="11">
        <v>3000</v>
      </c>
      <c r="N39" s="11">
        <v>3880</v>
      </c>
      <c r="O39" s="11">
        <v>3000</v>
      </c>
      <c r="P39" s="11">
        <v>3740</v>
      </c>
      <c r="Q39" s="11">
        <v>3000</v>
      </c>
      <c r="R39" s="11">
        <v>3400</v>
      </c>
      <c r="S39" s="11">
        <v>0</v>
      </c>
    </row>
    <row r="40" spans="1:19" x14ac:dyDescent="0.2">
      <c r="A40" s="6" t="s">
        <v>232</v>
      </c>
      <c r="B40" s="11">
        <v>3070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3071</v>
      </c>
      <c r="R40" s="11">
        <v>0</v>
      </c>
      <c r="S40" s="11">
        <v>0</v>
      </c>
    </row>
    <row r="41" spans="1:19" x14ac:dyDescent="0.2">
      <c r="A41" s="6" t="s">
        <v>233</v>
      </c>
      <c r="B41" s="13">
        <v>105578</v>
      </c>
      <c r="C41" s="13">
        <v>12655</v>
      </c>
      <c r="D41" s="13">
        <v>14626</v>
      </c>
      <c r="E41" s="13">
        <v>196</v>
      </c>
      <c r="F41" s="13">
        <v>3778</v>
      </c>
      <c r="G41" s="13">
        <v>9999</v>
      </c>
      <c r="H41" s="13">
        <v>1044</v>
      </c>
      <c r="I41" s="13">
        <v>4191</v>
      </c>
      <c r="J41" s="13">
        <v>5610</v>
      </c>
      <c r="K41" s="13">
        <v>162</v>
      </c>
      <c r="L41" s="13">
        <v>1390</v>
      </c>
      <c r="M41" s="13">
        <v>8176</v>
      </c>
      <c r="N41" s="13">
        <v>11547</v>
      </c>
      <c r="O41" s="13">
        <v>7503</v>
      </c>
      <c r="P41" s="13">
        <v>6990</v>
      </c>
      <c r="Q41" s="13">
        <v>9515</v>
      </c>
      <c r="R41" s="13">
        <v>7911</v>
      </c>
      <c r="S41" s="13">
        <v>285</v>
      </c>
    </row>
    <row r="42" spans="1:19" x14ac:dyDescent="0.2">
      <c r="A42" s="6" t="s">
        <v>216</v>
      </c>
      <c r="B42" s="14">
        <v>280041</v>
      </c>
      <c r="C42" s="14">
        <v>33722</v>
      </c>
      <c r="D42" s="14">
        <v>31785</v>
      </c>
      <c r="E42" s="14">
        <v>196</v>
      </c>
      <c r="F42" s="14">
        <v>14038</v>
      </c>
      <c r="G42" s="14">
        <v>26255</v>
      </c>
      <c r="H42" s="14">
        <v>13932</v>
      </c>
      <c r="I42" s="14">
        <v>15629</v>
      </c>
      <c r="J42" s="14">
        <v>14475</v>
      </c>
      <c r="K42" s="14">
        <v>162</v>
      </c>
      <c r="L42" s="14">
        <v>8585</v>
      </c>
      <c r="M42" s="14">
        <v>20734</v>
      </c>
      <c r="N42" s="14">
        <v>21255</v>
      </c>
      <c r="O42" s="14">
        <v>16625</v>
      </c>
      <c r="P42" s="14">
        <v>26949</v>
      </c>
      <c r="Q42" s="14">
        <v>16696</v>
      </c>
      <c r="R42" s="14">
        <v>18717</v>
      </c>
      <c r="S42" s="14">
        <v>285</v>
      </c>
    </row>
    <row r="43" spans="1:19" x14ac:dyDescent="0.2">
      <c r="A43" s="4" t="s">
        <v>6</v>
      </c>
    </row>
    <row r="44" spans="1:19" x14ac:dyDescent="0.2">
      <c r="A44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2"/>
  <sheetViews>
    <sheetView workbookViewId="0"/>
  </sheetViews>
  <sheetFormatPr defaultColWidth="9.140625" defaultRowHeight="12.75" x14ac:dyDescent="0.2"/>
  <cols>
    <col min="1" max="1" width="34.855468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234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235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236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</row>
    <row r="13" spans="1:24" x14ac:dyDescent="0.2">
      <c r="A13" s="6" t="s">
        <v>237</v>
      </c>
      <c r="B13" s="11">
        <v>117851</v>
      </c>
      <c r="C13" s="11">
        <v>6813</v>
      </c>
      <c r="D13" s="11">
        <v>2508</v>
      </c>
      <c r="E13" s="11">
        <v>6490</v>
      </c>
      <c r="F13" s="11">
        <v>494</v>
      </c>
      <c r="G13" s="11">
        <v>7271</v>
      </c>
      <c r="H13" s="11">
        <v>7239</v>
      </c>
      <c r="I13" s="11">
        <v>8146</v>
      </c>
      <c r="J13" s="11">
        <v>7924</v>
      </c>
      <c r="K13" s="11">
        <v>7663</v>
      </c>
      <c r="L13" s="11">
        <v>10372</v>
      </c>
      <c r="M13" s="11">
        <v>4368</v>
      </c>
      <c r="N13" s="11">
        <v>9880</v>
      </c>
      <c r="O13" s="11">
        <v>865</v>
      </c>
      <c r="P13" s="11">
        <v>901</v>
      </c>
      <c r="Q13" s="11">
        <v>8942</v>
      </c>
      <c r="R13" s="11">
        <v>7709</v>
      </c>
      <c r="S13" s="11">
        <v>6723</v>
      </c>
      <c r="T13" s="11">
        <v>4599</v>
      </c>
      <c r="U13" s="11">
        <v>0</v>
      </c>
      <c r="V13" s="11">
        <v>8942</v>
      </c>
      <c r="W13" s="11">
        <v>0</v>
      </c>
      <c r="X13" s="11">
        <v>0</v>
      </c>
    </row>
    <row r="14" spans="1:24" x14ac:dyDescent="0.2">
      <c r="A14" s="6" t="s">
        <v>238</v>
      </c>
      <c r="B14" s="11">
        <v>80613</v>
      </c>
      <c r="C14" s="11">
        <v>6566</v>
      </c>
      <c r="D14" s="11">
        <v>0</v>
      </c>
      <c r="E14" s="11">
        <v>7181</v>
      </c>
      <c r="F14" s="11">
        <v>7310</v>
      </c>
      <c r="G14" s="11">
        <v>8037</v>
      </c>
      <c r="H14" s="11">
        <v>5112</v>
      </c>
      <c r="I14" s="11">
        <v>3603</v>
      </c>
      <c r="J14" s="11">
        <v>0</v>
      </c>
      <c r="K14" s="11">
        <v>0</v>
      </c>
      <c r="L14" s="11">
        <v>7873</v>
      </c>
      <c r="M14" s="11">
        <v>7957</v>
      </c>
      <c r="N14" s="11">
        <v>8251</v>
      </c>
      <c r="O14" s="11">
        <v>6814</v>
      </c>
      <c r="P14" s="11">
        <v>0</v>
      </c>
      <c r="Q14" s="11">
        <v>0</v>
      </c>
      <c r="R14" s="11">
        <v>11911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</row>
    <row r="15" spans="1:24" x14ac:dyDescent="0.2">
      <c r="A15" s="6" t="s">
        <v>239</v>
      </c>
      <c r="B15" s="11">
        <v>17458</v>
      </c>
      <c r="C15" s="11">
        <v>0</v>
      </c>
      <c r="D15" s="11">
        <v>4506</v>
      </c>
      <c r="E15" s="11">
        <v>0</v>
      </c>
      <c r="F15" s="11">
        <v>0</v>
      </c>
      <c r="G15" s="11">
        <v>2762</v>
      </c>
      <c r="H15" s="11">
        <v>4367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5823</v>
      </c>
      <c r="V15" s="11">
        <v>0</v>
      </c>
      <c r="W15" s="11">
        <v>0</v>
      </c>
      <c r="X15" s="11">
        <v>0</v>
      </c>
    </row>
    <row r="16" spans="1:24" x14ac:dyDescent="0.2">
      <c r="A16" s="6" t="s">
        <v>240</v>
      </c>
      <c r="B16" s="11">
        <v>230727</v>
      </c>
      <c r="C16" s="11">
        <v>30714</v>
      </c>
      <c r="D16" s="11">
        <v>34144</v>
      </c>
      <c r="E16" s="11">
        <v>15259</v>
      </c>
      <c r="F16" s="11">
        <v>7466</v>
      </c>
      <c r="G16" s="11">
        <v>9002</v>
      </c>
      <c r="H16" s="11">
        <v>11114</v>
      </c>
      <c r="I16" s="11">
        <v>6054</v>
      </c>
      <c r="J16" s="11">
        <v>16918</v>
      </c>
      <c r="K16" s="11">
        <v>5939</v>
      </c>
      <c r="L16" s="11">
        <v>8607</v>
      </c>
      <c r="M16" s="11">
        <v>10199</v>
      </c>
      <c r="N16" s="11">
        <v>21701</v>
      </c>
      <c r="O16" s="11">
        <v>11989</v>
      </c>
      <c r="P16" s="11">
        <v>10653</v>
      </c>
      <c r="Q16" s="11">
        <v>202</v>
      </c>
      <c r="R16" s="11">
        <v>17393</v>
      </c>
      <c r="S16" s="11">
        <v>0</v>
      </c>
      <c r="T16" s="11">
        <v>4874</v>
      </c>
      <c r="U16" s="11">
        <v>697</v>
      </c>
      <c r="V16" s="11">
        <v>7800</v>
      </c>
      <c r="W16" s="11">
        <v>0</v>
      </c>
      <c r="X16" s="11">
        <v>0</v>
      </c>
    </row>
    <row r="17" spans="1:24" x14ac:dyDescent="0.2">
      <c r="A17" s="6" t="s">
        <v>241</v>
      </c>
      <c r="B17" s="11">
        <v>16738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3691</v>
      </c>
      <c r="K17" s="11">
        <v>0</v>
      </c>
      <c r="L17" s="11">
        <v>0</v>
      </c>
      <c r="M17" s="11">
        <v>0</v>
      </c>
      <c r="N17" s="11">
        <v>7766</v>
      </c>
      <c r="O17" s="11">
        <v>0</v>
      </c>
      <c r="P17" s="11">
        <v>5282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</row>
    <row r="18" spans="1:24" x14ac:dyDescent="0.2">
      <c r="A18" s="6" t="s">
        <v>242</v>
      </c>
      <c r="B18" s="11">
        <v>8810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8810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</row>
    <row r="19" spans="1:24" x14ac:dyDescent="0.2">
      <c r="A19" s="6" t="s">
        <v>243</v>
      </c>
      <c r="B19" s="11">
        <v>95496</v>
      </c>
      <c r="C19" s="11">
        <v>7658</v>
      </c>
      <c r="D19" s="11">
        <v>6336</v>
      </c>
      <c r="E19" s="11">
        <v>6757</v>
      </c>
      <c r="F19" s="11">
        <v>6307</v>
      </c>
      <c r="G19" s="11">
        <v>7459</v>
      </c>
      <c r="H19" s="11">
        <v>3139</v>
      </c>
      <c r="I19" s="11">
        <v>7435</v>
      </c>
      <c r="J19" s="11">
        <v>0</v>
      </c>
      <c r="K19" s="11">
        <v>1861</v>
      </c>
      <c r="L19" s="11">
        <v>7327</v>
      </c>
      <c r="M19" s="11">
        <v>5990</v>
      </c>
      <c r="N19" s="11">
        <v>14977</v>
      </c>
      <c r="O19" s="11">
        <v>2417</v>
      </c>
      <c r="P19" s="11">
        <v>2709</v>
      </c>
      <c r="Q19" s="11">
        <v>7085</v>
      </c>
      <c r="R19" s="11">
        <v>8039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6" t="s">
        <v>244</v>
      </c>
      <c r="B20" s="11">
        <v>413282</v>
      </c>
      <c r="C20" s="11">
        <v>16173</v>
      </c>
      <c r="D20" s="11">
        <v>6322</v>
      </c>
      <c r="E20" s="11">
        <v>19846</v>
      </c>
      <c r="F20" s="11">
        <v>25516</v>
      </c>
      <c r="G20" s="11">
        <v>15766</v>
      </c>
      <c r="H20" s="11">
        <v>25801</v>
      </c>
      <c r="I20" s="11">
        <v>16715</v>
      </c>
      <c r="J20" s="11">
        <v>10421</v>
      </c>
      <c r="K20" s="11">
        <v>3995</v>
      </c>
      <c r="L20" s="11">
        <v>31861</v>
      </c>
      <c r="M20" s="11">
        <v>22271</v>
      </c>
      <c r="N20" s="11">
        <v>49196</v>
      </c>
      <c r="O20" s="11">
        <v>29063</v>
      </c>
      <c r="P20" s="11">
        <v>21617</v>
      </c>
      <c r="Q20" s="11">
        <v>39971</v>
      </c>
      <c r="R20" s="11">
        <v>39184</v>
      </c>
      <c r="S20" s="11">
        <v>10180</v>
      </c>
      <c r="T20" s="11">
        <v>4563</v>
      </c>
      <c r="U20" s="11">
        <v>7039</v>
      </c>
      <c r="V20" s="11">
        <v>17782</v>
      </c>
      <c r="W20" s="11">
        <v>0</v>
      </c>
      <c r="X20" s="11">
        <v>0</v>
      </c>
    </row>
    <row r="21" spans="1:24" x14ac:dyDescent="0.2">
      <c r="A21" s="6" t="s">
        <v>245</v>
      </c>
      <c r="B21" s="11">
        <v>1164500</v>
      </c>
      <c r="C21" s="11">
        <v>63737</v>
      </c>
      <c r="D21" s="11">
        <v>50634</v>
      </c>
      <c r="E21" s="11">
        <v>66300</v>
      </c>
      <c r="F21" s="11">
        <v>53789</v>
      </c>
      <c r="G21" s="11">
        <v>61582</v>
      </c>
      <c r="H21" s="11">
        <v>52796</v>
      </c>
      <c r="I21" s="11">
        <v>38364</v>
      </c>
      <c r="J21" s="11">
        <v>56197</v>
      </c>
      <c r="K21" s="11">
        <v>59934</v>
      </c>
      <c r="L21" s="11">
        <v>63481</v>
      </c>
      <c r="M21" s="11">
        <v>62096</v>
      </c>
      <c r="N21" s="11">
        <v>140754</v>
      </c>
      <c r="O21" s="11">
        <v>105647</v>
      </c>
      <c r="P21" s="11">
        <v>109687</v>
      </c>
      <c r="Q21" s="11">
        <v>73174</v>
      </c>
      <c r="R21" s="11">
        <v>69003</v>
      </c>
      <c r="S21" s="11">
        <v>5265</v>
      </c>
      <c r="T21" s="11">
        <v>18855</v>
      </c>
      <c r="U21" s="11">
        <v>4659</v>
      </c>
      <c r="V21" s="11">
        <v>8510</v>
      </c>
      <c r="W21" s="11">
        <v>37</v>
      </c>
      <c r="X21" s="11">
        <v>0</v>
      </c>
    </row>
    <row r="22" spans="1:24" x14ac:dyDescent="0.2">
      <c r="A22" s="6" t="s">
        <v>246</v>
      </c>
      <c r="B22" s="11">
        <v>467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467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x14ac:dyDescent="0.2">
      <c r="A23" s="6" t="s">
        <v>247</v>
      </c>
      <c r="B23" s="11">
        <v>34590</v>
      </c>
      <c r="C23" s="11">
        <v>3100</v>
      </c>
      <c r="D23" s="11">
        <v>2409</v>
      </c>
      <c r="E23" s="11">
        <v>3006</v>
      </c>
      <c r="F23" s="11">
        <v>1482</v>
      </c>
      <c r="G23" s="11">
        <v>600</v>
      </c>
      <c r="H23" s="11">
        <v>2467</v>
      </c>
      <c r="I23" s="11">
        <v>3275</v>
      </c>
      <c r="J23" s="11">
        <v>0</v>
      </c>
      <c r="K23" s="11">
        <v>0</v>
      </c>
      <c r="L23" s="11">
        <v>2813</v>
      </c>
      <c r="M23" s="11">
        <v>907</v>
      </c>
      <c r="N23" s="11">
        <v>4347</v>
      </c>
      <c r="O23" s="11">
        <v>4717</v>
      </c>
      <c r="P23" s="11">
        <v>816</v>
      </c>
      <c r="Q23" s="11">
        <v>929</v>
      </c>
      <c r="R23" s="11">
        <v>3720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</row>
    <row r="24" spans="1:24" x14ac:dyDescent="0.2">
      <c r="A24" s="6" t="s">
        <v>248</v>
      </c>
      <c r="B24" s="11">
        <v>14548</v>
      </c>
      <c r="C24" s="11">
        <v>0</v>
      </c>
      <c r="D24" s="11">
        <v>0</v>
      </c>
      <c r="E24" s="11">
        <v>0</v>
      </c>
      <c r="F24" s="11">
        <v>2969</v>
      </c>
      <c r="G24" s="11">
        <v>0</v>
      </c>
      <c r="H24" s="11">
        <v>0</v>
      </c>
      <c r="I24" s="11">
        <v>0</v>
      </c>
      <c r="J24" s="11">
        <v>3306</v>
      </c>
      <c r="K24" s="11">
        <v>0</v>
      </c>
      <c r="L24" s="11">
        <v>0</v>
      </c>
      <c r="M24" s="11">
        <v>0</v>
      </c>
      <c r="N24" s="11">
        <v>6433</v>
      </c>
      <c r="O24" s="11">
        <v>0</v>
      </c>
      <c r="P24" s="11">
        <v>1841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</row>
    <row r="25" spans="1:24" x14ac:dyDescent="0.2">
      <c r="A25" s="6" t="s">
        <v>249</v>
      </c>
      <c r="B25" s="11">
        <v>45077</v>
      </c>
      <c r="C25" s="11">
        <v>3091</v>
      </c>
      <c r="D25" s="11">
        <v>2415</v>
      </c>
      <c r="E25" s="11">
        <v>2582</v>
      </c>
      <c r="F25" s="11">
        <v>3196</v>
      </c>
      <c r="G25" s="11">
        <v>2731</v>
      </c>
      <c r="H25" s="11">
        <v>2564</v>
      </c>
      <c r="I25" s="11">
        <v>2877</v>
      </c>
      <c r="J25" s="11">
        <v>4354</v>
      </c>
      <c r="K25" s="11">
        <v>3245</v>
      </c>
      <c r="L25" s="11">
        <v>0</v>
      </c>
      <c r="M25" s="11">
        <v>2805</v>
      </c>
      <c r="N25" s="11">
        <v>1490</v>
      </c>
      <c r="O25" s="11">
        <v>3188</v>
      </c>
      <c r="P25" s="11">
        <v>1963</v>
      </c>
      <c r="Q25" s="11">
        <v>3543</v>
      </c>
      <c r="R25" s="11">
        <v>0</v>
      </c>
      <c r="S25" s="11">
        <v>0</v>
      </c>
      <c r="T25" s="11">
        <v>2666</v>
      </c>
      <c r="U25" s="11">
        <v>2359</v>
      </c>
      <c r="V25" s="11">
        <v>9</v>
      </c>
      <c r="W25" s="11">
        <v>0</v>
      </c>
      <c r="X25" s="11">
        <v>0</v>
      </c>
    </row>
    <row r="26" spans="1:24" x14ac:dyDescent="0.2">
      <c r="A26" s="6" t="s">
        <v>250</v>
      </c>
      <c r="B26" s="11">
        <v>32390</v>
      </c>
      <c r="C26" s="11">
        <v>2056</v>
      </c>
      <c r="D26" s="11">
        <v>0</v>
      </c>
      <c r="E26" s="11">
        <v>2269</v>
      </c>
      <c r="F26" s="11">
        <v>0</v>
      </c>
      <c r="G26" s="11">
        <v>570</v>
      </c>
      <c r="H26" s="11">
        <v>0</v>
      </c>
      <c r="I26" s="11">
        <v>0</v>
      </c>
      <c r="J26" s="11">
        <v>2636</v>
      </c>
      <c r="K26" s="11">
        <v>201</v>
      </c>
      <c r="L26" s="11">
        <v>789</v>
      </c>
      <c r="M26" s="11">
        <v>1354</v>
      </c>
      <c r="N26" s="11">
        <v>8125</v>
      </c>
      <c r="O26" s="11">
        <v>1896</v>
      </c>
      <c r="P26" s="11">
        <v>5279</v>
      </c>
      <c r="Q26" s="11">
        <v>0</v>
      </c>
      <c r="R26" s="11">
        <v>3977</v>
      </c>
      <c r="S26" s="11">
        <v>0</v>
      </c>
      <c r="T26" s="11">
        <v>1245</v>
      </c>
      <c r="U26" s="11">
        <v>0</v>
      </c>
      <c r="V26" s="11">
        <v>1995</v>
      </c>
      <c r="W26" s="11">
        <v>0</v>
      </c>
      <c r="X26" s="11">
        <v>0</v>
      </c>
    </row>
    <row r="27" spans="1:24" x14ac:dyDescent="0.2">
      <c r="A27" s="6" t="s">
        <v>251</v>
      </c>
      <c r="B27" s="11">
        <v>116909</v>
      </c>
      <c r="C27" s="11">
        <v>9243</v>
      </c>
      <c r="D27" s="11">
        <v>0</v>
      </c>
      <c r="E27" s="11">
        <v>638</v>
      </c>
      <c r="F27" s="11">
        <v>0</v>
      </c>
      <c r="G27" s="11">
        <v>22</v>
      </c>
      <c r="H27" s="11">
        <v>0</v>
      </c>
      <c r="I27" s="11">
        <v>0</v>
      </c>
      <c r="J27" s="11">
        <v>267</v>
      </c>
      <c r="K27" s="11">
        <v>0</v>
      </c>
      <c r="L27" s="11">
        <v>0</v>
      </c>
      <c r="M27" s="11">
        <v>1422</v>
      </c>
      <c r="N27" s="11">
        <v>24023</v>
      </c>
      <c r="O27" s="11">
        <v>0</v>
      </c>
      <c r="P27" s="11">
        <v>0</v>
      </c>
      <c r="Q27" s="11">
        <v>0</v>
      </c>
      <c r="R27" s="11">
        <v>0</v>
      </c>
      <c r="S27" s="11">
        <v>34410</v>
      </c>
      <c r="T27" s="11">
        <v>2832</v>
      </c>
      <c r="U27" s="11">
        <v>12859</v>
      </c>
      <c r="V27" s="11">
        <v>9978</v>
      </c>
      <c r="W27" s="11">
        <v>11962</v>
      </c>
      <c r="X27" s="11">
        <v>9251</v>
      </c>
    </row>
    <row r="28" spans="1:24" x14ac:dyDescent="0.2">
      <c r="A28" s="6" t="s">
        <v>252</v>
      </c>
      <c r="B28" s="11">
        <v>33115</v>
      </c>
      <c r="C28" s="11">
        <v>0</v>
      </c>
      <c r="D28" s="11">
        <v>2787</v>
      </c>
      <c r="E28" s="11">
        <v>131</v>
      </c>
      <c r="F28" s="11">
        <v>2725</v>
      </c>
      <c r="G28" s="11">
        <v>0</v>
      </c>
      <c r="H28" s="11">
        <v>0</v>
      </c>
      <c r="I28" s="11">
        <v>0</v>
      </c>
      <c r="J28" s="11">
        <v>0</v>
      </c>
      <c r="K28" s="11">
        <v>1118</v>
      </c>
      <c r="L28" s="11">
        <v>0</v>
      </c>
      <c r="M28" s="11">
        <v>3004</v>
      </c>
      <c r="N28" s="11">
        <v>6170</v>
      </c>
      <c r="O28" s="11">
        <v>2719</v>
      </c>
      <c r="P28" s="11">
        <v>4846</v>
      </c>
      <c r="Q28" s="11">
        <v>3926</v>
      </c>
      <c r="R28" s="11">
        <v>2443</v>
      </c>
      <c r="S28" s="11">
        <v>0</v>
      </c>
      <c r="T28" s="11">
        <v>1815</v>
      </c>
      <c r="U28" s="11">
        <v>12</v>
      </c>
      <c r="V28" s="11">
        <v>118</v>
      </c>
      <c r="W28" s="11">
        <v>1300</v>
      </c>
      <c r="X28" s="11">
        <v>0</v>
      </c>
    </row>
    <row r="29" spans="1:24" x14ac:dyDescent="0.2">
      <c r="A29" s="6" t="s">
        <v>253</v>
      </c>
      <c r="B29" s="11">
        <v>46415</v>
      </c>
      <c r="C29" s="11">
        <v>3009</v>
      </c>
      <c r="D29" s="11">
        <v>2505</v>
      </c>
      <c r="E29" s="11">
        <v>2786</v>
      </c>
      <c r="F29" s="11">
        <v>2406</v>
      </c>
      <c r="G29" s="11">
        <v>3196</v>
      </c>
      <c r="H29" s="11">
        <v>3189</v>
      </c>
      <c r="I29" s="11">
        <v>243</v>
      </c>
      <c r="J29" s="11">
        <v>0</v>
      </c>
      <c r="K29" s="11">
        <v>4550</v>
      </c>
      <c r="L29" s="11">
        <v>0</v>
      </c>
      <c r="M29" s="11">
        <v>2817</v>
      </c>
      <c r="N29" s="11">
        <v>2470</v>
      </c>
      <c r="O29" s="11">
        <v>2918</v>
      </c>
      <c r="P29" s="11">
        <v>4174</v>
      </c>
      <c r="Q29" s="11">
        <v>3546</v>
      </c>
      <c r="R29" s="11">
        <v>4783</v>
      </c>
      <c r="S29" s="11">
        <v>2190</v>
      </c>
      <c r="T29" s="11">
        <v>0</v>
      </c>
      <c r="U29" s="11">
        <v>1635</v>
      </c>
      <c r="V29" s="11">
        <v>0</v>
      </c>
      <c r="W29" s="11">
        <v>0</v>
      </c>
      <c r="X29" s="11">
        <v>0</v>
      </c>
    </row>
    <row r="30" spans="1:24" x14ac:dyDescent="0.2">
      <c r="A30" s="6" t="s">
        <v>254</v>
      </c>
      <c r="B30" s="11">
        <v>166718</v>
      </c>
      <c r="C30" s="11">
        <v>10310</v>
      </c>
      <c r="D30" s="11">
        <v>8783</v>
      </c>
      <c r="E30" s="11">
        <v>10156</v>
      </c>
      <c r="F30" s="11">
        <v>10722</v>
      </c>
      <c r="G30" s="11">
        <v>6944</v>
      </c>
      <c r="H30" s="11">
        <v>11301</v>
      </c>
      <c r="I30" s="11">
        <v>4585</v>
      </c>
      <c r="J30" s="11">
        <v>7874</v>
      </c>
      <c r="K30" s="11">
        <v>3891</v>
      </c>
      <c r="L30" s="11">
        <v>10083</v>
      </c>
      <c r="M30" s="11">
        <v>7560</v>
      </c>
      <c r="N30" s="11">
        <v>25869</v>
      </c>
      <c r="O30" s="11">
        <v>6751</v>
      </c>
      <c r="P30" s="11">
        <v>11647</v>
      </c>
      <c r="Q30" s="11">
        <v>10005</v>
      </c>
      <c r="R30" s="11">
        <v>11833</v>
      </c>
      <c r="S30" s="11">
        <v>0</v>
      </c>
      <c r="T30" s="11">
        <v>3438</v>
      </c>
      <c r="U30" s="11">
        <v>79</v>
      </c>
      <c r="V30" s="11">
        <v>2345</v>
      </c>
      <c r="W30" s="11">
        <v>2541</v>
      </c>
      <c r="X30" s="11">
        <v>0</v>
      </c>
    </row>
    <row r="31" spans="1:24" x14ac:dyDescent="0.2">
      <c r="A31" s="6" t="s">
        <v>255</v>
      </c>
      <c r="B31" s="11">
        <v>71181</v>
      </c>
      <c r="C31" s="11">
        <v>3343</v>
      </c>
      <c r="D31" s="11">
        <v>3389</v>
      </c>
      <c r="E31" s="11">
        <v>3669</v>
      </c>
      <c r="F31" s="11">
        <v>3846</v>
      </c>
      <c r="G31" s="11">
        <v>3346</v>
      </c>
      <c r="H31" s="11">
        <v>3614</v>
      </c>
      <c r="I31" s="11">
        <v>2494</v>
      </c>
      <c r="J31" s="11">
        <v>4245</v>
      </c>
      <c r="K31" s="11">
        <v>4151</v>
      </c>
      <c r="L31" s="11">
        <v>4075</v>
      </c>
      <c r="M31" s="11">
        <v>4054</v>
      </c>
      <c r="N31" s="11">
        <v>3587</v>
      </c>
      <c r="O31" s="11">
        <v>4594</v>
      </c>
      <c r="P31" s="11">
        <v>4713</v>
      </c>
      <c r="Q31" s="11">
        <v>4408</v>
      </c>
      <c r="R31" s="11">
        <v>552</v>
      </c>
      <c r="S31" s="11">
        <v>3775</v>
      </c>
      <c r="T31" s="11">
        <v>4164</v>
      </c>
      <c r="U31" s="11">
        <v>916</v>
      </c>
      <c r="V31" s="11">
        <v>3739</v>
      </c>
      <c r="W31" s="11">
        <v>505</v>
      </c>
      <c r="X31" s="11">
        <v>0</v>
      </c>
    </row>
    <row r="32" spans="1:24" x14ac:dyDescent="0.2">
      <c r="A32" s="6" t="s">
        <v>256</v>
      </c>
      <c r="B32" s="11">
        <v>12622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3296</v>
      </c>
      <c r="O32" s="11">
        <v>3634</v>
      </c>
      <c r="P32" s="11">
        <v>3366</v>
      </c>
      <c r="Q32" s="11">
        <v>2127</v>
      </c>
      <c r="R32" s="11">
        <v>0</v>
      </c>
      <c r="S32" s="11">
        <v>0</v>
      </c>
      <c r="T32" s="11">
        <v>0</v>
      </c>
      <c r="U32" s="11">
        <v>0</v>
      </c>
      <c r="V32" s="11">
        <v>200</v>
      </c>
      <c r="W32" s="11">
        <v>0</v>
      </c>
      <c r="X32" s="11">
        <v>0</v>
      </c>
    </row>
    <row r="33" spans="1:24" x14ac:dyDescent="0.2">
      <c r="A33" s="6" t="s">
        <v>257</v>
      </c>
      <c r="B33" s="11">
        <v>64154</v>
      </c>
      <c r="C33" s="11">
        <v>4263</v>
      </c>
      <c r="D33" s="11">
        <v>3443</v>
      </c>
      <c r="E33" s="11">
        <v>2681</v>
      </c>
      <c r="F33" s="11">
        <v>2797</v>
      </c>
      <c r="G33" s="11">
        <v>3401</v>
      </c>
      <c r="H33" s="11">
        <v>2770</v>
      </c>
      <c r="I33" s="11">
        <v>3462</v>
      </c>
      <c r="J33" s="11">
        <v>3280</v>
      </c>
      <c r="K33" s="11">
        <v>5029</v>
      </c>
      <c r="L33" s="11">
        <v>4075</v>
      </c>
      <c r="M33" s="11">
        <v>154</v>
      </c>
      <c r="N33" s="11">
        <v>3436</v>
      </c>
      <c r="O33" s="11">
        <v>4115</v>
      </c>
      <c r="P33" s="11">
        <v>3238</v>
      </c>
      <c r="Q33" s="11">
        <v>2200</v>
      </c>
      <c r="R33" s="11">
        <v>3632</v>
      </c>
      <c r="S33" s="11">
        <v>0</v>
      </c>
      <c r="T33" s="11">
        <v>4224</v>
      </c>
      <c r="U33" s="11">
        <v>2800</v>
      </c>
      <c r="V33" s="11">
        <v>3025</v>
      </c>
      <c r="W33" s="11">
        <v>2130</v>
      </c>
      <c r="X33" s="11">
        <v>0</v>
      </c>
    </row>
    <row r="34" spans="1:24" x14ac:dyDescent="0.2">
      <c r="A34" s="6" t="s">
        <v>258</v>
      </c>
      <c r="B34" s="11">
        <v>5266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3289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1977</v>
      </c>
      <c r="V34" s="11">
        <v>0</v>
      </c>
      <c r="W34" s="11">
        <v>0</v>
      </c>
      <c r="X34" s="11">
        <v>0</v>
      </c>
    </row>
    <row r="35" spans="1:24" x14ac:dyDescent="0.2">
      <c r="A35" s="6" t="s">
        <v>259</v>
      </c>
      <c r="B35" s="11">
        <v>159434</v>
      </c>
      <c r="C35" s="11">
        <v>5204</v>
      </c>
      <c r="D35" s="11">
        <v>13285</v>
      </c>
      <c r="E35" s="11">
        <v>7929</v>
      </c>
      <c r="F35" s="11">
        <v>11024</v>
      </c>
      <c r="G35" s="11">
        <v>6930</v>
      </c>
      <c r="H35" s="11">
        <v>9054</v>
      </c>
      <c r="I35" s="11">
        <v>4992</v>
      </c>
      <c r="J35" s="11">
        <v>4560</v>
      </c>
      <c r="K35" s="11">
        <v>2649</v>
      </c>
      <c r="L35" s="11">
        <v>16020</v>
      </c>
      <c r="M35" s="11">
        <v>12239</v>
      </c>
      <c r="N35" s="11">
        <v>24539</v>
      </c>
      <c r="O35" s="11">
        <v>10252</v>
      </c>
      <c r="P35" s="11">
        <v>8252</v>
      </c>
      <c r="Q35" s="11">
        <v>2523</v>
      </c>
      <c r="R35" s="11">
        <v>6906</v>
      </c>
      <c r="S35" s="11">
        <v>5647</v>
      </c>
      <c r="T35" s="11">
        <v>2571</v>
      </c>
      <c r="U35" s="11">
        <v>372</v>
      </c>
      <c r="V35" s="11">
        <v>4486</v>
      </c>
      <c r="W35" s="11">
        <v>0</v>
      </c>
      <c r="X35" s="11">
        <v>0</v>
      </c>
    </row>
    <row r="36" spans="1:24" x14ac:dyDescent="0.2">
      <c r="A36" s="6" t="s">
        <v>260</v>
      </c>
      <c r="B36" s="11">
        <v>119200</v>
      </c>
      <c r="C36" s="11">
        <v>6399</v>
      </c>
      <c r="D36" s="11">
        <v>905</v>
      </c>
      <c r="E36" s="11">
        <v>4191</v>
      </c>
      <c r="F36" s="11">
        <v>2026</v>
      </c>
      <c r="G36" s="11">
        <v>6597</v>
      </c>
      <c r="H36" s="11">
        <v>2122</v>
      </c>
      <c r="I36" s="11">
        <v>4389</v>
      </c>
      <c r="J36" s="11">
        <v>11079</v>
      </c>
      <c r="K36" s="11">
        <v>7541</v>
      </c>
      <c r="L36" s="11">
        <v>2788</v>
      </c>
      <c r="M36" s="11">
        <v>4899</v>
      </c>
      <c r="N36" s="11">
        <v>5693</v>
      </c>
      <c r="O36" s="11">
        <v>7238</v>
      </c>
      <c r="P36" s="11">
        <v>8331</v>
      </c>
      <c r="Q36" s="11">
        <v>14664</v>
      </c>
      <c r="R36" s="11">
        <v>9389</v>
      </c>
      <c r="S36" s="11">
        <v>0</v>
      </c>
      <c r="T36" s="11">
        <v>6463</v>
      </c>
      <c r="U36" s="11">
        <v>4165</v>
      </c>
      <c r="V36" s="11">
        <v>6106</v>
      </c>
      <c r="W36" s="11">
        <v>4214</v>
      </c>
      <c r="X36" s="11">
        <v>0</v>
      </c>
    </row>
    <row r="37" spans="1:24" x14ac:dyDescent="0.2">
      <c r="A37" s="6" t="s">
        <v>261</v>
      </c>
      <c r="B37" s="11">
        <v>51914</v>
      </c>
      <c r="C37" s="11">
        <v>0</v>
      </c>
      <c r="D37" s="11">
        <v>0</v>
      </c>
      <c r="E37" s="11">
        <v>3659</v>
      </c>
      <c r="F37" s="11">
        <v>0</v>
      </c>
      <c r="G37" s="11">
        <v>4233</v>
      </c>
      <c r="H37" s="11">
        <v>672</v>
      </c>
      <c r="I37" s="11">
        <v>0</v>
      </c>
      <c r="J37" s="11">
        <v>6564</v>
      </c>
      <c r="K37" s="11">
        <v>3118</v>
      </c>
      <c r="L37" s="11">
        <v>3871</v>
      </c>
      <c r="M37" s="11">
        <v>5618</v>
      </c>
      <c r="N37" s="11">
        <v>5986</v>
      </c>
      <c r="O37" s="11">
        <v>10025</v>
      </c>
      <c r="P37" s="11">
        <v>1202</v>
      </c>
      <c r="Q37" s="11">
        <v>6966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</row>
    <row r="38" spans="1:24" x14ac:dyDescent="0.2">
      <c r="A38" s="6" t="s">
        <v>262</v>
      </c>
      <c r="B38" s="11">
        <v>13456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4684</v>
      </c>
      <c r="M38" s="11">
        <v>0</v>
      </c>
      <c r="N38" s="11">
        <v>0</v>
      </c>
      <c r="O38" s="11">
        <v>0</v>
      </c>
      <c r="P38" s="11">
        <v>4684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4088</v>
      </c>
      <c r="W38" s="11">
        <v>0</v>
      </c>
      <c r="X38" s="11">
        <v>0</v>
      </c>
    </row>
    <row r="39" spans="1:24" x14ac:dyDescent="0.2">
      <c r="A39" s="6" t="s">
        <v>263</v>
      </c>
      <c r="B39" s="11">
        <v>8197</v>
      </c>
      <c r="C39" s="11">
        <v>2651</v>
      </c>
      <c r="D39" s="11">
        <v>0</v>
      </c>
      <c r="E39" s="11">
        <v>550</v>
      </c>
      <c r="F39" s="11">
        <v>0</v>
      </c>
      <c r="G39" s="11">
        <v>235</v>
      </c>
      <c r="H39" s="11">
        <v>2454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45</v>
      </c>
      <c r="Q39" s="11">
        <v>1592</v>
      </c>
      <c r="R39" s="11">
        <v>670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264</v>
      </c>
      <c r="B40" s="11">
        <v>97778</v>
      </c>
      <c r="C40" s="11">
        <v>6600</v>
      </c>
      <c r="D40" s="11">
        <v>5961</v>
      </c>
      <c r="E40" s="11">
        <v>5961</v>
      </c>
      <c r="F40" s="11">
        <v>7239</v>
      </c>
      <c r="G40" s="11">
        <v>6305</v>
      </c>
      <c r="H40" s="11">
        <v>6387</v>
      </c>
      <c r="I40" s="11">
        <v>6813</v>
      </c>
      <c r="J40" s="11">
        <v>2719</v>
      </c>
      <c r="K40" s="11">
        <v>526</v>
      </c>
      <c r="L40" s="11">
        <v>0</v>
      </c>
      <c r="M40" s="11">
        <v>6388</v>
      </c>
      <c r="N40" s="11">
        <v>5670</v>
      </c>
      <c r="O40" s="11">
        <v>0</v>
      </c>
      <c r="P40" s="11">
        <v>8517</v>
      </c>
      <c r="Q40" s="11">
        <v>0</v>
      </c>
      <c r="R40" s="11">
        <v>7069</v>
      </c>
      <c r="S40" s="11">
        <v>5536</v>
      </c>
      <c r="T40" s="11">
        <v>4599</v>
      </c>
      <c r="U40" s="11">
        <v>4088</v>
      </c>
      <c r="V40" s="11">
        <v>6776</v>
      </c>
      <c r="W40" s="11">
        <v>623</v>
      </c>
      <c r="X40" s="11">
        <v>0</v>
      </c>
    </row>
    <row r="41" spans="1:24" x14ac:dyDescent="0.2">
      <c r="A41" s="6" t="s">
        <v>265</v>
      </c>
      <c r="B41" s="11">
        <v>5028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5029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</row>
    <row r="42" spans="1:24" x14ac:dyDescent="0.2">
      <c r="A42" s="6" t="s">
        <v>266</v>
      </c>
      <c r="B42" s="11">
        <v>49978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3796</v>
      </c>
      <c r="K42" s="11">
        <v>4186</v>
      </c>
      <c r="L42" s="11">
        <v>4683</v>
      </c>
      <c r="M42" s="11">
        <v>2907</v>
      </c>
      <c r="N42" s="11">
        <v>7589</v>
      </c>
      <c r="O42" s="11">
        <v>3321</v>
      </c>
      <c r="P42" s="11">
        <v>5110</v>
      </c>
      <c r="Q42" s="11">
        <v>0</v>
      </c>
      <c r="R42" s="11">
        <v>0</v>
      </c>
      <c r="S42" s="11">
        <v>3683</v>
      </c>
      <c r="T42" s="11">
        <v>2378</v>
      </c>
      <c r="U42" s="11">
        <v>2697</v>
      </c>
      <c r="V42" s="11">
        <v>4314</v>
      </c>
      <c r="W42" s="11">
        <v>101</v>
      </c>
      <c r="X42" s="11">
        <v>5213</v>
      </c>
    </row>
    <row r="43" spans="1:24" x14ac:dyDescent="0.2">
      <c r="A43" s="6" t="s">
        <v>267</v>
      </c>
      <c r="B43" s="11">
        <v>27676</v>
      </c>
      <c r="C43" s="11">
        <v>2998</v>
      </c>
      <c r="D43" s="11">
        <v>2548</v>
      </c>
      <c r="E43" s="11">
        <v>3261</v>
      </c>
      <c r="F43" s="11">
        <v>3596</v>
      </c>
      <c r="G43" s="11">
        <v>3790</v>
      </c>
      <c r="H43" s="11">
        <v>3090</v>
      </c>
      <c r="I43" s="11">
        <v>3611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4783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268</v>
      </c>
      <c r="B44" s="11">
        <v>9546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157</v>
      </c>
      <c r="P44" s="11">
        <v>0</v>
      </c>
      <c r="Q44" s="11">
        <v>4074</v>
      </c>
      <c r="R44" s="11">
        <v>5314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</row>
    <row r="45" spans="1:24" x14ac:dyDescent="0.2">
      <c r="A45" s="6" t="s">
        <v>269</v>
      </c>
      <c r="B45" s="13">
        <v>3331134</v>
      </c>
      <c r="C45" s="13">
        <v>193928</v>
      </c>
      <c r="D45" s="13">
        <v>152880</v>
      </c>
      <c r="E45" s="13">
        <v>175302</v>
      </c>
      <c r="F45" s="13">
        <v>154910</v>
      </c>
      <c r="G45" s="13">
        <v>160779</v>
      </c>
      <c r="H45" s="13">
        <v>159719</v>
      </c>
      <c r="I45" s="13">
        <v>117058</v>
      </c>
      <c r="J45" s="13">
        <v>149831</v>
      </c>
      <c r="K45" s="13">
        <v>119597</v>
      </c>
      <c r="L45" s="13">
        <v>188431</v>
      </c>
      <c r="M45" s="13">
        <v>169009</v>
      </c>
      <c r="N45" s="13">
        <v>394537</v>
      </c>
      <c r="O45" s="13">
        <v>222320</v>
      </c>
      <c r="P45" s="13">
        <v>228873</v>
      </c>
      <c r="Q45" s="13">
        <v>203470</v>
      </c>
      <c r="R45" s="13">
        <v>213527</v>
      </c>
      <c r="S45" s="13">
        <v>77409</v>
      </c>
      <c r="T45" s="13">
        <v>69286</v>
      </c>
      <c r="U45" s="13">
        <v>52177</v>
      </c>
      <c r="V45" s="13">
        <v>90213</v>
      </c>
      <c r="W45" s="13">
        <v>23413</v>
      </c>
      <c r="X45" s="13">
        <v>14464</v>
      </c>
    </row>
    <row r="46" spans="1:24" x14ac:dyDescent="0.2">
      <c r="A46" s="6" t="s">
        <v>270</v>
      </c>
      <c r="B46" s="15" t="s">
        <v>70</v>
      </c>
      <c r="C46" s="15" t="s">
        <v>70</v>
      </c>
      <c r="D46" s="15" t="s">
        <v>70</v>
      </c>
      <c r="E46" s="15" t="s">
        <v>70</v>
      </c>
      <c r="F46" s="15" t="s">
        <v>70</v>
      </c>
      <c r="G46" s="15" t="s">
        <v>70</v>
      </c>
      <c r="H46" s="15" t="s">
        <v>70</v>
      </c>
      <c r="I46" s="15" t="s">
        <v>70</v>
      </c>
      <c r="J46" s="15" t="s">
        <v>70</v>
      </c>
      <c r="K46" s="15" t="s">
        <v>70</v>
      </c>
      <c r="L46" s="15" t="s">
        <v>70</v>
      </c>
      <c r="M46" s="15" t="s">
        <v>70</v>
      </c>
      <c r="N46" s="15" t="s">
        <v>70</v>
      </c>
      <c r="O46" s="15" t="s">
        <v>70</v>
      </c>
      <c r="P46" s="15" t="s">
        <v>70</v>
      </c>
      <c r="Q46" s="15" t="s">
        <v>70</v>
      </c>
      <c r="R46" s="15" t="s">
        <v>70</v>
      </c>
      <c r="S46" s="15" t="s">
        <v>70</v>
      </c>
      <c r="T46" s="15" t="s">
        <v>70</v>
      </c>
      <c r="U46" s="15" t="s">
        <v>70</v>
      </c>
      <c r="V46" s="15" t="s">
        <v>70</v>
      </c>
      <c r="W46" s="15" t="s">
        <v>70</v>
      </c>
      <c r="X46" s="15" t="s">
        <v>70</v>
      </c>
    </row>
    <row r="47" spans="1:24" x14ac:dyDescent="0.2">
      <c r="A47" s="6" t="s">
        <v>271</v>
      </c>
      <c r="B47" s="11">
        <v>441603</v>
      </c>
      <c r="C47" s="11">
        <v>25951</v>
      </c>
      <c r="D47" s="11">
        <v>20695</v>
      </c>
      <c r="E47" s="11">
        <v>24098</v>
      </c>
      <c r="F47" s="11">
        <v>21385</v>
      </c>
      <c r="G47" s="11">
        <v>21736</v>
      </c>
      <c r="H47" s="11">
        <v>22204</v>
      </c>
      <c r="I47" s="11">
        <v>15896</v>
      </c>
      <c r="J47" s="11">
        <v>20164</v>
      </c>
      <c r="K47" s="11">
        <v>16881</v>
      </c>
      <c r="L47" s="11">
        <v>25130</v>
      </c>
      <c r="M47" s="11">
        <v>22721</v>
      </c>
      <c r="N47" s="11">
        <v>52634</v>
      </c>
      <c r="O47" s="11">
        <v>30048</v>
      </c>
      <c r="P47" s="11">
        <v>30585</v>
      </c>
      <c r="Q47" s="11">
        <v>23782</v>
      </c>
      <c r="R47" s="11">
        <v>23097</v>
      </c>
      <c r="S47" s="11">
        <v>10352</v>
      </c>
      <c r="T47" s="11">
        <v>9527</v>
      </c>
      <c r="U47" s="11">
        <v>7254</v>
      </c>
      <c r="V47" s="11">
        <v>11866</v>
      </c>
      <c r="W47" s="11">
        <v>3427</v>
      </c>
      <c r="X47" s="11">
        <v>2172</v>
      </c>
    </row>
    <row r="48" spans="1:24" x14ac:dyDescent="0.2">
      <c r="A48" s="6" t="s">
        <v>272</v>
      </c>
      <c r="B48" s="11">
        <v>68189</v>
      </c>
      <c r="C48" s="11">
        <v>7216</v>
      </c>
      <c r="D48" s="11">
        <v>3899</v>
      </c>
      <c r="E48" s="11">
        <v>3325</v>
      </c>
      <c r="F48" s="11">
        <v>5515</v>
      </c>
      <c r="G48" s="11">
        <v>6296</v>
      </c>
      <c r="H48" s="11">
        <v>2301</v>
      </c>
      <c r="I48" s="11">
        <v>1320</v>
      </c>
      <c r="J48" s="11">
        <v>3868</v>
      </c>
      <c r="K48" s="11">
        <v>1274</v>
      </c>
      <c r="L48" s="11">
        <v>5439</v>
      </c>
      <c r="M48" s="11">
        <v>4876</v>
      </c>
      <c r="N48" s="11">
        <v>3771</v>
      </c>
      <c r="O48" s="11">
        <v>1975</v>
      </c>
      <c r="P48" s="11">
        <v>4742</v>
      </c>
      <c r="Q48" s="11">
        <v>6439</v>
      </c>
      <c r="R48" s="11">
        <v>3002</v>
      </c>
      <c r="S48" s="11">
        <v>58</v>
      </c>
      <c r="T48" s="11">
        <v>3382</v>
      </c>
      <c r="U48" s="11">
        <v>726</v>
      </c>
      <c r="V48" s="11">
        <v>-1314</v>
      </c>
      <c r="W48" s="11">
        <v>390</v>
      </c>
      <c r="X48" s="11">
        <v>-310</v>
      </c>
    </row>
    <row r="49" spans="1:24" x14ac:dyDescent="0.2">
      <c r="A49" s="6" t="s">
        <v>273</v>
      </c>
      <c r="B49" s="13">
        <v>509792</v>
      </c>
      <c r="C49" s="13">
        <v>33167</v>
      </c>
      <c r="D49" s="13">
        <v>24594</v>
      </c>
      <c r="E49" s="13">
        <v>27423</v>
      </c>
      <c r="F49" s="13">
        <v>26900</v>
      </c>
      <c r="G49" s="13">
        <v>28032</v>
      </c>
      <c r="H49" s="13">
        <v>24505</v>
      </c>
      <c r="I49" s="13">
        <v>17216</v>
      </c>
      <c r="J49" s="13">
        <v>24032</v>
      </c>
      <c r="K49" s="13">
        <v>18155</v>
      </c>
      <c r="L49" s="13">
        <v>30569</v>
      </c>
      <c r="M49" s="13">
        <v>27597</v>
      </c>
      <c r="N49" s="13">
        <v>56405</v>
      </c>
      <c r="O49" s="13">
        <v>32023</v>
      </c>
      <c r="P49" s="13">
        <v>35327</v>
      </c>
      <c r="Q49" s="13">
        <v>30221</v>
      </c>
      <c r="R49" s="13">
        <v>26099</v>
      </c>
      <c r="S49" s="13">
        <v>10410</v>
      </c>
      <c r="T49" s="13">
        <v>12909</v>
      </c>
      <c r="U49" s="13">
        <v>7980</v>
      </c>
      <c r="V49" s="13">
        <v>10552</v>
      </c>
      <c r="W49" s="13">
        <v>3817</v>
      </c>
      <c r="X49" s="13">
        <v>1862</v>
      </c>
    </row>
    <row r="50" spans="1:24" x14ac:dyDescent="0.2">
      <c r="A50" s="6" t="s">
        <v>274</v>
      </c>
      <c r="B50" s="14">
        <v>3840926</v>
      </c>
      <c r="C50" s="14">
        <v>227095</v>
      </c>
      <c r="D50" s="14">
        <v>177474</v>
      </c>
      <c r="E50" s="14">
        <v>202725</v>
      </c>
      <c r="F50" s="14">
        <v>181810</v>
      </c>
      <c r="G50" s="14">
        <v>188811</v>
      </c>
      <c r="H50" s="14">
        <v>184224</v>
      </c>
      <c r="I50" s="14">
        <v>134274</v>
      </c>
      <c r="J50" s="14">
        <v>173863</v>
      </c>
      <c r="K50" s="14">
        <v>137752</v>
      </c>
      <c r="L50" s="14">
        <v>219000</v>
      </c>
      <c r="M50" s="14">
        <v>196606</v>
      </c>
      <c r="N50" s="14">
        <v>450942</v>
      </c>
      <c r="O50" s="14">
        <v>254343</v>
      </c>
      <c r="P50" s="14">
        <v>264200</v>
      </c>
      <c r="Q50" s="14">
        <v>233691</v>
      </c>
      <c r="R50" s="14">
        <v>239626</v>
      </c>
      <c r="S50" s="14">
        <v>87819</v>
      </c>
      <c r="T50" s="14">
        <v>82195</v>
      </c>
      <c r="U50" s="14">
        <v>60157</v>
      </c>
      <c r="V50" s="14">
        <v>100765</v>
      </c>
      <c r="W50" s="14">
        <v>27230</v>
      </c>
      <c r="X50" s="14">
        <v>16326</v>
      </c>
    </row>
    <row r="51" spans="1:24" x14ac:dyDescent="0.2">
      <c r="A51" s="4" t="s">
        <v>6</v>
      </c>
    </row>
    <row r="52" spans="1:24" x14ac:dyDescent="0.2">
      <c r="A52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16"/>
  <sheetViews>
    <sheetView workbookViewId="0"/>
  </sheetViews>
  <sheetFormatPr defaultColWidth="9.140625" defaultRowHeight="12.75" x14ac:dyDescent="0.2"/>
  <cols>
    <col min="1" max="1" width="37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275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276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277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</row>
    <row r="13" spans="1:24" x14ac:dyDescent="0.2">
      <c r="A13" s="6" t="s">
        <v>71</v>
      </c>
      <c r="B13" s="16">
        <v>111361.21</v>
      </c>
      <c r="C13" s="16">
        <v>6812.92</v>
      </c>
      <c r="D13" s="16">
        <v>2257.41</v>
      </c>
      <c r="E13" s="16">
        <v>6489.62</v>
      </c>
      <c r="F13" s="16">
        <v>238.66</v>
      </c>
      <c r="G13" s="16">
        <v>7014.48</v>
      </c>
      <c r="H13" s="16">
        <v>7239.01</v>
      </c>
      <c r="I13" s="16">
        <v>6645.8</v>
      </c>
      <c r="J13" s="16">
        <v>7652.47</v>
      </c>
      <c r="K13" s="16">
        <v>7391.28</v>
      </c>
      <c r="L13" s="16">
        <v>10372.040000000001</v>
      </c>
      <c r="M13" s="16">
        <v>4368.13</v>
      </c>
      <c r="N13" s="16">
        <v>9583.4500000000007</v>
      </c>
      <c r="O13" s="16">
        <v>865.38</v>
      </c>
      <c r="P13" s="16">
        <v>308.24</v>
      </c>
      <c r="Q13" s="16">
        <v>8711.58</v>
      </c>
      <c r="R13" s="16">
        <v>5463.63</v>
      </c>
      <c r="S13" s="16">
        <v>6723.21</v>
      </c>
      <c r="T13" s="16">
        <v>4598.8999999999996</v>
      </c>
      <c r="U13" s="16">
        <v>0</v>
      </c>
      <c r="V13" s="16">
        <v>8625</v>
      </c>
      <c r="W13" s="16">
        <v>0</v>
      </c>
      <c r="X13" s="16">
        <v>0</v>
      </c>
    </row>
    <row r="14" spans="1:24" x14ac:dyDescent="0.2">
      <c r="A14" s="6" t="s">
        <v>72</v>
      </c>
      <c r="B14" s="16">
        <v>419.25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419.25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</row>
    <row r="15" spans="1:24" x14ac:dyDescent="0.2">
      <c r="A15" s="6" t="s">
        <v>74</v>
      </c>
      <c r="B15" s="16">
        <v>889.29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296.43</v>
      </c>
      <c r="O15" s="16">
        <v>0</v>
      </c>
      <c r="P15" s="16">
        <v>592.86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</row>
    <row r="16" spans="1:24" x14ac:dyDescent="0.2">
      <c r="A16" s="6" t="s">
        <v>75</v>
      </c>
      <c r="B16" s="16">
        <v>3311.47</v>
      </c>
      <c r="C16" s="16">
        <v>0</v>
      </c>
      <c r="D16" s="16">
        <v>0</v>
      </c>
      <c r="E16" s="16">
        <v>0</v>
      </c>
      <c r="F16" s="16">
        <v>255.05</v>
      </c>
      <c r="G16" s="16">
        <v>0</v>
      </c>
      <c r="H16" s="16">
        <v>0</v>
      </c>
      <c r="I16" s="16">
        <v>810.86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2245.56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</row>
    <row r="17" spans="1:24" x14ac:dyDescent="0.2">
      <c r="A17" s="6" t="s">
        <v>76</v>
      </c>
      <c r="B17" s="16">
        <v>1869.91</v>
      </c>
      <c r="C17" s="16">
        <v>0</v>
      </c>
      <c r="D17" s="16">
        <v>250.82</v>
      </c>
      <c r="E17" s="16">
        <v>0</v>
      </c>
      <c r="F17" s="16">
        <v>0</v>
      </c>
      <c r="G17" s="16">
        <v>256.83</v>
      </c>
      <c r="H17" s="16">
        <v>0</v>
      </c>
      <c r="I17" s="16">
        <v>270.29000000000002</v>
      </c>
      <c r="J17" s="16">
        <v>271.97000000000003</v>
      </c>
      <c r="K17" s="16">
        <v>271.92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230.77</v>
      </c>
      <c r="R17" s="16">
        <v>0</v>
      </c>
      <c r="S17" s="16">
        <v>0</v>
      </c>
      <c r="T17" s="16">
        <v>0</v>
      </c>
      <c r="U17" s="16">
        <v>0</v>
      </c>
      <c r="V17" s="16">
        <v>317.31</v>
      </c>
      <c r="W17" s="16">
        <v>0</v>
      </c>
      <c r="X17" s="16">
        <v>0</v>
      </c>
    </row>
    <row r="18" spans="1:24" x14ac:dyDescent="0.2">
      <c r="A18" s="6" t="s">
        <v>278</v>
      </c>
      <c r="B18" s="21">
        <v>117851.13</v>
      </c>
      <c r="C18" s="21">
        <v>6812.92</v>
      </c>
      <c r="D18" s="21">
        <v>2508.23</v>
      </c>
      <c r="E18" s="21">
        <v>6489.62</v>
      </c>
      <c r="F18" s="21">
        <v>493.71</v>
      </c>
      <c r="G18" s="21">
        <v>7271.31</v>
      </c>
      <c r="H18" s="21">
        <v>7239.01</v>
      </c>
      <c r="I18" s="21">
        <v>8146.2</v>
      </c>
      <c r="J18" s="21">
        <v>7924.44</v>
      </c>
      <c r="K18" s="21">
        <v>7663.2</v>
      </c>
      <c r="L18" s="21">
        <v>10372.040000000001</v>
      </c>
      <c r="M18" s="21">
        <v>4368.13</v>
      </c>
      <c r="N18" s="21">
        <v>9879.8799999999992</v>
      </c>
      <c r="O18" s="21">
        <v>865.38</v>
      </c>
      <c r="P18" s="21">
        <v>901.1</v>
      </c>
      <c r="Q18" s="21">
        <v>8942.35</v>
      </c>
      <c r="R18" s="21">
        <v>7709.19</v>
      </c>
      <c r="S18" s="21">
        <v>6723.21</v>
      </c>
      <c r="T18" s="21">
        <v>4598.8999999999996</v>
      </c>
      <c r="U18" s="21">
        <v>0</v>
      </c>
      <c r="V18" s="21">
        <v>8942.31</v>
      </c>
      <c r="W18" s="21">
        <v>0</v>
      </c>
      <c r="X18" s="21">
        <v>0</v>
      </c>
    </row>
    <row r="19" spans="1:24" x14ac:dyDescent="0.2">
      <c r="A19" s="6" t="s">
        <v>279</v>
      </c>
      <c r="B19" s="15" t="s">
        <v>70</v>
      </c>
      <c r="C19" s="15" t="s">
        <v>70</v>
      </c>
      <c r="D19" s="15" t="s">
        <v>70</v>
      </c>
      <c r="E19" s="15" t="s">
        <v>70</v>
      </c>
      <c r="F19" s="15" t="s">
        <v>70</v>
      </c>
      <c r="G19" s="15" t="s">
        <v>70</v>
      </c>
      <c r="H19" s="15" t="s">
        <v>70</v>
      </c>
      <c r="I19" s="15" t="s">
        <v>70</v>
      </c>
      <c r="J19" s="15" t="s">
        <v>70</v>
      </c>
      <c r="K19" s="15" t="s">
        <v>70</v>
      </c>
      <c r="L19" s="15" t="s">
        <v>70</v>
      </c>
      <c r="M19" s="15" t="s">
        <v>70</v>
      </c>
      <c r="N19" s="15" t="s">
        <v>70</v>
      </c>
      <c r="O19" s="15" t="s">
        <v>70</v>
      </c>
      <c r="P19" s="15" t="s">
        <v>70</v>
      </c>
      <c r="Q19" s="15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</row>
    <row r="20" spans="1:24" x14ac:dyDescent="0.2">
      <c r="A20" s="6" t="s">
        <v>71</v>
      </c>
      <c r="B20" s="16">
        <v>68863.570000000007</v>
      </c>
      <c r="C20" s="16">
        <v>5074.8</v>
      </c>
      <c r="D20" s="16">
        <v>0</v>
      </c>
      <c r="E20" s="16">
        <v>5383.29</v>
      </c>
      <c r="F20" s="16">
        <v>5704.72</v>
      </c>
      <c r="G20" s="16">
        <v>5576.72</v>
      </c>
      <c r="H20" s="16">
        <v>4689.84</v>
      </c>
      <c r="I20" s="16">
        <v>3603.21</v>
      </c>
      <c r="J20" s="16">
        <v>0</v>
      </c>
      <c r="K20" s="16">
        <v>0</v>
      </c>
      <c r="L20" s="16">
        <v>7872.86</v>
      </c>
      <c r="M20" s="16">
        <v>6022.85</v>
      </c>
      <c r="N20" s="16">
        <v>7239.01</v>
      </c>
      <c r="O20" s="16">
        <v>6571.42</v>
      </c>
      <c r="P20" s="16">
        <v>0</v>
      </c>
      <c r="Q20" s="16">
        <v>0</v>
      </c>
      <c r="R20" s="16">
        <v>11124.85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</row>
    <row r="21" spans="1:24" x14ac:dyDescent="0.2">
      <c r="A21" s="6" t="s">
        <v>72</v>
      </c>
      <c r="B21" s="16">
        <v>7069.7</v>
      </c>
      <c r="C21" s="16">
        <v>1490.98</v>
      </c>
      <c r="D21" s="16">
        <v>0</v>
      </c>
      <c r="E21" s="16">
        <v>352.93</v>
      </c>
      <c r="F21" s="16">
        <v>1012.5</v>
      </c>
      <c r="G21" s="16">
        <v>1881.84</v>
      </c>
      <c r="H21" s="16">
        <v>23.25</v>
      </c>
      <c r="I21" s="16">
        <v>0</v>
      </c>
      <c r="J21" s="16">
        <v>0</v>
      </c>
      <c r="K21" s="16">
        <v>0</v>
      </c>
      <c r="L21" s="16">
        <v>0</v>
      </c>
      <c r="M21" s="16">
        <v>1806.86</v>
      </c>
      <c r="N21" s="16">
        <v>501.34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</row>
    <row r="22" spans="1:24" x14ac:dyDescent="0.2">
      <c r="A22" s="6" t="s">
        <v>73</v>
      </c>
      <c r="B22" s="16">
        <v>428.57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428.57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</row>
    <row r="23" spans="1:24" x14ac:dyDescent="0.2">
      <c r="A23" s="6" t="s">
        <v>74</v>
      </c>
      <c r="B23" s="16">
        <v>82.14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82.14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</row>
    <row r="24" spans="1:24" x14ac:dyDescent="0.2">
      <c r="A24" s="6" t="s">
        <v>75</v>
      </c>
      <c r="B24" s="16">
        <v>2112.7399999999998</v>
      </c>
      <c r="C24" s="16">
        <v>0</v>
      </c>
      <c r="D24" s="16">
        <v>0</v>
      </c>
      <c r="E24" s="16">
        <v>930.86</v>
      </c>
      <c r="F24" s="16">
        <v>366.43</v>
      </c>
      <c r="G24" s="16">
        <v>354.86</v>
      </c>
      <c r="H24" s="16">
        <v>203.72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256.87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</row>
    <row r="25" spans="1:24" x14ac:dyDescent="0.2">
      <c r="A25" s="6" t="s">
        <v>76</v>
      </c>
      <c r="B25" s="16">
        <v>2056.09</v>
      </c>
      <c r="C25" s="16">
        <v>0</v>
      </c>
      <c r="D25" s="16">
        <v>0</v>
      </c>
      <c r="E25" s="16">
        <v>514.29</v>
      </c>
      <c r="F25" s="16">
        <v>226.29</v>
      </c>
      <c r="G25" s="16">
        <v>223.14</v>
      </c>
      <c r="H25" s="16">
        <v>194.86</v>
      </c>
      <c r="I25" s="16">
        <v>0</v>
      </c>
      <c r="J25" s="16">
        <v>0</v>
      </c>
      <c r="K25" s="16">
        <v>0</v>
      </c>
      <c r="L25" s="16">
        <v>0</v>
      </c>
      <c r="M25" s="16">
        <v>126.89</v>
      </c>
      <c r="N25" s="16">
        <v>0</v>
      </c>
      <c r="O25" s="16">
        <v>241.76</v>
      </c>
      <c r="P25" s="16">
        <v>0</v>
      </c>
      <c r="Q25" s="16">
        <v>0</v>
      </c>
      <c r="R25" s="16">
        <v>528.86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</row>
    <row r="26" spans="1:24" x14ac:dyDescent="0.2">
      <c r="A26" s="6" t="s">
        <v>280</v>
      </c>
      <c r="B26" s="21">
        <v>80612.81</v>
      </c>
      <c r="C26" s="21">
        <v>6565.78</v>
      </c>
      <c r="D26" s="21">
        <v>0</v>
      </c>
      <c r="E26" s="21">
        <v>7181.37</v>
      </c>
      <c r="F26" s="21">
        <v>7309.94</v>
      </c>
      <c r="G26" s="21">
        <v>8036.56</v>
      </c>
      <c r="H26" s="21">
        <v>5111.67</v>
      </c>
      <c r="I26" s="21">
        <v>3603.21</v>
      </c>
      <c r="J26" s="21">
        <v>0</v>
      </c>
      <c r="K26" s="21">
        <v>0</v>
      </c>
      <c r="L26" s="21">
        <v>7872.86</v>
      </c>
      <c r="M26" s="21">
        <v>7956.6</v>
      </c>
      <c r="N26" s="21">
        <v>8251.06</v>
      </c>
      <c r="O26" s="21">
        <v>6813.18</v>
      </c>
      <c r="P26" s="21">
        <v>0</v>
      </c>
      <c r="Q26" s="21">
        <v>0</v>
      </c>
      <c r="R26" s="21">
        <v>11910.58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</row>
    <row r="27" spans="1:24" x14ac:dyDescent="0.2">
      <c r="A27" s="6" t="s">
        <v>281</v>
      </c>
      <c r="B27" s="15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 t="s">
        <v>70</v>
      </c>
      <c r="V27" s="15" t="s">
        <v>70</v>
      </c>
      <c r="W27" s="15" t="s">
        <v>70</v>
      </c>
      <c r="X27" s="15" t="s">
        <v>70</v>
      </c>
    </row>
    <row r="28" spans="1:24" x14ac:dyDescent="0.2">
      <c r="A28" s="6" t="s">
        <v>71</v>
      </c>
      <c r="B28" s="16">
        <v>16731.95</v>
      </c>
      <c r="C28" s="16">
        <v>0</v>
      </c>
      <c r="D28" s="16">
        <v>4505.5</v>
      </c>
      <c r="E28" s="16">
        <v>0</v>
      </c>
      <c r="F28" s="16">
        <v>0</v>
      </c>
      <c r="G28" s="16">
        <v>2595.11</v>
      </c>
      <c r="H28" s="16">
        <v>3808.44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5822.9</v>
      </c>
      <c r="V28" s="16">
        <v>0</v>
      </c>
      <c r="W28" s="16">
        <v>0</v>
      </c>
      <c r="X28" s="16">
        <v>0</v>
      </c>
    </row>
    <row r="29" spans="1:24" x14ac:dyDescent="0.2">
      <c r="A29" s="6" t="s">
        <v>72</v>
      </c>
      <c r="B29" s="16">
        <v>59.63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59.63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</row>
    <row r="30" spans="1:24" x14ac:dyDescent="0.2">
      <c r="A30" s="6" t="s">
        <v>75</v>
      </c>
      <c r="B30" s="16">
        <v>333.14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333.14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</row>
    <row r="31" spans="1:24" x14ac:dyDescent="0.2">
      <c r="A31" s="6" t="s">
        <v>76</v>
      </c>
      <c r="B31" s="16">
        <v>333.14</v>
      </c>
      <c r="C31" s="16">
        <v>0</v>
      </c>
      <c r="D31" s="16">
        <v>0</v>
      </c>
      <c r="E31" s="16">
        <v>0</v>
      </c>
      <c r="F31" s="16">
        <v>0</v>
      </c>
      <c r="G31" s="16">
        <v>166.57</v>
      </c>
      <c r="H31" s="16">
        <v>166.57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</row>
    <row r="32" spans="1:24" x14ac:dyDescent="0.2">
      <c r="A32" s="6" t="s">
        <v>282</v>
      </c>
      <c r="B32" s="21">
        <v>17457.86</v>
      </c>
      <c r="C32" s="21">
        <v>0</v>
      </c>
      <c r="D32" s="21">
        <v>4505.5</v>
      </c>
      <c r="E32" s="21">
        <v>0</v>
      </c>
      <c r="F32" s="21">
        <v>0</v>
      </c>
      <c r="G32" s="21">
        <v>2761.68</v>
      </c>
      <c r="H32" s="21">
        <v>4367.78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5822.9</v>
      </c>
      <c r="V32" s="21">
        <v>0</v>
      </c>
      <c r="W32" s="21">
        <v>0</v>
      </c>
      <c r="X32" s="21">
        <v>0</v>
      </c>
    </row>
    <row r="33" spans="1:24" x14ac:dyDescent="0.2">
      <c r="A33" s="6" t="s">
        <v>283</v>
      </c>
      <c r="B33" s="15" t="s">
        <v>70</v>
      </c>
      <c r="C33" s="15" t="s">
        <v>70</v>
      </c>
      <c r="D33" s="15" t="s">
        <v>70</v>
      </c>
      <c r="E33" s="15" t="s">
        <v>70</v>
      </c>
      <c r="F33" s="15" t="s">
        <v>70</v>
      </c>
      <c r="G33" s="15" t="s">
        <v>70</v>
      </c>
      <c r="H33" s="15" t="s">
        <v>70</v>
      </c>
      <c r="I33" s="15" t="s">
        <v>70</v>
      </c>
      <c r="J33" s="15" t="s">
        <v>70</v>
      </c>
      <c r="K33" s="15" t="s">
        <v>70</v>
      </c>
      <c r="L33" s="15" t="s">
        <v>70</v>
      </c>
      <c r="M33" s="15" t="s">
        <v>70</v>
      </c>
      <c r="N33" s="15" t="s">
        <v>70</v>
      </c>
      <c r="O33" s="15" t="s">
        <v>70</v>
      </c>
      <c r="P33" s="15" t="s">
        <v>70</v>
      </c>
      <c r="Q33" s="15" t="s">
        <v>70</v>
      </c>
      <c r="R33" s="15" t="s">
        <v>70</v>
      </c>
      <c r="S33" s="15" t="s">
        <v>70</v>
      </c>
      <c r="T33" s="15" t="s">
        <v>70</v>
      </c>
      <c r="U33" s="15" t="s">
        <v>70</v>
      </c>
      <c r="V33" s="15" t="s">
        <v>70</v>
      </c>
      <c r="W33" s="15" t="s">
        <v>70</v>
      </c>
      <c r="X33" s="15" t="s">
        <v>70</v>
      </c>
    </row>
    <row r="34" spans="1:24" x14ac:dyDescent="0.2">
      <c r="A34" s="6" t="s">
        <v>71</v>
      </c>
      <c r="B34" s="16">
        <v>198789.95</v>
      </c>
      <c r="C34" s="16">
        <v>26018.79</v>
      </c>
      <c r="D34" s="16">
        <v>29244.57</v>
      </c>
      <c r="E34" s="16">
        <v>13246.12</v>
      </c>
      <c r="F34" s="16">
        <v>6781.5</v>
      </c>
      <c r="G34" s="16">
        <v>8373.68</v>
      </c>
      <c r="H34" s="16">
        <v>10142.09</v>
      </c>
      <c r="I34" s="16">
        <v>6053.12</v>
      </c>
      <c r="J34" s="16">
        <v>12180.71</v>
      </c>
      <c r="K34" s="16">
        <v>5680</v>
      </c>
      <c r="L34" s="16">
        <v>7224.15</v>
      </c>
      <c r="M34" s="16">
        <v>9584.61</v>
      </c>
      <c r="N34" s="16">
        <v>17338.79</v>
      </c>
      <c r="O34" s="16">
        <v>10594.28</v>
      </c>
      <c r="P34" s="16">
        <v>8632.8799999999992</v>
      </c>
      <c r="Q34" s="16">
        <v>201.92</v>
      </c>
      <c r="R34" s="16">
        <v>15960.72</v>
      </c>
      <c r="S34" s="16">
        <v>0</v>
      </c>
      <c r="T34" s="16">
        <v>4365</v>
      </c>
      <c r="U34" s="16">
        <v>697.5</v>
      </c>
      <c r="V34" s="16">
        <v>6469.52</v>
      </c>
      <c r="W34" s="16">
        <v>0</v>
      </c>
      <c r="X34" s="16">
        <v>0</v>
      </c>
    </row>
    <row r="35" spans="1:24" x14ac:dyDescent="0.2">
      <c r="A35" s="6" t="s">
        <v>72</v>
      </c>
      <c r="B35" s="16">
        <v>20551.07</v>
      </c>
      <c r="C35" s="16">
        <v>3586.36</v>
      </c>
      <c r="D35" s="16">
        <v>3004.86</v>
      </c>
      <c r="E35" s="16">
        <v>1808.11</v>
      </c>
      <c r="F35" s="16">
        <v>420.75</v>
      </c>
      <c r="G35" s="16">
        <v>276.83999999999997</v>
      </c>
      <c r="H35" s="16">
        <v>462</v>
      </c>
      <c r="I35" s="16">
        <v>0</v>
      </c>
      <c r="J35" s="16">
        <v>2276.17</v>
      </c>
      <c r="K35" s="16">
        <v>0</v>
      </c>
      <c r="L35" s="16">
        <v>1082.57</v>
      </c>
      <c r="M35" s="16">
        <v>0</v>
      </c>
      <c r="N35" s="16">
        <v>4080.34</v>
      </c>
      <c r="O35" s="16">
        <v>811.5</v>
      </c>
      <c r="P35" s="16">
        <v>1427.14</v>
      </c>
      <c r="Q35" s="16">
        <v>0</v>
      </c>
      <c r="R35" s="16">
        <v>981.43</v>
      </c>
      <c r="S35" s="16">
        <v>0</v>
      </c>
      <c r="T35" s="16">
        <v>333</v>
      </c>
      <c r="U35" s="16">
        <v>0</v>
      </c>
      <c r="V35" s="16">
        <v>0</v>
      </c>
      <c r="W35" s="16">
        <v>0</v>
      </c>
      <c r="X35" s="16">
        <v>0</v>
      </c>
    </row>
    <row r="36" spans="1:24" x14ac:dyDescent="0.2">
      <c r="A36" s="6" t="s">
        <v>73</v>
      </c>
      <c r="B36" s="16">
        <v>392.86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392.86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</row>
    <row r="37" spans="1:24" x14ac:dyDescent="0.2">
      <c r="A37" s="6" t="s">
        <v>74</v>
      </c>
      <c r="B37" s="16">
        <v>519.64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19.64</v>
      </c>
      <c r="K37" s="16">
        <v>0</v>
      </c>
      <c r="L37" s="16">
        <v>300</v>
      </c>
      <c r="M37" s="16">
        <v>0</v>
      </c>
      <c r="N37" s="16">
        <v>0</v>
      </c>
      <c r="O37" s="16">
        <v>0</v>
      </c>
      <c r="P37" s="16">
        <v>200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</row>
    <row r="38" spans="1:24" x14ac:dyDescent="0.2">
      <c r="A38" s="6" t="s">
        <v>75</v>
      </c>
      <c r="B38" s="16">
        <v>4917.38</v>
      </c>
      <c r="C38" s="16">
        <v>0</v>
      </c>
      <c r="D38" s="16">
        <v>675.53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2221.4299999999998</v>
      </c>
      <c r="K38" s="16">
        <v>0</v>
      </c>
      <c r="L38" s="16">
        <v>0</v>
      </c>
      <c r="M38" s="16">
        <v>268</v>
      </c>
      <c r="N38" s="16">
        <v>122.91</v>
      </c>
      <c r="O38" s="16">
        <v>203.99</v>
      </c>
      <c r="P38" s="16">
        <v>0</v>
      </c>
      <c r="Q38" s="16">
        <v>0</v>
      </c>
      <c r="R38" s="16">
        <v>200</v>
      </c>
      <c r="S38" s="16">
        <v>0</v>
      </c>
      <c r="T38" s="16">
        <v>20.57</v>
      </c>
      <c r="U38" s="16">
        <v>0</v>
      </c>
      <c r="V38" s="16">
        <v>1204.95</v>
      </c>
      <c r="W38" s="16">
        <v>0</v>
      </c>
      <c r="X38" s="16">
        <v>0</v>
      </c>
    </row>
    <row r="39" spans="1:24" x14ac:dyDescent="0.2">
      <c r="A39" s="6" t="s">
        <v>76</v>
      </c>
      <c r="B39" s="16">
        <v>5555.84</v>
      </c>
      <c r="C39" s="16">
        <v>1109.43</v>
      </c>
      <c r="D39" s="16">
        <v>1219.43</v>
      </c>
      <c r="E39" s="16">
        <v>204.29</v>
      </c>
      <c r="F39" s="16">
        <v>264</v>
      </c>
      <c r="G39" s="16">
        <v>352</v>
      </c>
      <c r="H39" s="16">
        <v>509.93</v>
      </c>
      <c r="I39" s="16">
        <v>0</v>
      </c>
      <c r="J39" s="16">
        <v>220</v>
      </c>
      <c r="K39" s="16">
        <v>259.29000000000002</v>
      </c>
      <c r="L39" s="16">
        <v>0</v>
      </c>
      <c r="M39" s="16">
        <v>346.5</v>
      </c>
      <c r="N39" s="16">
        <v>159.11000000000001</v>
      </c>
      <c r="O39" s="16">
        <v>379.5</v>
      </c>
      <c r="P39" s="16">
        <v>0</v>
      </c>
      <c r="Q39" s="16">
        <v>0</v>
      </c>
      <c r="R39" s="16">
        <v>251.43</v>
      </c>
      <c r="S39" s="16">
        <v>0</v>
      </c>
      <c r="T39" s="16">
        <v>155.57</v>
      </c>
      <c r="U39" s="16">
        <v>0</v>
      </c>
      <c r="V39" s="16">
        <v>125.36</v>
      </c>
      <c r="W39" s="16">
        <v>0</v>
      </c>
      <c r="X39" s="16">
        <v>0</v>
      </c>
    </row>
    <row r="40" spans="1:24" x14ac:dyDescent="0.2">
      <c r="A40" s="6" t="s">
        <v>284</v>
      </c>
      <c r="B40" s="21">
        <v>230726.74</v>
      </c>
      <c r="C40" s="21">
        <v>30714.58</v>
      </c>
      <c r="D40" s="21">
        <v>34144.39</v>
      </c>
      <c r="E40" s="21">
        <v>15258.52</v>
      </c>
      <c r="F40" s="21">
        <v>7466.25</v>
      </c>
      <c r="G40" s="21">
        <v>9002.52</v>
      </c>
      <c r="H40" s="21">
        <v>11114.02</v>
      </c>
      <c r="I40" s="21">
        <v>6053.12</v>
      </c>
      <c r="J40" s="21">
        <v>16917.95</v>
      </c>
      <c r="K40" s="21">
        <v>5939.29</v>
      </c>
      <c r="L40" s="21">
        <v>8606.7199999999993</v>
      </c>
      <c r="M40" s="21">
        <v>10199.11</v>
      </c>
      <c r="N40" s="21">
        <v>21701.15</v>
      </c>
      <c r="O40" s="21">
        <v>11989.27</v>
      </c>
      <c r="P40" s="21">
        <v>10652.88</v>
      </c>
      <c r="Q40" s="21">
        <v>201.92</v>
      </c>
      <c r="R40" s="21">
        <v>17393.580000000002</v>
      </c>
      <c r="S40" s="21">
        <v>0</v>
      </c>
      <c r="T40" s="21">
        <v>4874.1400000000003</v>
      </c>
      <c r="U40" s="21">
        <v>697.5</v>
      </c>
      <c r="V40" s="21">
        <v>7799.83</v>
      </c>
      <c r="W40" s="21">
        <v>0</v>
      </c>
      <c r="X40" s="21">
        <v>0</v>
      </c>
    </row>
    <row r="41" spans="1:24" x14ac:dyDescent="0.2">
      <c r="A41" s="6" t="s">
        <v>285</v>
      </c>
      <c r="B41" s="15" t="s">
        <v>70</v>
      </c>
      <c r="C41" s="15" t="s">
        <v>70</v>
      </c>
      <c r="D41" s="15" t="s">
        <v>70</v>
      </c>
      <c r="E41" s="15" t="s">
        <v>70</v>
      </c>
      <c r="F41" s="15" t="s">
        <v>70</v>
      </c>
      <c r="G41" s="15" t="s">
        <v>70</v>
      </c>
      <c r="H41" s="15" t="s">
        <v>70</v>
      </c>
      <c r="I41" s="15" t="s">
        <v>70</v>
      </c>
      <c r="J41" s="15" t="s">
        <v>70</v>
      </c>
      <c r="K41" s="15" t="s">
        <v>70</v>
      </c>
      <c r="L41" s="15" t="s">
        <v>70</v>
      </c>
      <c r="M41" s="15" t="s">
        <v>70</v>
      </c>
      <c r="N41" s="15" t="s">
        <v>70</v>
      </c>
      <c r="O41" s="15" t="s">
        <v>70</v>
      </c>
      <c r="P41" s="15" t="s">
        <v>70</v>
      </c>
      <c r="Q41" s="15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</row>
    <row r="42" spans="1:24" x14ac:dyDescent="0.2">
      <c r="A42" s="6" t="s">
        <v>71</v>
      </c>
      <c r="B42" s="16">
        <v>15056.15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3690.62</v>
      </c>
      <c r="K42" s="16">
        <v>0</v>
      </c>
      <c r="L42" s="16">
        <v>0</v>
      </c>
      <c r="M42" s="16">
        <v>0</v>
      </c>
      <c r="N42" s="16">
        <v>6083.39</v>
      </c>
      <c r="O42" s="16">
        <v>0</v>
      </c>
      <c r="P42" s="16">
        <v>5282.14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</row>
    <row r="43" spans="1:24" x14ac:dyDescent="0.2">
      <c r="A43" s="6" t="s">
        <v>72</v>
      </c>
      <c r="B43" s="16">
        <v>808.9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808.9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</row>
    <row r="44" spans="1:24" x14ac:dyDescent="0.2">
      <c r="A44" s="6" t="s">
        <v>74</v>
      </c>
      <c r="B44" s="16">
        <v>269.64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269.64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</row>
    <row r="45" spans="1:24" x14ac:dyDescent="0.2">
      <c r="A45" s="6" t="s">
        <v>75</v>
      </c>
      <c r="B45" s="16">
        <v>499.43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499.43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</row>
    <row r="46" spans="1:24" x14ac:dyDescent="0.2">
      <c r="A46" s="6" t="s">
        <v>76</v>
      </c>
      <c r="B46" s="16">
        <v>104.5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104.5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</row>
    <row r="47" spans="1:24" x14ac:dyDescent="0.2">
      <c r="A47" s="6" t="s">
        <v>286</v>
      </c>
      <c r="B47" s="21">
        <v>16738.62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3690.62</v>
      </c>
      <c r="K47" s="21">
        <v>0</v>
      </c>
      <c r="L47" s="21">
        <v>0</v>
      </c>
      <c r="M47" s="21">
        <v>0</v>
      </c>
      <c r="N47" s="21">
        <v>7765.86</v>
      </c>
      <c r="O47" s="21">
        <v>0</v>
      </c>
      <c r="P47" s="21">
        <v>5282.14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</row>
    <row r="48" spans="1:24" x14ac:dyDescent="0.2">
      <c r="A48" s="6" t="s">
        <v>287</v>
      </c>
      <c r="B48" s="15" t="s">
        <v>70</v>
      </c>
      <c r="C48" s="15" t="s">
        <v>70</v>
      </c>
      <c r="D48" s="15" t="s">
        <v>70</v>
      </c>
      <c r="E48" s="15" t="s">
        <v>70</v>
      </c>
      <c r="F48" s="15" t="s">
        <v>70</v>
      </c>
      <c r="G48" s="15" t="s">
        <v>70</v>
      </c>
      <c r="H48" s="15" t="s">
        <v>70</v>
      </c>
      <c r="I48" s="15" t="s">
        <v>70</v>
      </c>
      <c r="J48" s="15" t="s">
        <v>70</v>
      </c>
      <c r="K48" s="15" t="s">
        <v>70</v>
      </c>
      <c r="L48" s="15" t="s">
        <v>70</v>
      </c>
      <c r="M48" s="15" t="s">
        <v>70</v>
      </c>
      <c r="N48" s="15" t="s">
        <v>70</v>
      </c>
      <c r="O48" s="15" t="s">
        <v>70</v>
      </c>
      <c r="P48" s="15" t="s">
        <v>70</v>
      </c>
      <c r="Q48" s="15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  <c r="X48" s="15" t="s">
        <v>70</v>
      </c>
    </row>
    <row r="49" spans="1:24" x14ac:dyDescent="0.2">
      <c r="A49" s="6" t="s">
        <v>71</v>
      </c>
      <c r="B49" s="16">
        <v>7371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7371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</row>
    <row r="50" spans="1:24" x14ac:dyDescent="0.2">
      <c r="A50" s="6" t="s">
        <v>72</v>
      </c>
      <c r="B50" s="16">
        <v>1192.5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1192.5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</row>
    <row r="51" spans="1:24" x14ac:dyDescent="0.2">
      <c r="A51" s="6" t="s">
        <v>75</v>
      </c>
      <c r="B51" s="16">
        <v>171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171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</row>
    <row r="52" spans="1:24" x14ac:dyDescent="0.2">
      <c r="A52" s="6" t="s">
        <v>76</v>
      </c>
      <c r="B52" s="16">
        <v>75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75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</row>
    <row r="53" spans="1:24" x14ac:dyDescent="0.2">
      <c r="A53" s="6" t="s">
        <v>288</v>
      </c>
      <c r="B53" s="21">
        <v>8809.5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8809.5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</row>
    <row r="54" spans="1:24" x14ac:dyDescent="0.2">
      <c r="A54" s="6" t="s">
        <v>289</v>
      </c>
      <c r="B54" s="15" t="s">
        <v>70</v>
      </c>
      <c r="C54" s="15" t="s">
        <v>70</v>
      </c>
      <c r="D54" s="15" t="s">
        <v>70</v>
      </c>
      <c r="E54" s="15" t="s">
        <v>70</v>
      </c>
      <c r="F54" s="15" t="s">
        <v>70</v>
      </c>
      <c r="G54" s="15" t="s">
        <v>70</v>
      </c>
      <c r="H54" s="15" t="s">
        <v>70</v>
      </c>
      <c r="I54" s="15" t="s">
        <v>70</v>
      </c>
      <c r="J54" s="15" t="s">
        <v>70</v>
      </c>
      <c r="K54" s="15" t="s">
        <v>70</v>
      </c>
      <c r="L54" s="15" t="s">
        <v>70</v>
      </c>
      <c r="M54" s="15" t="s">
        <v>70</v>
      </c>
      <c r="N54" s="15" t="s">
        <v>70</v>
      </c>
      <c r="O54" s="15" t="s">
        <v>70</v>
      </c>
      <c r="P54" s="15" t="s">
        <v>70</v>
      </c>
      <c r="Q54" s="15" t="s">
        <v>70</v>
      </c>
      <c r="R54" s="15" t="s">
        <v>70</v>
      </c>
      <c r="S54" s="15" t="s">
        <v>70</v>
      </c>
      <c r="T54" s="15" t="s">
        <v>70</v>
      </c>
      <c r="U54" s="15" t="s">
        <v>70</v>
      </c>
      <c r="V54" s="15" t="s">
        <v>70</v>
      </c>
      <c r="W54" s="15" t="s">
        <v>70</v>
      </c>
      <c r="X54" s="15" t="s">
        <v>70</v>
      </c>
    </row>
    <row r="55" spans="1:24" x14ac:dyDescent="0.2">
      <c r="A55" s="6" t="s">
        <v>71</v>
      </c>
      <c r="B55" s="16">
        <v>86047.24</v>
      </c>
      <c r="C55" s="16">
        <v>6609.8</v>
      </c>
      <c r="D55" s="16">
        <v>5598.64</v>
      </c>
      <c r="E55" s="16">
        <v>5998.66</v>
      </c>
      <c r="F55" s="16">
        <v>5527.29</v>
      </c>
      <c r="G55" s="16">
        <v>7169.25</v>
      </c>
      <c r="H55" s="16">
        <v>3034.77</v>
      </c>
      <c r="I55" s="16">
        <v>6419.43</v>
      </c>
      <c r="J55" s="16">
        <v>0</v>
      </c>
      <c r="K55" s="16">
        <v>1860.57</v>
      </c>
      <c r="L55" s="16">
        <v>7327.28</v>
      </c>
      <c r="M55" s="16">
        <v>4907.43</v>
      </c>
      <c r="N55" s="16">
        <v>12032.15</v>
      </c>
      <c r="O55" s="16">
        <v>2175.8200000000002</v>
      </c>
      <c r="P55" s="16">
        <v>2708.79</v>
      </c>
      <c r="Q55" s="16">
        <v>6902.86</v>
      </c>
      <c r="R55" s="16">
        <v>7774.5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</row>
    <row r="56" spans="1:24" x14ac:dyDescent="0.2">
      <c r="A56" s="6" t="s">
        <v>72</v>
      </c>
      <c r="B56" s="16">
        <v>4743.54</v>
      </c>
      <c r="C56" s="16">
        <v>802.29</v>
      </c>
      <c r="D56" s="16">
        <v>440.57</v>
      </c>
      <c r="E56" s="16">
        <v>0</v>
      </c>
      <c r="F56" s="16">
        <v>215.69</v>
      </c>
      <c r="G56" s="16">
        <v>25.5</v>
      </c>
      <c r="H56" s="16">
        <v>0</v>
      </c>
      <c r="I56" s="16">
        <v>679.23</v>
      </c>
      <c r="J56" s="16">
        <v>0</v>
      </c>
      <c r="K56" s="16">
        <v>0</v>
      </c>
      <c r="L56" s="16">
        <v>0</v>
      </c>
      <c r="M56" s="16">
        <v>570.86</v>
      </c>
      <c r="N56" s="16">
        <v>2009.4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</row>
    <row r="57" spans="1:24" x14ac:dyDescent="0.2">
      <c r="A57" s="6" t="s">
        <v>74</v>
      </c>
      <c r="B57" s="16">
        <v>498.22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498.22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</row>
    <row r="58" spans="1:24" x14ac:dyDescent="0.2">
      <c r="A58" s="6" t="s">
        <v>75</v>
      </c>
      <c r="B58" s="16">
        <v>1965.12</v>
      </c>
      <c r="C58" s="16">
        <v>0</v>
      </c>
      <c r="D58" s="16">
        <v>96</v>
      </c>
      <c r="E58" s="16">
        <v>306.25</v>
      </c>
      <c r="F58" s="16">
        <v>356.51</v>
      </c>
      <c r="G58" s="16">
        <v>264.36</v>
      </c>
      <c r="H58" s="16">
        <v>0</v>
      </c>
      <c r="I58" s="16">
        <v>120</v>
      </c>
      <c r="J58" s="16">
        <v>0</v>
      </c>
      <c r="K58" s="16">
        <v>0</v>
      </c>
      <c r="L58" s="16">
        <v>0</v>
      </c>
      <c r="M58" s="16">
        <v>512</v>
      </c>
      <c r="N58" s="16">
        <v>310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</row>
    <row r="59" spans="1:24" x14ac:dyDescent="0.2">
      <c r="A59" s="6" t="s">
        <v>76</v>
      </c>
      <c r="B59" s="16">
        <v>2242.36</v>
      </c>
      <c r="C59" s="16">
        <v>245.14</v>
      </c>
      <c r="D59" s="16">
        <v>201.14</v>
      </c>
      <c r="E59" s="16">
        <v>452.57</v>
      </c>
      <c r="F59" s="16">
        <v>207.43</v>
      </c>
      <c r="G59" s="16">
        <v>0</v>
      </c>
      <c r="H59" s="16">
        <v>103.71</v>
      </c>
      <c r="I59" s="16">
        <v>216.86</v>
      </c>
      <c r="J59" s="16">
        <v>0</v>
      </c>
      <c r="K59" s="16">
        <v>0</v>
      </c>
      <c r="L59" s="16">
        <v>0</v>
      </c>
      <c r="M59" s="16">
        <v>0</v>
      </c>
      <c r="N59" s="16">
        <v>126.89</v>
      </c>
      <c r="O59" s="16">
        <v>241.76</v>
      </c>
      <c r="P59" s="16">
        <v>0</v>
      </c>
      <c r="Q59" s="16">
        <v>182.86</v>
      </c>
      <c r="R59" s="16">
        <v>264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</row>
    <row r="60" spans="1:24" x14ac:dyDescent="0.2">
      <c r="A60" s="6" t="s">
        <v>290</v>
      </c>
      <c r="B60" s="21">
        <v>95496.48</v>
      </c>
      <c r="C60" s="21">
        <v>7657.23</v>
      </c>
      <c r="D60" s="21">
        <v>6336.35</v>
      </c>
      <c r="E60" s="21">
        <v>6757.48</v>
      </c>
      <c r="F60" s="21">
        <v>6306.92</v>
      </c>
      <c r="G60" s="21">
        <v>7459.11</v>
      </c>
      <c r="H60" s="21">
        <v>3138.48</v>
      </c>
      <c r="I60" s="21">
        <v>7435.52</v>
      </c>
      <c r="J60" s="21">
        <v>0</v>
      </c>
      <c r="K60" s="21">
        <v>1860.57</v>
      </c>
      <c r="L60" s="21">
        <v>7327.28</v>
      </c>
      <c r="M60" s="21">
        <v>5990.29</v>
      </c>
      <c r="N60" s="21">
        <v>14976.66</v>
      </c>
      <c r="O60" s="21">
        <v>2417.58</v>
      </c>
      <c r="P60" s="21">
        <v>2708.79</v>
      </c>
      <c r="Q60" s="21">
        <v>7085.72</v>
      </c>
      <c r="R60" s="21">
        <v>8038.5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</row>
    <row r="61" spans="1:24" x14ac:dyDescent="0.2">
      <c r="A61" s="6" t="s">
        <v>291</v>
      </c>
      <c r="B61" s="15" t="s">
        <v>70</v>
      </c>
      <c r="C61" s="15" t="s">
        <v>70</v>
      </c>
      <c r="D61" s="15" t="s">
        <v>70</v>
      </c>
      <c r="E61" s="15" t="s">
        <v>70</v>
      </c>
      <c r="F61" s="15" t="s">
        <v>70</v>
      </c>
      <c r="G61" s="15" t="s">
        <v>70</v>
      </c>
      <c r="H61" s="15" t="s">
        <v>70</v>
      </c>
      <c r="I61" s="15" t="s">
        <v>70</v>
      </c>
      <c r="J61" s="15" t="s">
        <v>70</v>
      </c>
      <c r="K61" s="15" t="s">
        <v>70</v>
      </c>
      <c r="L61" s="15" t="s">
        <v>70</v>
      </c>
      <c r="M61" s="15" t="s">
        <v>70</v>
      </c>
      <c r="N61" s="15" t="s">
        <v>70</v>
      </c>
      <c r="O61" s="15" t="s">
        <v>70</v>
      </c>
      <c r="P61" s="15" t="s">
        <v>70</v>
      </c>
      <c r="Q61" s="15" t="s">
        <v>70</v>
      </c>
      <c r="R61" s="15" t="s">
        <v>70</v>
      </c>
      <c r="S61" s="15" t="s">
        <v>70</v>
      </c>
      <c r="T61" s="15" t="s">
        <v>70</v>
      </c>
      <c r="U61" s="15" t="s">
        <v>70</v>
      </c>
      <c r="V61" s="15" t="s">
        <v>70</v>
      </c>
      <c r="W61" s="15" t="s">
        <v>70</v>
      </c>
      <c r="X61" s="15" t="s">
        <v>70</v>
      </c>
    </row>
    <row r="62" spans="1:24" x14ac:dyDescent="0.2">
      <c r="A62" s="6" t="s">
        <v>71</v>
      </c>
      <c r="B62" s="16">
        <v>357767.29</v>
      </c>
      <c r="C62" s="16">
        <v>14089.71</v>
      </c>
      <c r="D62" s="16">
        <v>5472.71</v>
      </c>
      <c r="E62" s="16">
        <v>17735.169999999998</v>
      </c>
      <c r="F62" s="16">
        <v>23819.37</v>
      </c>
      <c r="G62" s="16">
        <v>14634.15</v>
      </c>
      <c r="H62" s="16">
        <v>21437.75</v>
      </c>
      <c r="I62" s="16">
        <v>15740.46</v>
      </c>
      <c r="J62" s="16">
        <v>8451.8700000000008</v>
      </c>
      <c r="K62" s="16">
        <v>3995</v>
      </c>
      <c r="L62" s="16">
        <v>26255.37</v>
      </c>
      <c r="M62" s="16">
        <v>20482.23</v>
      </c>
      <c r="N62" s="16">
        <v>37952.86</v>
      </c>
      <c r="O62" s="16">
        <v>26440.98</v>
      </c>
      <c r="P62" s="16">
        <v>17761.21</v>
      </c>
      <c r="Q62" s="16">
        <v>34132.28</v>
      </c>
      <c r="R62" s="16">
        <v>31829.43</v>
      </c>
      <c r="S62" s="16">
        <v>9882.2999999999993</v>
      </c>
      <c r="T62" s="16">
        <v>3929.43</v>
      </c>
      <c r="U62" s="16">
        <v>6828.5</v>
      </c>
      <c r="V62" s="16">
        <v>16896.509999999998</v>
      </c>
      <c r="W62" s="16">
        <v>0</v>
      </c>
      <c r="X62" s="16">
        <v>0</v>
      </c>
    </row>
    <row r="63" spans="1:24" x14ac:dyDescent="0.2">
      <c r="A63" s="6" t="s">
        <v>72</v>
      </c>
      <c r="B63" s="16">
        <v>31324.85</v>
      </c>
      <c r="C63" s="16">
        <v>1224</v>
      </c>
      <c r="D63" s="16">
        <v>666.48</v>
      </c>
      <c r="E63" s="16">
        <v>1922.68</v>
      </c>
      <c r="F63" s="16">
        <v>807.21</v>
      </c>
      <c r="G63" s="16">
        <v>785.68</v>
      </c>
      <c r="H63" s="16">
        <v>2389.31</v>
      </c>
      <c r="I63" s="16">
        <v>317.98</v>
      </c>
      <c r="J63" s="16">
        <v>113.1</v>
      </c>
      <c r="K63" s="16">
        <v>0</v>
      </c>
      <c r="L63" s="16">
        <v>2517.0300000000002</v>
      </c>
      <c r="M63" s="16">
        <v>95.55</v>
      </c>
      <c r="N63" s="16">
        <v>7313.51</v>
      </c>
      <c r="O63" s="16">
        <v>2329.48</v>
      </c>
      <c r="P63" s="16">
        <v>1912.87</v>
      </c>
      <c r="Q63" s="16">
        <v>3337.5</v>
      </c>
      <c r="R63" s="16">
        <v>5223.8</v>
      </c>
      <c r="S63" s="16">
        <v>0</v>
      </c>
      <c r="T63" s="16">
        <v>0</v>
      </c>
      <c r="U63" s="16">
        <v>0</v>
      </c>
      <c r="V63" s="16">
        <v>368.67</v>
      </c>
      <c r="W63" s="16">
        <v>0</v>
      </c>
      <c r="X63" s="16">
        <v>0</v>
      </c>
    </row>
    <row r="64" spans="1:24" x14ac:dyDescent="0.2">
      <c r="A64" s="6" t="s">
        <v>73</v>
      </c>
      <c r="B64" s="16">
        <v>1071.43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214.29</v>
      </c>
      <c r="O64" s="16">
        <v>0</v>
      </c>
      <c r="P64" s="16">
        <v>857.14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</row>
    <row r="65" spans="1:24" x14ac:dyDescent="0.2">
      <c r="A65" s="6" t="s">
        <v>74</v>
      </c>
      <c r="B65" s="16">
        <v>908.93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39.29</v>
      </c>
      <c r="I65" s="16">
        <v>0</v>
      </c>
      <c r="J65" s="16">
        <v>10.71</v>
      </c>
      <c r="K65" s="16">
        <v>0</v>
      </c>
      <c r="L65" s="16">
        <v>300</v>
      </c>
      <c r="M65" s="16">
        <v>0</v>
      </c>
      <c r="N65" s="16">
        <v>158.93</v>
      </c>
      <c r="O65" s="16">
        <v>0</v>
      </c>
      <c r="P65" s="16">
        <v>400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</row>
    <row r="66" spans="1:24" x14ac:dyDescent="0.2">
      <c r="A66" s="6" t="s">
        <v>75</v>
      </c>
      <c r="B66" s="16">
        <v>13750.88</v>
      </c>
      <c r="C66" s="16">
        <v>256</v>
      </c>
      <c r="D66" s="16">
        <v>0</v>
      </c>
      <c r="E66" s="16">
        <v>0</v>
      </c>
      <c r="F66" s="16">
        <v>120</v>
      </c>
      <c r="G66" s="16">
        <v>345.59</v>
      </c>
      <c r="H66" s="16">
        <v>1205.52</v>
      </c>
      <c r="I66" s="16">
        <v>0</v>
      </c>
      <c r="J66" s="16">
        <v>1680</v>
      </c>
      <c r="K66" s="16">
        <v>0</v>
      </c>
      <c r="L66" s="16">
        <v>2788.48</v>
      </c>
      <c r="M66" s="16">
        <v>1056</v>
      </c>
      <c r="N66" s="16">
        <v>2024.57</v>
      </c>
      <c r="O66" s="16">
        <v>0</v>
      </c>
      <c r="P66" s="16">
        <v>339.43</v>
      </c>
      <c r="Q66" s="16">
        <v>2153.4299999999998</v>
      </c>
      <c r="R66" s="16">
        <v>1175</v>
      </c>
      <c r="S66" s="16">
        <v>0</v>
      </c>
      <c r="T66" s="16">
        <v>516</v>
      </c>
      <c r="U66" s="16">
        <v>90.86</v>
      </c>
      <c r="V66" s="16">
        <v>0</v>
      </c>
      <c r="W66" s="16">
        <v>0</v>
      </c>
      <c r="X66" s="16">
        <v>0</v>
      </c>
    </row>
    <row r="67" spans="1:24" x14ac:dyDescent="0.2">
      <c r="A67" s="6" t="s">
        <v>76</v>
      </c>
      <c r="B67" s="16">
        <v>8458.26</v>
      </c>
      <c r="C67" s="16">
        <v>603.42999999999995</v>
      </c>
      <c r="D67" s="16">
        <v>182.29</v>
      </c>
      <c r="E67" s="16">
        <v>188.57</v>
      </c>
      <c r="F67" s="16">
        <v>770</v>
      </c>
      <c r="G67" s="16">
        <v>0</v>
      </c>
      <c r="H67" s="16">
        <v>729.14</v>
      </c>
      <c r="I67" s="16">
        <v>656.86</v>
      </c>
      <c r="J67" s="16">
        <v>165</v>
      </c>
      <c r="K67" s="16">
        <v>0</v>
      </c>
      <c r="L67" s="16">
        <v>0</v>
      </c>
      <c r="M67" s="16">
        <v>637.12</v>
      </c>
      <c r="N67" s="16">
        <v>1532.14</v>
      </c>
      <c r="O67" s="16">
        <v>292.19</v>
      </c>
      <c r="P67" s="16">
        <v>346.5</v>
      </c>
      <c r="Q67" s="16">
        <v>347.07</v>
      </c>
      <c r="R67" s="16">
        <v>955.62</v>
      </c>
      <c r="S67" s="16">
        <v>297.82</v>
      </c>
      <c r="T67" s="16">
        <v>117.86</v>
      </c>
      <c r="U67" s="16">
        <v>119.73</v>
      </c>
      <c r="V67" s="16">
        <v>516.91999999999996</v>
      </c>
      <c r="W67" s="16">
        <v>0</v>
      </c>
      <c r="X67" s="16">
        <v>0</v>
      </c>
    </row>
    <row r="68" spans="1:24" x14ac:dyDescent="0.2">
      <c r="A68" s="6" t="s">
        <v>292</v>
      </c>
      <c r="B68" s="21">
        <v>413281.64</v>
      </c>
      <c r="C68" s="21">
        <v>16173.14</v>
      </c>
      <c r="D68" s="21">
        <v>6321.48</v>
      </c>
      <c r="E68" s="21">
        <v>19846.419999999998</v>
      </c>
      <c r="F68" s="21">
        <v>25516.58</v>
      </c>
      <c r="G68" s="21">
        <v>15765.42</v>
      </c>
      <c r="H68" s="21">
        <v>25801.01</v>
      </c>
      <c r="I68" s="21">
        <v>16715.3</v>
      </c>
      <c r="J68" s="21">
        <v>10420.68</v>
      </c>
      <c r="K68" s="21">
        <v>3995</v>
      </c>
      <c r="L68" s="21">
        <v>31860.880000000001</v>
      </c>
      <c r="M68" s="21">
        <v>22270.9</v>
      </c>
      <c r="N68" s="21">
        <v>49196.3</v>
      </c>
      <c r="O68" s="21">
        <v>29062.65</v>
      </c>
      <c r="P68" s="21">
        <v>21617.15</v>
      </c>
      <c r="Q68" s="21">
        <v>39970.28</v>
      </c>
      <c r="R68" s="21">
        <v>39183.85</v>
      </c>
      <c r="S68" s="21">
        <v>10180.120000000001</v>
      </c>
      <c r="T68" s="21">
        <v>4563.29</v>
      </c>
      <c r="U68" s="21">
        <v>7039.09</v>
      </c>
      <c r="V68" s="21">
        <v>17782.099999999999</v>
      </c>
      <c r="W68" s="21">
        <v>0</v>
      </c>
      <c r="X68" s="21">
        <v>0</v>
      </c>
    </row>
    <row r="69" spans="1:24" x14ac:dyDescent="0.2">
      <c r="A69" s="6" t="s">
        <v>293</v>
      </c>
      <c r="B69" s="15" t="s">
        <v>70</v>
      </c>
      <c r="C69" s="15" t="s">
        <v>70</v>
      </c>
      <c r="D69" s="15" t="s">
        <v>70</v>
      </c>
      <c r="E69" s="15" t="s">
        <v>70</v>
      </c>
      <c r="F69" s="15" t="s">
        <v>70</v>
      </c>
      <c r="G69" s="15" t="s">
        <v>70</v>
      </c>
      <c r="H69" s="15" t="s">
        <v>70</v>
      </c>
      <c r="I69" s="15" t="s">
        <v>70</v>
      </c>
      <c r="J69" s="15" t="s">
        <v>70</v>
      </c>
      <c r="K69" s="15" t="s">
        <v>70</v>
      </c>
      <c r="L69" s="15" t="s">
        <v>70</v>
      </c>
      <c r="M69" s="15" t="s">
        <v>70</v>
      </c>
      <c r="N69" s="15" t="s">
        <v>70</v>
      </c>
      <c r="O69" s="15" t="s">
        <v>70</v>
      </c>
      <c r="P69" s="15" t="s">
        <v>70</v>
      </c>
      <c r="Q69" s="15" t="s">
        <v>70</v>
      </c>
      <c r="R69" s="15" t="s">
        <v>70</v>
      </c>
      <c r="S69" s="15" t="s">
        <v>70</v>
      </c>
      <c r="T69" s="15" t="s">
        <v>70</v>
      </c>
      <c r="U69" s="15" t="s">
        <v>70</v>
      </c>
      <c r="V69" s="15" t="s">
        <v>70</v>
      </c>
      <c r="W69" s="15" t="s">
        <v>70</v>
      </c>
      <c r="X69" s="15" t="s">
        <v>70</v>
      </c>
    </row>
    <row r="70" spans="1:24" x14ac:dyDescent="0.2">
      <c r="A70" s="6" t="s">
        <v>71</v>
      </c>
      <c r="B70" s="16">
        <v>1023760.46</v>
      </c>
      <c r="C70" s="16">
        <v>53176.11</v>
      </c>
      <c r="D70" s="16">
        <v>45395.87</v>
      </c>
      <c r="E70" s="16">
        <v>62608.46</v>
      </c>
      <c r="F70" s="16">
        <v>48375.9</v>
      </c>
      <c r="G70" s="16">
        <v>55154.61</v>
      </c>
      <c r="H70" s="16">
        <v>48826.67</v>
      </c>
      <c r="I70" s="16">
        <v>36166.199999999997</v>
      </c>
      <c r="J70" s="16">
        <v>51463.35</v>
      </c>
      <c r="K70" s="16">
        <v>51012.29</v>
      </c>
      <c r="L70" s="16">
        <v>59052.22</v>
      </c>
      <c r="M70" s="16">
        <v>58061.19</v>
      </c>
      <c r="N70" s="16">
        <v>121351.84</v>
      </c>
      <c r="O70" s="16">
        <v>92445.4</v>
      </c>
      <c r="P70" s="16">
        <v>92533.57</v>
      </c>
      <c r="Q70" s="16">
        <v>62964.04</v>
      </c>
      <c r="R70" s="16">
        <v>51881.02</v>
      </c>
      <c r="S70" s="16">
        <v>5167.41</v>
      </c>
      <c r="T70" s="16">
        <v>16239.96</v>
      </c>
      <c r="U70" s="16">
        <v>4451.25</v>
      </c>
      <c r="V70" s="16">
        <v>7395.97</v>
      </c>
      <c r="W70" s="16">
        <v>37.130000000000003</v>
      </c>
      <c r="X70" s="16">
        <v>0</v>
      </c>
    </row>
    <row r="71" spans="1:24" x14ac:dyDescent="0.2">
      <c r="A71" s="6" t="s">
        <v>72</v>
      </c>
      <c r="B71" s="16">
        <v>71884.92</v>
      </c>
      <c r="C71" s="16">
        <v>6651.6</v>
      </c>
      <c r="D71" s="16">
        <v>1449.06</v>
      </c>
      <c r="E71" s="16">
        <v>988.94</v>
      </c>
      <c r="F71" s="16">
        <v>1520.28</v>
      </c>
      <c r="G71" s="16">
        <v>2268.63</v>
      </c>
      <c r="H71" s="16">
        <v>730.33</v>
      </c>
      <c r="I71" s="16">
        <v>584.54999999999995</v>
      </c>
      <c r="J71" s="16">
        <v>2061.4</v>
      </c>
      <c r="K71" s="16">
        <v>5229.83</v>
      </c>
      <c r="L71" s="16">
        <v>1683.4</v>
      </c>
      <c r="M71" s="16">
        <v>679.09</v>
      </c>
      <c r="N71" s="16">
        <v>10319.74</v>
      </c>
      <c r="O71" s="16">
        <v>8338.92</v>
      </c>
      <c r="P71" s="16">
        <v>7786.93</v>
      </c>
      <c r="Q71" s="16">
        <v>5342.91</v>
      </c>
      <c r="R71" s="16">
        <v>13192.92</v>
      </c>
      <c r="S71" s="16">
        <v>0</v>
      </c>
      <c r="T71" s="16">
        <v>2035.32</v>
      </c>
      <c r="U71" s="16">
        <v>0</v>
      </c>
      <c r="V71" s="16">
        <v>1021.07</v>
      </c>
      <c r="W71" s="16">
        <v>0</v>
      </c>
      <c r="X71" s="16">
        <v>0</v>
      </c>
    </row>
    <row r="72" spans="1:24" x14ac:dyDescent="0.2">
      <c r="A72" s="6" t="s">
        <v>73</v>
      </c>
      <c r="B72" s="16">
        <v>642.86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642.86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</row>
    <row r="73" spans="1:24" x14ac:dyDescent="0.2">
      <c r="A73" s="6" t="s">
        <v>74</v>
      </c>
      <c r="B73" s="16">
        <v>5296.69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19.64</v>
      </c>
      <c r="K73" s="16">
        <v>871.43</v>
      </c>
      <c r="L73" s="16">
        <v>650</v>
      </c>
      <c r="M73" s="16">
        <v>157.13999999999999</v>
      </c>
      <c r="N73" s="16">
        <v>600</v>
      </c>
      <c r="O73" s="16">
        <v>982.14</v>
      </c>
      <c r="P73" s="16">
        <v>1928.57</v>
      </c>
      <c r="Q73" s="16">
        <v>0</v>
      </c>
      <c r="R73" s="16">
        <v>87.77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</row>
    <row r="74" spans="1:24" x14ac:dyDescent="0.2">
      <c r="A74" s="6" t="s">
        <v>75</v>
      </c>
      <c r="B74" s="16">
        <v>33394.9</v>
      </c>
      <c r="C74" s="16">
        <v>2282.12</v>
      </c>
      <c r="D74" s="16">
        <v>2116.71</v>
      </c>
      <c r="E74" s="16">
        <v>1322.43</v>
      </c>
      <c r="F74" s="16">
        <v>2222</v>
      </c>
      <c r="G74" s="16">
        <v>2340.85</v>
      </c>
      <c r="H74" s="16">
        <v>979.28</v>
      </c>
      <c r="I74" s="16">
        <v>305.33999999999997</v>
      </c>
      <c r="J74" s="16">
        <v>987.14</v>
      </c>
      <c r="K74" s="16">
        <v>1451.19</v>
      </c>
      <c r="L74" s="16">
        <v>308.88</v>
      </c>
      <c r="M74" s="16">
        <v>1322.93</v>
      </c>
      <c r="N74" s="16">
        <v>5121.4399999999996</v>
      </c>
      <c r="O74" s="16">
        <v>1945.96</v>
      </c>
      <c r="P74" s="16">
        <v>4501.0600000000004</v>
      </c>
      <c r="Q74" s="16">
        <v>3741.08</v>
      </c>
      <c r="R74" s="16">
        <v>2065.4499999999998</v>
      </c>
      <c r="S74" s="16">
        <v>97.23</v>
      </c>
      <c r="T74" s="16">
        <v>190.98</v>
      </c>
      <c r="U74" s="16">
        <v>0</v>
      </c>
      <c r="V74" s="16">
        <v>92.83</v>
      </c>
      <c r="W74" s="16">
        <v>0</v>
      </c>
      <c r="X74" s="16">
        <v>0</v>
      </c>
    </row>
    <row r="75" spans="1:24" x14ac:dyDescent="0.2">
      <c r="A75" s="6" t="s">
        <v>76</v>
      </c>
      <c r="B75" s="16">
        <v>29520.39</v>
      </c>
      <c r="C75" s="16">
        <v>1627.61</v>
      </c>
      <c r="D75" s="16">
        <v>1672</v>
      </c>
      <c r="E75" s="16">
        <v>1379.71</v>
      </c>
      <c r="F75" s="16">
        <v>1670.43</v>
      </c>
      <c r="G75" s="16">
        <v>1818.14</v>
      </c>
      <c r="H75" s="16">
        <v>2259.71</v>
      </c>
      <c r="I75" s="16">
        <v>1307.43</v>
      </c>
      <c r="J75" s="16">
        <v>1666.11</v>
      </c>
      <c r="K75" s="16">
        <v>1368.92</v>
      </c>
      <c r="L75" s="16">
        <v>1786.54</v>
      </c>
      <c r="M75" s="16">
        <v>1875.22</v>
      </c>
      <c r="N75" s="16">
        <v>3360.63</v>
      </c>
      <c r="O75" s="16">
        <v>1934.63</v>
      </c>
      <c r="P75" s="16">
        <v>2294.1</v>
      </c>
      <c r="Q75" s="16">
        <v>1126.6099999999999</v>
      </c>
      <c r="R75" s="16">
        <v>1776.43</v>
      </c>
      <c r="S75" s="16">
        <v>0</v>
      </c>
      <c r="T75" s="16">
        <v>388.84</v>
      </c>
      <c r="U75" s="16">
        <v>207.33</v>
      </c>
      <c r="V75" s="16">
        <v>0</v>
      </c>
      <c r="W75" s="16">
        <v>0</v>
      </c>
      <c r="X75" s="16">
        <v>0</v>
      </c>
    </row>
    <row r="76" spans="1:24" x14ac:dyDescent="0.2">
      <c r="A76" s="6" t="s">
        <v>294</v>
      </c>
      <c r="B76" s="21">
        <v>1164500.22</v>
      </c>
      <c r="C76" s="21">
        <v>63737.440000000002</v>
      </c>
      <c r="D76" s="21">
        <v>50633.64</v>
      </c>
      <c r="E76" s="21">
        <v>66299.539999999994</v>
      </c>
      <c r="F76" s="21">
        <v>53788.61</v>
      </c>
      <c r="G76" s="21">
        <v>61582.23</v>
      </c>
      <c r="H76" s="21">
        <v>52795.99</v>
      </c>
      <c r="I76" s="21">
        <v>38363.519999999997</v>
      </c>
      <c r="J76" s="21">
        <v>56197.64</v>
      </c>
      <c r="K76" s="21">
        <v>59933.66</v>
      </c>
      <c r="L76" s="21">
        <v>63481.04</v>
      </c>
      <c r="M76" s="21">
        <v>62095.57</v>
      </c>
      <c r="N76" s="21">
        <v>140753.65</v>
      </c>
      <c r="O76" s="21">
        <v>105647.05</v>
      </c>
      <c r="P76" s="21">
        <v>109687.09</v>
      </c>
      <c r="Q76" s="21">
        <v>73174.64</v>
      </c>
      <c r="R76" s="21">
        <v>69003.59</v>
      </c>
      <c r="S76" s="21">
        <v>5264.64</v>
      </c>
      <c r="T76" s="21">
        <v>18855.099999999999</v>
      </c>
      <c r="U76" s="21">
        <v>4658.58</v>
      </c>
      <c r="V76" s="21">
        <v>8509.8700000000008</v>
      </c>
      <c r="W76" s="21">
        <v>37.130000000000003</v>
      </c>
      <c r="X76" s="21">
        <v>0</v>
      </c>
    </row>
    <row r="77" spans="1:24" x14ac:dyDescent="0.2">
      <c r="A77" s="6" t="s">
        <v>295</v>
      </c>
      <c r="B77" s="15" t="s">
        <v>70</v>
      </c>
      <c r="C77" s="15" t="s">
        <v>70</v>
      </c>
      <c r="D77" s="15" t="s">
        <v>70</v>
      </c>
      <c r="E77" s="15" t="s">
        <v>70</v>
      </c>
      <c r="F77" s="15" t="s">
        <v>70</v>
      </c>
      <c r="G77" s="15" t="s">
        <v>70</v>
      </c>
      <c r="H77" s="15" t="s">
        <v>70</v>
      </c>
      <c r="I77" s="15" t="s">
        <v>70</v>
      </c>
      <c r="J77" s="15" t="s">
        <v>70</v>
      </c>
      <c r="K77" s="15" t="s">
        <v>70</v>
      </c>
      <c r="L77" s="15" t="s">
        <v>70</v>
      </c>
      <c r="M77" s="15" t="s">
        <v>70</v>
      </c>
      <c r="N77" s="15" t="s">
        <v>70</v>
      </c>
      <c r="O77" s="15" t="s">
        <v>70</v>
      </c>
      <c r="P77" s="15" t="s">
        <v>70</v>
      </c>
      <c r="Q77" s="15" t="s">
        <v>70</v>
      </c>
      <c r="R77" s="15" t="s">
        <v>70</v>
      </c>
      <c r="S77" s="15" t="s">
        <v>70</v>
      </c>
      <c r="T77" s="15" t="s">
        <v>70</v>
      </c>
      <c r="U77" s="15" t="s">
        <v>70</v>
      </c>
      <c r="V77" s="15" t="s">
        <v>70</v>
      </c>
      <c r="W77" s="15" t="s">
        <v>70</v>
      </c>
      <c r="X77" s="15" t="s">
        <v>70</v>
      </c>
    </row>
    <row r="78" spans="1:24" x14ac:dyDescent="0.2">
      <c r="A78" s="6" t="s">
        <v>71</v>
      </c>
      <c r="B78" s="16">
        <v>464.46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464.46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</row>
    <row r="79" spans="1:24" x14ac:dyDescent="0.2">
      <c r="A79" s="6" t="s">
        <v>72</v>
      </c>
      <c r="B79" s="16">
        <v>2.73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2.73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</row>
    <row r="80" spans="1:24" x14ac:dyDescent="0.2">
      <c r="A80" s="6" t="s">
        <v>296</v>
      </c>
      <c r="B80" s="21">
        <v>467.19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467.19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</row>
    <row r="81" spans="1:24" x14ac:dyDescent="0.2">
      <c r="A81" s="6" t="s">
        <v>297</v>
      </c>
      <c r="B81" s="15" t="s">
        <v>70</v>
      </c>
      <c r="C81" s="15" t="s">
        <v>70</v>
      </c>
      <c r="D81" s="15" t="s">
        <v>70</v>
      </c>
      <c r="E81" s="15" t="s">
        <v>70</v>
      </c>
      <c r="F81" s="15" t="s">
        <v>70</v>
      </c>
      <c r="G81" s="15" t="s">
        <v>70</v>
      </c>
      <c r="H81" s="15" t="s">
        <v>70</v>
      </c>
      <c r="I81" s="15" t="s">
        <v>70</v>
      </c>
      <c r="J81" s="15" t="s">
        <v>70</v>
      </c>
      <c r="K81" s="15" t="s">
        <v>70</v>
      </c>
      <c r="L81" s="15" t="s">
        <v>70</v>
      </c>
      <c r="M81" s="15" t="s">
        <v>70</v>
      </c>
      <c r="N81" s="15" t="s">
        <v>70</v>
      </c>
      <c r="O81" s="15" t="s">
        <v>70</v>
      </c>
      <c r="P81" s="15" t="s">
        <v>70</v>
      </c>
      <c r="Q81" s="15" t="s">
        <v>70</v>
      </c>
      <c r="R81" s="15" t="s">
        <v>70</v>
      </c>
      <c r="S81" s="15" t="s">
        <v>70</v>
      </c>
      <c r="T81" s="15" t="s">
        <v>70</v>
      </c>
      <c r="U81" s="15" t="s">
        <v>70</v>
      </c>
      <c r="V81" s="15" t="s">
        <v>70</v>
      </c>
      <c r="W81" s="15" t="s">
        <v>70</v>
      </c>
      <c r="X81" s="15" t="s">
        <v>70</v>
      </c>
    </row>
    <row r="82" spans="1:24" x14ac:dyDescent="0.2">
      <c r="A82" s="6" t="s">
        <v>71</v>
      </c>
      <c r="B82" s="16">
        <v>32544.71</v>
      </c>
      <c r="C82" s="16">
        <v>2891.57</v>
      </c>
      <c r="D82" s="16">
        <v>2015.71</v>
      </c>
      <c r="E82" s="16">
        <v>2766.57</v>
      </c>
      <c r="F82" s="16">
        <v>1479</v>
      </c>
      <c r="G82" s="16">
        <v>600</v>
      </c>
      <c r="H82" s="16">
        <v>2290.14</v>
      </c>
      <c r="I82" s="16">
        <v>2962.28</v>
      </c>
      <c r="J82" s="16">
        <v>0</v>
      </c>
      <c r="K82" s="16">
        <v>0</v>
      </c>
      <c r="L82" s="16">
        <v>2640</v>
      </c>
      <c r="M82" s="16">
        <v>860.36</v>
      </c>
      <c r="N82" s="16">
        <v>3990.09</v>
      </c>
      <c r="O82" s="16">
        <v>4716.49</v>
      </c>
      <c r="P82" s="16">
        <v>815.93</v>
      </c>
      <c r="Q82" s="16">
        <v>928.57</v>
      </c>
      <c r="R82" s="16">
        <v>3588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</row>
    <row r="83" spans="1:24" x14ac:dyDescent="0.2">
      <c r="A83" s="6" t="s">
        <v>72</v>
      </c>
      <c r="B83" s="16">
        <v>776.57</v>
      </c>
      <c r="C83" s="16">
        <v>95.46</v>
      </c>
      <c r="D83" s="16">
        <v>134.79</v>
      </c>
      <c r="E83" s="16">
        <v>19.7</v>
      </c>
      <c r="F83" s="16">
        <v>3.38</v>
      </c>
      <c r="G83" s="16">
        <v>0</v>
      </c>
      <c r="H83" s="16">
        <v>70.13</v>
      </c>
      <c r="I83" s="16">
        <v>86.79</v>
      </c>
      <c r="J83" s="16">
        <v>0</v>
      </c>
      <c r="K83" s="16">
        <v>0</v>
      </c>
      <c r="L83" s="16">
        <v>172.86</v>
      </c>
      <c r="M83" s="16">
        <v>0</v>
      </c>
      <c r="N83" s="16">
        <v>193.46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</row>
    <row r="84" spans="1:24" x14ac:dyDescent="0.2">
      <c r="A84" s="6" t="s">
        <v>75</v>
      </c>
      <c r="B84" s="16">
        <v>467.23</v>
      </c>
      <c r="C84" s="16">
        <v>0</v>
      </c>
      <c r="D84" s="16">
        <v>152.09</v>
      </c>
      <c r="E84" s="16">
        <v>110</v>
      </c>
      <c r="F84" s="16">
        <v>0</v>
      </c>
      <c r="G84" s="16">
        <v>0</v>
      </c>
      <c r="H84" s="16">
        <v>0</v>
      </c>
      <c r="I84" s="16">
        <v>113.14</v>
      </c>
      <c r="J84" s="16">
        <v>0</v>
      </c>
      <c r="K84" s="16">
        <v>0</v>
      </c>
      <c r="L84" s="16">
        <v>0</v>
      </c>
      <c r="M84" s="16">
        <v>0</v>
      </c>
      <c r="N84" s="16">
        <v>92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</row>
    <row r="85" spans="1:24" x14ac:dyDescent="0.2">
      <c r="A85" s="6" t="s">
        <v>76</v>
      </c>
      <c r="B85" s="16">
        <v>801.43</v>
      </c>
      <c r="C85" s="16">
        <v>113.14</v>
      </c>
      <c r="D85" s="16">
        <v>106.86</v>
      </c>
      <c r="E85" s="16">
        <v>110</v>
      </c>
      <c r="F85" s="16">
        <v>0</v>
      </c>
      <c r="G85" s="16">
        <v>0</v>
      </c>
      <c r="H85" s="16">
        <v>106.86</v>
      </c>
      <c r="I85" s="16">
        <v>113.14</v>
      </c>
      <c r="J85" s="16">
        <v>0</v>
      </c>
      <c r="K85" s="16">
        <v>0</v>
      </c>
      <c r="L85" s="16">
        <v>0</v>
      </c>
      <c r="M85" s="16">
        <v>47.14</v>
      </c>
      <c r="N85" s="16">
        <v>72.290000000000006</v>
      </c>
      <c r="O85" s="16">
        <v>0</v>
      </c>
      <c r="P85" s="16">
        <v>0</v>
      </c>
      <c r="Q85" s="16">
        <v>0</v>
      </c>
      <c r="R85" s="16">
        <v>132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</row>
    <row r="86" spans="1:24" x14ac:dyDescent="0.2">
      <c r="A86" s="6" t="s">
        <v>298</v>
      </c>
      <c r="B86" s="21">
        <v>34589.94</v>
      </c>
      <c r="C86" s="21">
        <v>3100.17</v>
      </c>
      <c r="D86" s="21">
        <v>2409.4499999999998</v>
      </c>
      <c r="E86" s="21">
        <v>3006.27</v>
      </c>
      <c r="F86" s="21">
        <v>1482.38</v>
      </c>
      <c r="G86" s="21">
        <v>600</v>
      </c>
      <c r="H86" s="21">
        <v>2467.13</v>
      </c>
      <c r="I86" s="21">
        <v>3275.35</v>
      </c>
      <c r="J86" s="21">
        <v>0</v>
      </c>
      <c r="K86" s="21">
        <v>0</v>
      </c>
      <c r="L86" s="21">
        <v>2812.86</v>
      </c>
      <c r="M86" s="21">
        <v>907.5</v>
      </c>
      <c r="N86" s="21">
        <v>4347.84</v>
      </c>
      <c r="O86" s="21">
        <v>4716.49</v>
      </c>
      <c r="P86" s="21">
        <v>815.93</v>
      </c>
      <c r="Q86" s="21">
        <v>928.57</v>
      </c>
      <c r="R86" s="21">
        <v>3720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</row>
    <row r="87" spans="1:24" x14ac:dyDescent="0.2">
      <c r="A87" s="6" t="s">
        <v>299</v>
      </c>
      <c r="B87" s="15" t="s">
        <v>70</v>
      </c>
      <c r="C87" s="15" t="s">
        <v>70</v>
      </c>
      <c r="D87" s="15" t="s">
        <v>70</v>
      </c>
      <c r="E87" s="15" t="s">
        <v>70</v>
      </c>
      <c r="F87" s="15" t="s">
        <v>70</v>
      </c>
      <c r="G87" s="15" t="s">
        <v>70</v>
      </c>
      <c r="H87" s="15" t="s">
        <v>70</v>
      </c>
      <c r="I87" s="15" t="s">
        <v>70</v>
      </c>
      <c r="J87" s="15" t="s">
        <v>70</v>
      </c>
      <c r="K87" s="15" t="s">
        <v>70</v>
      </c>
      <c r="L87" s="15" t="s">
        <v>70</v>
      </c>
      <c r="M87" s="15" t="s">
        <v>70</v>
      </c>
      <c r="N87" s="15" t="s">
        <v>70</v>
      </c>
      <c r="O87" s="15" t="s">
        <v>70</v>
      </c>
      <c r="P87" s="15" t="s">
        <v>70</v>
      </c>
      <c r="Q87" s="15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</row>
    <row r="88" spans="1:24" x14ac:dyDescent="0.2">
      <c r="A88" s="6" t="s">
        <v>71</v>
      </c>
      <c r="B88" s="16">
        <v>13637.64</v>
      </c>
      <c r="C88" s="16">
        <v>0</v>
      </c>
      <c r="D88" s="16">
        <v>0</v>
      </c>
      <c r="E88" s="16">
        <v>0</v>
      </c>
      <c r="F88" s="16">
        <v>2732.14</v>
      </c>
      <c r="G88" s="16">
        <v>0</v>
      </c>
      <c r="H88" s="16">
        <v>0</v>
      </c>
      <c r="I88" s="16">
        <v>0</v>
      </c>
      <c r="J88" s="16">
        <v>3001.63</v>
      </c>
      <c r="K88" s="16">
        <v>0</v>
      </c>
      <c r="L88" s="16">
        <v>0</v>
      </c>
      <c r="M88" s="16">
        <v>0</v>
      </c>
      <c r="N88" s="16">
        <v>6265</v>
      </c>
      <c r="O88" s="16">
        <v>0</v>
      </c>
      <c r="P88" s="16">
        <v>1638.87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</row>
    <row r="89" spans="1:24" x14ac:dyDescent="0.2">
      <c r="A89" s="6" t="s">
        <v>72</v>
      </c>
      <c r="B89" s="16">
        <v>323.24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156.1</v>
      </c>
      <c r="K89" s="16">
        <v>0</v>
      </c>
      <c r="L89" s="16">
        <v>0</v>
      </c>
      <c r="M89" s="16">
        <v>0</v>
      </c>
      <c r="N89" s="16">
        <v>167.14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</row>
    <row r="90" spans="1:24" x14ac:dyDescent="0.2">
      <c r="A90" s="6" t="s">
        <v>75</v>
      </c>
      <c r="B90" s="16">
        <v>438.57</v>
      </c>
      <c r="C90" s="16">
        <v>0</v>
      </c>
      <c r="D90" s="16">
        <v>0</v>
      </c>
      <c r="E90" s="16">
        <v>0</v>
      </c>
      <c r="F90" s="16">
        <v>123.43</v>
      </c>
      <c r="G90" s="16">
        <v>0</v>
      </c>
      <c r="H90" s="16">
        <v>0</v>
      </c>
      <c r="I90" s="16">
        <v>0</v>
      </c>
      <c r="J90" s="16">
        <v>148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167.14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</row>
    <row r="91" spans="1:24" x14ac:dyDescent="0.2">
      <c r="A91" s="6" t="s">
        <v>76</v>
      </c>
      <c r="B91" s="16">
        <v>148.5</v>
      </c>
      <c r="C91" s="16">
        <v>0</v>
      </c>
      <c r="D91" s="16">
        <v>0</v>
      </c>
      <c r="E91" s="16">
        <v>0</v>
      </c>
      <c r="F91" s="16">
        <v>113.14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35.36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</row>
    <row r="92" spans="1:24" x14ac:dyDescent="0.2">
      <c r="A92" s="6" t="s">
        <v>300</v>
      </c>
      <c r="B92" s="21">
        <v>14547.95</v>
      </c>
      <c r="C92" s="21">
        <v>0</v>
      </c>
      <c r="D92" s="21">
        <v>0</v>
      </c>
      <c r="E92" s="21">
        <v>0</v>
      </c>
      <c r="F92" s="21">
        <v>2968.71</v>
      </c>
      <c r="G92" s="21">
        <v>0</v>
      </c>
      <c r="H92" s="21">
        <v>0</v>
      </c>
      <c r="I92" s="21">
        <v>0</v>
      </c>
      <c r="J92" s="21">
        <v>3305.73</v>
      </c>
      <c r="K92" s="21">
        <v>0</v>
      </c>
      <c r="L92" s="21">
        <v>0</v>
      </c>
      <c r="M92" s="21">
        <v>0</v>
      </c>
      <c r="N92" s="21">
        <v>6432.14</v>
      </c>
      <c r="O92" s="21">
        <v>0</v>
      </c>
      <c r="P92" s="21">
        <v>1841.37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</row>
    <row r="93" spans="1:24" x14ac:dyDescent="0.2">
      <c r="A93" s="6" t="s">
        <v>301</v>
      </c>
      <c r="B93" s="15" t="s">
        <v>70</v>
      </c>
      <c r="C93" s="15" t="s">
        <v>70</v>
      </c>
      <c r="D93" s="15" t="s">
        <v>70</v>
      </c>
      <c r="E93" s="15" t="s">
        <v>70</v>
      </c>
      <c r="F93" s="15" t="s">
        <v>70</v>
      </c>
      <c r="G93" s="15" t="s">
        <v>70</v>
      </c>
      <c r="H93" s="15" t="s">
        <v>70</v>
      </c>
      <c r="I93" s="15" t="s">
        <v>70</v>
      </c>
      <c r="J93" s="15" t="s">
        <v>70</v>
      </c>
      <c r="K93" s="15" t="s">
        <v>70</v>
      </c>
      <c r="L93" s="15" t="s">
        <v>70</v>
      </c>
      <c r="M93" s="15" t="s">
        <v>70</v>
      </c>
      <c r="N93" s="15" t="s">
        <v>70</v>
      </c>
      <c r="O93" s="15" t="s">
        <v>70</v>
      </c>
      <c r="P93" s="15" t="s">
        <v>70</v>
      </c>
      <c r="Q93" s="15" t="s">
        <v>70</v>
      </c>
      <c r="R93" s="15" t="s">
        <v>70</v>
      </c>
      <c r="S93" s="15" t="s">
        <v>70</v>
      </c>
      <c r="T93" s="15" t="s">
        <v>70</v>
      </c>
      <c r="U93" s="15" t="s">
        <v>70</v>
      </c>
      <c r="V93" s="15" t="s">
        <v>70</v>
      </c>
      <c r="W93" s="15" t="s">
        <v>70</v>
      </c>
      <c r="X93" s="15" t="s">
        <v>70</v>
      </c>
    </row>
    <row r="94" spans="1:24" x14ac:dyDescent="0.2">
      <c r="A94" s="6" t="s">
        <v>71</v>
      </c>
      <c r="B94" s="16">
        <v>41733.160000000003</v>
      </c>
      <c r="C94" s="16">
        <v>2908.12</v>
      </c>
      <c r="D94" s="16">
        <v>2314.86</v>
      </c>
      <c r="E94" s="16">
        <v>2468.5700000000002</v>
      </c>
      <c r="F94" s="16">
        <v>3006</v>
      </c>
      <c r="G94" s="16">
        <v>2580.2600000000002</v>
      </c>
      <c r="H94" s="16">
        <v>2347.4299999999998</v>
      </c>
      <c r="I94" s="16">
        <v>2628.86</v>
      </c>
      <c r="J94" s="16">
        <v>3717.75</v>
      </c>
      <c r="K94" s="16">
        <v>2992.82</v>
      </c>
      <c r="L94" s="16">
        <v>0</v>
      </c>
      <c r="M94" s="16">
        <v>2804.65</v>
      </c>
      <c r="N94" s="16">
        <v>1287</v>
      </c>
      <c r="O94" s="16">
        <v>3075.43</v>
      </c>
      <c r="P94" s="16">
        <v>1695.21</v>
      </c>
      <c r="Q94" s="16">
        <v>3451.42</v>
      </c>
      <c r="R94" s="16">
        <v>0</v>
      </c>
      <c r="S94" s="16">
        <v>0</v>
      </c>
      <c r="T94" s="16">
        <v>2321.89</v>
      </c>
      <c r="U94" s="16">
        <v>2132.89</v>
      </c>
      <c r="V94" s="16">
        <v>0</v>
      </c>
      <c r="W94" s="16">
        <v>0</v>
      </c>
      <c r="X94" s="16">
        <v>0</v>
      </c>
    </row>
    <row r="95" spans="1:24" x14ac:dyDescent="0.2">
      <c r="A95" s="6" t="s">
        <v>72</v>
      </c>
      <c r="B95" s="16">
        <v>1527.07</v>
      </c>
      <c r="C95" s="16">
        <v>74.94</v>
      </c>
      <c r="D95" s="16">
        <v>0</v>
      </c>
      <c r="E95" s="16">
        <v>0</v>
      </c>
      <c r="F95" s="16">
        <v>77.150000000000006</v>
      </c>
      <c r="G95" s="16">
        <v>34.69</v>
      </c>
      <c r="H95" s="16">
        <v>0</v>
      </c>
      <c r="I95" s="16">
        <v>18.86</v>
      </c>
      <c r="J95" s="16">
        <v>565.9</v>
      </c>
      <c r="K95" s="16">
        <v>252.16</v>
      </c>
      <c r="L95" s="16">
        <v>0</v>
      </c>
      <c r="M95" s="16">
        <v>0</v>
      </c>
      <c r="N95" s="16">
        <v>5.79</v>
      </c>
      <c r="O95" s="16">
        <v>0</v>
      </c>
      <c r="P95" s="16">
        <v>154.29</v>
      </c>
      <c r="Q95" s="16">
        <v>0</v>
      </c>
      <c r="R95" s="16">
        <v>0</v>
      </c>
      <c r="S95" s="16">
        <v>0</v>
      </c>
      <c r="T95" s="16">
        <v>343.29</v>
      </c>
      <c r="U95" s="16">
        <v>0</v>
      </c>
      <c r="V95" s="16">
        <v>0</v>
      </c>
      <c r="W95" s="16">
        <v>0</v>
      </c>
      <c r="X95" s="16">
        <v>0</v>
      </c>
    </row>
    <row r="96" spans="1:24" x14ac:dyDescent="0.2">
      <c r="A96" s="6" t="s">
        <v>75</v>
      </c>
      <c r="B96" s="16">
        <v>558.73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116</v>
      </c>
      <c r="I96" s="16">
        <v>128</v>
      </c>
      <c r="J96" s="16">
        <v>0</v>
      </c>
      <c r="K96" s="16">
        <v>0</v>
      </c>
      <c r="L96" s="16">
        <v>0</v>
      </c>
      <c r="M96" s="16">
        <v>0</v>
      </c>
      <c r="N96" s="16">
        <v>141.43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163.93</v>
      </c>
      <c r="V96" s="16">
        <v>9.3699999999999992</v>
      </c>
      <c r="W96" s="16">
        <v>0</v>
      </c>
      <c r="X96" s="16">
        <v>0</v>
      </c>
    </row>
    <row r="97" spans="1:24" x14ac:dyDescent="0.2">
      <c r="A97" s="6" t="s">
        <v>76</v>
      </c>
      <c r="B97" s="16">
        <v>1257.78</v>
      </c>
      <c r="C97" s="16">
        <v>107.23</v>
      </c>
      <c r="D97" s="16">
        <v>100.57</v>
      </c>
      <c r="E97" s="16">
        <v>113.14</v>
      </c>
      <c r="F97" s="16">
        <v>113.14</v>
      </c>
      <c r="G97" s="16">
        <v>116.29</v>
      </c>
      <c r="H97" s="16">
        <v>100.57</v>
      </c>
      <c r="I97" s="16">
        <v>100.57</v>
      </c>
      <c r="J97" s="16">
        <v>70.12</v>
      </c>
      <c r="K97" s="16">
        <v>0</v>
      </c>
      <c r="L97" s="16">
        <v>0</v>
      </c>
      <c r="M97" s="16">
        <v>0</v>
      </c>
      <c r="N97" s="16">
        <v>56.57</v>
      </c>
      <c r="O97" s="16">
        <v>113.14</v>
      </c>
      <c r="P97" s="16">
        <v>113.14</v>
      </c>
      <c r="Q97" s="16">
        <v>91.43</v>
      </c>
      <c r="R97" s="16">
        <v>0</v>
      </c>
      <c r="S97" s="16">
        <v>0</v>
      </c>
      <c r="T97" s="16">
        <v>0</v>
      </c>
      <c r="U97" s="16">
        <v>61.87</v>
      </c>
      <c r="V97" s="16">
        <v>0</v>
      </c>
      <c r="W97" s="16">
        <v>0</v>
      </c>
      <c r="X97" s="16">
        <v>0</v>
      </c>
    </row>
    <row r="98" spans="1:24" x14ac:dyDescent="0.2">
      <c r="A98" s="6" t="s">
        <v>302</v>
      </c>
      <c r="B98" s="21">
        <v>45076.74</v>
      </c>
      <c r="C98" s="21">
        <v>3090.29</v>
      </c>
      <c r="D98" s="21">
        <v>2415.4299999999998</v>
      </c>
      <c r="E98" s="21">
        <v>2581.71</v>
      </c>
      <c r="F98" s="21">
        <v>3196.29</v>
      </c>
      <c r="G98" s="21">
        <v>2731.24</v>
      </c>
      <c r="H98" s="21">
        <v>2564</v>
      </c>
      <c r="I98" s="21">
        <v>2876.29</v>
      </c>
      <c r="J98" s="21">
        <v>4353.7700000000004</v>
      </c>
      <c r="K98" s="21">
        <v>3244.98</v>
      </c>
      <c r="L98" s="21">
        <v>0</v>
      </c>
      <c r="M98" s="21">
        <v>2804.65</v>
      </c>
      <c r="N98" s="21">
        <v>1490.79</v>
      </c>
      <c r="O98" s="21">
        <v>3188.57</v>
      </c>
      <c r="P98" s="21">
        <v>1962.64</v>
      </c>
      <c r="Q98" s="21">
        <v>3542.85</v>
      </c>
      <c r="R98" s="21">
        <v>0</v>
      </c>
      <c r="S98" s="21">
        <v>0</v>
      </c>
      <c r="T98" s="21">
        <v>2665.18</v>
      </c>
      <c r="U98" s="21">
        <v>2358.69</v>
      </c>
      <c r="V98" s="21">
        <v>9.3699999999999992</v>
      </c>
      <c r="W98" s="21">
        <v>0</v>
      </c>
      <c r="X98" s="21">
        <v>0</v>
      </c>
    </row>
    <row r="99" spans="1:24" x14ac:dyDescent="0.2">
      <c r="A99" s="6" t="s">
        <v>303</v>
      </c>
      <c r="B99" s="15" t="s">
        <v>70</v>
      </c>
      <c r="C99" s="15" t="s">
        <v>70</v>
      </c>
      <c r="D99" s="15" t="s">
        <v>70</v>
      </c>
      <c r="E99" s="15" t="s">
        <v>70</v>
      </c>
      <c r="F99" s="15" t="s">
        <v>70</v>
      </c>
      <c r="G99" s="15" t="s">
        <v>70</v>
      </c>
      <c r="H99" s="15" t="s">
        <v>70</v>
      </c>
      <c r="I99" s="15" t="s">
        <v>70</v>
      </c>
      <c r="J99" s="15" t="s">
        <v>70</v>
      </c>
      <c r="K99" s="15" t="s">
        <v>70</v>
      </c>
      <c r="L99" s="15" t="s">
        <v>70</v>
      </c>
      <c r="M99" s="15" t="s">
        <v>70</v>
      </c>
      <c r="N99" s="15" t="s">
        <v>70</v>
      </c>
      <c r="O99" s="15" t="s">
        <v>70</v>
      </c>
      <c r="P99" s="15" t="s">
        <v>70</v>
      </c>
      <c r="Q99" s="15" t="s">
        <v>70</v>
      </c>
      <c r="R99" s="15" t="s">
        <v>70</v>
      </c>
      <c r="S99" s="15" t="s">
        <v>70</v>
      </c>
      <c r="T99" s="15" t="s">
        <v>70</v>
      </c>
      <c r="U99" s="15" t="s">
        <v>70</v>
      </c>
      <c r="V99" s="15" t="s">
        <v>70</v>
      </c>
      <c r="W99" s="15" t="s">
        <v>70</v>
      </c>
      <c r="X99" s="15" t="s">
        <v>70</v>
      </c>
    </row>
    <row r="100" spans="1:24" x14ac:dyDescent="0.2">
      <c r="A100" s="6" t="s">
        <v>71</v>
      </c>
      <c r="B100" s="16">
        <v>29536.49</v>
      </c>
      <c r="C100" s="16">
        <v>1828.57</v>
      </c>
      <c r="D100" s="16">
        <v>0</v>
      </c>
      <c r="E100" s="16">
        <v>2222.27</v>
      </c>
      <c r="F100" s="16">
        <v>0</v>
      </c>
      <c r="G100" s="16">
        <v>569.57000000000005</v>
      </c>
      <c r="H100" s="16">
        <v>0</v>
      </c>
      <c r="I100" s="16">
        <v>0</v>
      </c>
      <c r="J100" s="16">
        <v>2500.1999999999998</v>
      </c>
      <c r="K100" s="16">
        <v>200.89</v>
      </c>
      <c r="L100" s="16">
        <v>789.35</v>
      </c>
      <c r="M100" s="16">
        <v>1354.49</v>
      </c>
      <c r="N100" s="16">
        <v>7630.98</v>
      </c>
      <c r="O100" s="16">
        <v>1796.87</v>
      </c>
      <c r="P100" s="16">
        <v>4686</v>
      </c>
      <c r="Q100" s="16">
        <v>0</v>
      </c>
      <c r="R100" s="16">
        <v>2717.65</v>
      </c>
      <c r="S100" s="16">
        <v>0</v>
      </c>
      <c r="T100" s="16">
        <v>1245.25</v>
      </c>
      <c r="U100" s="16">
        <v>0</v>
      </c>
      <c r="V100" s="16">
        <v>1994.4</v>
      </c>
      <c r="W100" s="16">
        <v>0</v>
      </c>
      <c r="X100" s="16">
        <v>0</v>
      </c>
    </row>
    <row r="101" spans="1:24" x14ac:dyDescent="0.2">
      <c r="A101" s="6" t="s">
        <v>72</v>
      </c>
      <c r="B101" s="16">
        <v>1737.93</v>
      </c>
      <c r="C101" s="16">
        <v>228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38.57</v>
      </c>
      <c r="K101" s="16">
        <v>0</v>
      </c>
      <c r="L101" s="16">
        <v>0</v>
      </c>
      <c r="M101" s="16">
        <v>0</v>
      </c>
      <c r="N101" s="16">
        <v>147.47999999999999</v>
      </c>
      <c r="O101" s="16">
        <v>4.38</v>
      </c>
      <c r="P101" s="16">
        <v>128.58000000000001</v>
      </c>
      <c r="Q101" s="16">
        <v>0</v>
      </c>
      <c r="R101" s="16">
        <v>1190.92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</row>
    <row r="102" spans="1:24" x14ac:dyDescent="0.2">
      <c r="A102" s="6" t="s">
        <v>75</v>
      </c>
      <c r="B102" s="16">
        <v>526.79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154.29</v>
      </c>
      <c r="O102" s="16">
        <v>0</v>
      </c>
      <c r="P102" s="16">
        <v>372.5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</row>
    <row r="103" spans="1:24" x14ac:dyDescent="0.2">
      <c r="A103" s="6" t="s">
        <v>76</v>
      </c>
      <c r="B103" s="16">
        <v>589.29</v>
      </c>
      <c r="C103" s="16">
        <v>0</v>
      </c>
      <c r="D103" s="16">
        <v>0</v>
      </c>
      <c r="E103" s="16">
        <v>47.14</v>
      </c>
      <c r="F103" s="16">
        <v>0</v>
      </c>
      <c r="G103" s="16">
        <v>0</v>
      </c>
      <c r="H103" s="16">
        <v>0</v>
      </c>
      <c r="I103" s="16">
        <v>0</v>
      </c>
      <c r="J103" s="16">
        <v>97.23</v>
      </c>
      <c r="K103" s="16">
        <v>0</v>
      </c>
      <c r="L103" s="16">
        <v>0</v>
      </c>
      <c r="M103" s="16">
        <v>0</v>
      </c>
      <c r="N103" s="16">
        <v>191.52</v>
      </c>
      <c r="O103" s="16">
        <v>94.29</v>
      </c>
      <c r="P103" s="16">
        <v>91.34</v>
      </c>
      <c r="Q103" s="16">
        <v>0</v>
      </c>
      <c r="R103" s="16">
        <v>67.77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</row>
    <row r="104" spans="1:24" x14ac:dyDescent="0.2">
      <c r="A104" s="6" t="s">
        <v>304</v>
      </c>
      <c r="B104" s="21">
        <v>32390.5</v>
      </c>
      <c r="C104" s="21">
        <v>2056.5700000000002</v>
      </c>
      <c r="D104" s="21">
        <v>0</v>
      </c>
      <c r="E104" s="21">
        <v>2269.41</v>
      </c>
      <c r="F104" s="21">
        <v>0</v>
      </c>
      <c r="G104" s="21">
        <v>569.57000000000005</v>
      </c>
      <c r="H104" s="21">
        <v>0</v>
      </c>
      <c r="I104" s="21">
        <v>0</v>
      </c>
      <c r="J104" s="21">
        <v>2636</v>
      </c>
      <c r="K104" s="21">
        <v>200.89</v>
      </c>
      <c r="L104" s="21">
        <v>789.35</v>
      </c>
      <c r="M104" s="21">
        <v>1354.49</v>
      </c>
      <c r="N104" s="21">
        <v>8124.27</v>
      </c>
      <c r="O104" s="21">
        <v>1895.54</v>
      </c>
      <c r="P104" s="21">
        <v>5278.42</v>
      </c>
      <c r="Q104" s="21">
        <v>0</v>
      </c>
      <c r="R104" s="21">
        <v>3976.34</v>
      </c>
      <c r="S104" s="21">
        <v>0</v>
      </c>
      <c r="T104" s="21">
        <v>1245.25</v>
      </c>
      <c r="U104" s="21">
        <v>0</v>
      </c>
      <c r="V104" s="21">
        <v>1994.4</v>
      </c>
      <c r="W104" s="21">
        <v>0</v>
      </c>
      <c r="X104" s="21">
        <v>0</v>
      </c>
    </row>
    <row r="105" spans="1:24" x14ac:dyDescent="0.2">
      <c r="A105" s="6" t="s">
        <v>305</v>
      </c>
      <c r="B105" s="15" t="s">
        <v>70</v>
      </c>
      <c r="C105" s="15" t="s">
        <v>70</v>
      </c>
      <c r="D105" s="15" t="s">
        <v>70</v>
      </c>
      <c r="E105" s="15" t="s">
        <v>70</v>
      </c>
      <c r="F105" s="15" t="s">
        <v>70</v>
      </c>
      <c r="G105" s="15" t="s">
        <v>70</v>
      </c>
      <c r="H105" s="15" t="s">
        <v>70</v>
      </c>
      <c r="I105" s="15" t="s">
        <v>70</v>
      </c>
      <c r="J105" s="15" t="s">
        <v>70</v>
      </c>
      <c r="K105" s="15" t="s">
        <v>70</v>
      </c>
      <c r="L105" s="15" t="s">
        <v>70</v>
      </c>
      <c r="M105" s="15" t="s">
        <v>70</v>
      </c>
      <c r="N105" s="15" t="s">
        <v>70</v>
      </c>
      <c r="O105" s="15" t="s">
        <v>70</v>
      </c>
      <c r="P105" s="15" t="s">
        <v>70</v>
      </c>
      <c r="Q105" s="15" t="s">
        <v>70</v>
      </c>
      <c r="R105" s="15" t="s">
        <v>70</v>
      </c>
      <c r="S105" s="15" t="s">
        <v>70</v>
      </c>
      <c r="T105" s="15" t="s">
        <v>70</v>
      </c>
      <c r="U105" s="15" t="s">
        <v>70</v>
      </c>
      <c r="V105" s="15" t="s">
        <v>70</v>
      </c>
      <c r="W105" s="15" t="s">
        <v>70</v>
      </c>
      <c r="X105" s="15" t="s">
        <v>70</v>
      </c>
    </row>
    <row r="106" spans="1:24" x14ac:dyDescent="0.2">
      <c r="A106" s="6" t="s">
        <v>71</v>
      </c>
      <c r="B106" s="16">
        <v>108050.89</v>
      </c>
      <c r="C106" s="16">
        <v>8642</v>
      </c>
      <c r="D106" s="16">
        <v>0</v>
      </c>
      <c r="E106" s="16">
        <v>637.92999999999995</v>
      </c>
      <c r="F106" s="16">
        <v>0</v>
      </c>
      <c r="G106" s="16">
        <v>22.29</v>
      </c>
      <c r="H106" s="16">
        <v>0</v>
      </c>
      <c r="I106" s="16">
        <v>0</v>
      </c>
      <c r="J106" s="16">
        <v>267.54000000000002</v>
      </c>
      <c r="K106" s="16">
        <v>0</v>
      </c>
      <c r="L106" s="16">
        <v>0</v>
      </c>
      <c r="M106" s="16">
        <v>1421.86</v>
      </c>
      <c r="N106" s="16">
        <v>21508.2</v>
      </c>
      <c r="O106" s="16">
        <v>0</v>
      </c>
      <c r="P106" s="16">
        <v>0</v>
      </c>
      <c r="Q106" s="16">
        <v>0</v>
      </c>
      <c r="R106" s="16">
        <v>0</v>
      </c>
      <c r="S106" s="16">
        <v>32686.880000000001</v>
      </c>
      <c r="T106" s="16">
        <v>2697</v>
      </c>
      <c r="U106" s="16">
        <v>12560.74</v>
      </c>
      <c r="V106" s="16">
        <v>9295.61</v>
      </c>
      <c r="W106" s="16">
        <v>10877.52</v>
      </c>
      <c r="X106" s="16">
        <v>7433.32</v>
      </c>
    </row>
    <row r="107" spans="1:24" x14ac:dyDescent="0.2">
      <c r="A107" s="6" t="s">
        <v>72</v>
      </c>
      <c r="B107" s="16">
        <v>3767.78</v>
      </c>
      <c r="C107" s="16">
        <v>450.46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1098.8</v>
      </c>
      <c r="O107" s="16">
        <v>0</v>
      </c>
      <c r="P107" s="16">
        <v>0</v>
      </c>
      <c r="Q107" s="16">
        <v>0</v>
      </c>
      <c r="R107" s="16">
        <v>0</v>
      </c>
      <c r="S107" s="16">
        <v>424.83</v>
      </c>
      <c r="T107" s="16">
        <v>51.43</v>
      </c>
      <c r="U107" s="16">
        <v>0</v>
      </c>
      <c r="V107" s="16">
        <v>40.07</v>
      </c>
      <c r="W107" s="16">
        <v>746.14</v>
      </c>
      <c r="X107" s="16">
        <v>956.05</v>
      </c>
    </row>
    <row r="108" spans="1:24" x14ac:dyDescent="0.2">
      <c r="A108" s="6" t="s">
        <v>74</v>
      </c>
      <c r="B108" s="16">
        <v>517.57000000000005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517.57000000000005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</row>
    <row r="109" spans="1:24" x14ac:dyDescent="0.2">
      <c r="A109" s="6" t="s">
        <v>75</v>
      </c>
      <c r="B109" s="16">
        <v>2156.4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362.36</v>
      </c>
      <c r="O109" s="16">
        <v>0</v>
      </c>
      <c r="P109" s="16">
        <v>0</v>
      </c>
      <c r="Q109" s="16">
        <v>0</v>
      </c>
      <c r="R109" s="16">
        <v>0</v>
      </c>
      <c r="S109" s="16">
        <v>512.67999999999995</v>
      </c>
      <c r="T109" s="16">
        <v>83.57</v>
      </c>
      <c r="U109" s="16">
        <v>112.5</v>
      </c>
      <c r="V109" s="16">
        <v>276.25</v>
      </c>
      <c r="W109" s="16">
        <v>44.37</v>
      </c>
      <c r="X109" s="16">
        <v>764.67</v>
      </c>
    </row>
    <row r="110" spans="1:24" x14ac:dyDescent="0.2">
      <c r="A110" s="6" t="s">
        <v>76</v>
      </c>
      <c r="B110" s="16">
        <v>2415.7800000000002</v>
      </c>
      <c r="C110" s="16">
        <v>150.86000000000001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536.25</v>
      </c>
      <c r="O110" s="16">
        <v>0</v>
      </c>
      <c r="P110" s="16">
        <v>0</v>
      </c>
      <c r="Q110" s="16">
        <v>0</v>
      </c>
      <c r="R110" s="16">
        <v>0</v>
      </c>
      <c r="S110" s="16">
        <v>785.18</v>
      </c>
      <c r="T110" s="16">
        <v>0</v>
      </c>
      <c r="U110" s="16">
        <v>185.62</v>
      </c>
      <c r="V110" s="16">
        <v>366.54</v>
      </c>
      <c r="W110" s="16">
        <v>293.89999999999998</v>
      </c>
      <c r="X110" s="16">
        <v>97.43</v>
      </c>
    </row>
    <row r="111" spans="1:24" x14ac:dyDescent="0.2">
      <c r="A111" s="6" t="s">
        <v>306</v>
      </c>
      <c r="B111" s="21">
        <v>116908.42</v>
      </c>
      <c r="C111" s="21">
        <v>9243.32</v>
      </c>
      <c r="D111" s="21">
        <v>0</v>
      </c>
      <c r="E111" s="21">
        <v>637.92999999999995</v>
      </c>
      <c r="F111" s="21">
        <v>0</v>
      </c>
      <c r="G111" s="21">
        <v>22.29</v>
      </c>
      <c r="H111" s="21">
        <v>0</v>
      </c>
      <c r="I111" s="21">
        <v>0</v>
      </c>
      <c r="J111" s="21">
        <v>267.54000000000002</v>
      </c>
      <c r="K111" s="21">
        <v>0</v>
      </c>
      <c r="L111" s="21">
        <v>0</v>
      </c>
      <c r="M111" s="21">
        <v>1421.86</v>
      </c>
      <c r="N111" s="21">
        <v>24023.18</v>
      </c>
      <c r="O111" s="21">
        <v>0</v>
      </c>
      <c r="P111" s="21">
        <v>0</v>
      </c>
      <c r="Q111" s="21">
        <v>0</v>
      </c>
      <c r="R111" s="21">
        <v>0</v>
      </c>
      <c r="S111" s="21">
        <v>34409.57</v>
      </c>
      <c r="T111" s="21">
        <v>2832</v>
      </c>
      <c r="U111" s="21">
        <v>12858.86</v>
      </c>
      <c r="V111" s="21">
        <v>9978.4699999999993</v>
      </c>
      <c r="W111" s="21">
        <v>11961.93</v>
      </c>
      <c r="X111" s="21">
        <v>9251.4699999999993</v>
      </c>
    </row>
    <row r="112" spans="1:24" x14ac:dyDescent="0.2">
      <c r="A112" s="6" t="s">
        <v>307</v>
      </c>
      <c r="B112" s="15" t="s">
        <v>70</v>
      </c>
      <c r="C112" s="15" t="s">
        <v>70</v>
      </c>
      <c r="D112" s="15" t="s">
        <v>70</v>
      </c>
      <c r="E112" s="15" t="s">
        <v>70</v>
      </c>
      <c r="F112" s="15" t="s">
        <v>70</v>
      </c>
      <c r="G112" s="15" t="s">
        <v>70</v>
      </c>
      <c r="H112" s="15" t="s">
        <v>70</v>
      </c>
      <c r="I112" s="15" t="s">
        <v>70</v>
      </c>
      <c r="J112" s="15" t="s">
        <v>70</v>
      </c>
      <c r="K112" s="15" t="s">
        <v>70</v>
      </c>
      <c r="L112" s="15" t="s">
        <v>70</v>
      </c>
      <c r="M112" s="15" t="s">
        <v>70</v>
      </c>
      <c r="N112" s="15" t="s">
        <v>70</v>
      </c>
      <c r="O112" s="15" t="s">
        <v>70</v>
      </c>
      <c r="P112" s="15" t="s">
        <v>70</v>
      </c>
      <c r="Q112" s="15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</row>
    <row r="113" spans="1:24" x14ac:dyDescent="0.2">
      <c r="A113" s="6" t="s">
        <v>71</v>
      </c>
      <c r="B113" s="16">
        <v>30026.9</v>
      </c>
      <c r="C113" s="16">
        <v>0</v>
      </c>
      <c r="D113" s="16">
        <v>2387.0300000000002</v>
      </c>
      <c r="E113" s="16">
        <v>130.5</v>
      </c>
      <c r="F113" s="16">
        <v>2123.48</v>
      </c>
      <c r="G113" s="16">
        <v>0</v>
      </c>
      <c r="H113" s="16">
        <v>0</v>
      </c>
      <c r="I113" s="16">
        <v>0</v>
      </c>
      <c r="J113" s="16">
        <v>0</v>
      </c>
      <c r="K113" s="16">
        <v>1118.7</v>
      </c>
      <c r="L113" s="16">
        <v>0</v>
      </c>
      <c r="M113" s="16">
        <v>2906.79</v>
      </c>
      <c r="N113" s="16">
        <v>5724.32</v>
      </c>
      <c r="O113" s="16">
        <v>2492.85</v>
      </c>
      <c r="P113" s="16">
        <v>4305.21</v>
      </c>
      <c r="Q113" s="16">
        <v>3676.88</v>
      </c>
      <c r="R113" s="16">
        <v>1992.64</v>
      </c>
      <c r="S113" s="16">
        <v>0</v>
      </c>
      <c r="T113" s="16">
        <v>1738.92</v>
      </c>
      <c r="U113" s="16">
        <v>12</v>
      </c>
      <c r="V113" s="16">
        <v>117.58</v>
      </c>
      <c r="W113" s="16">
        <v>1300</v>
      </c>
      <c r="X113" s="16">
        <v>0</v>
      </c>
    </row>
    <row r="114" spans="1:24" x14ac:dyDescent="0.2">
      <c r="A114" s="6" t="s">
        <v>72</v>
      </c>
      <c r="B114" s="16">
        <v>823.78</v>
      </c>
      <c r="C114" s="16">
        <v>0</v>
      </c>
      <c r="D114" s="16">
        <v>304.88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97.5</v>
      </c>
      <c r="N114" s="16">
        <v>0</v>
      </c>
      <c r="O114" s="16">
        <v>67.5</v>
      </c>
      <c r="P114" s="16">
        <v>0</v>
      </c>
      <c r="Q114" s="16">
        <v>249.27</v>
      </c>
      <c r="R114" s="16">
        <v>76.5</v>
      </c>
      <c r="S114" s="16">
        <v>0</v>
      </c>
      <c r="T114" s="16">
        <v>28.13</v>
      </c>
      <c r="U114" s="16">
        <v>0</v>
      </c>
      <c r="V114" s="16">
        <v>0</v>
      </c>
      <c r="W114" s="16">
        <v>0</v>
      </c>
      <c r="X114" s="16">
        <v>0</v>
      </c>
    </row>
    <row r="115" spans="1:24" x14ac:dyDescent="0.2">
      <c r="A115" s="6" t="s">
        <v>73</v>
      </c>
      <c r="B115" s="16">
        <v>670.53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160.41999999999999</v>
      </c>
      <c r="O115" s="16">
        <v>159.11000000000001</v>
      </c>
      <c r="P115" s="16">
        <v>351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</row>
    <row r="116" spans="1:24" x14ac:dyDescent="0.2">
      <c r="A116" s="6" t="s">
        <v>75</v>
      </c>
      <c r="B116" s="16">
        <v>1181.04</v>
      </c>
      <c r="C116" s="16">
        <v>0</v>
      </c>
      <c r="D116" s="16">
        <v>0</v>
      </c>
      <c r="E116" s="16">
        <v>0</v>
      </c>
      <c r="F116" s="16">
        <v>494.33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235.57</v>
      </c>
      <c r="O116" s="16">
        <v>0</v>
      </c>
      <c r="P116" s="16">
        <v>77.14</v>
      </c>
      <c r="Q116" s="16">
        <v>0</v>
      </c>
      <c r="R116" s="16">
        <v>374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</row>
    <row r="117" spans="1:24" x14ac:dyDescent="0.2">
      <c r="A117" s="6" t="s">
        <v>76</v>
      </c>
      <c r="B117" s="16">
        <v>413</v>
      </c>
      <c r="C117" s="16">
        <v>0</v>
      </c>
      <c r="D117" s="16">
        <v>94.29</v>
      </c>
      <c r="E117" s="16">
        <v>0</v>
      </c>
      <c r="F117" s="16">
        <v>106.86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50.29</v>
      </c>
      <c r="O117" s="16">
        <v>0</v>
      </c>
      <c r="P117" s="16">
        <v>113.14</v>
      </c>
      <c r="Q117" s="16">
        <v>0</v>
      </c>
      <c r="R117" s="16">
        <v>0</v>
      </c>
      <c r="S117" s="16">
        <v>0</v>
      </c>
      <c r="T117" s="16">
        <v>48.42</v>
      </c>
      <c r="U117" s="16">
        <v>0</v>
      </c>
      <c r="V117" s="16">
        <v>0</v>
      </c>
      <c r="W117" s="16">
        <v>0</v>
      </c>
      <c r="X117" s="16">
        <v>0</v>
      </c>
    </row>
    <row r="118" spans="1:24" x14ac:dyDescent="0.2">
      <c r="A118" s="6" t="s">
        <v>308</v>
      </c>
      <c r="B118" s="21">
        <v>33115.25</v>
      </c>
      <c r="C118" s="21">
        <v>0</v>
      </c>
      <c r="D118" s="21">
        <v>2786.2</v>
      </c>
      <c r="E118" s="21">
        <v>130.5</v>
      </c>
      <c r="F118" s="21">
        <v>2724.67</v>
      </c>
      <c r="G118" s="21">
        <v>0</v>
      </c>
      <c r="H118" s="21">
        <v>0</v>
      </c>
      <c r="I118" s="21">
        <v>0</v>
      </c>
      <c r="J118" s="21">
        <v>0</v>
      </c>
      <c r="K118" s="21">
        <v>1118.7</v>
      </c>
      <c r="L118" s="21">
        <v>0</v>
      </c>
      <c r="M118" s="21">
        <v>3004.29</v>
      </c>
      <c r="N118" s="21">
        <v>6170.6</v>
      </c>
      <c r="O118" s="21">
        <v>2719.46</v>
      </c>
      <c r="P118" s="21">
        <v>4846.49</v>
      </c>
      <c r="Q118" s="21">
        <v>3926.15</v>
      </c>
      <c r="R118" s="21">
        <v>2443.14</v>
      </c>
      <c r="S118" s="21">
        <v>0</v>
      </c>
      <c r="T118" s="21">
        <v>1815.47</v>
      </c>
      <c r="U118" s="21">
        <v>12</v>
      </c>
      <c r="V118" s="21">
        <v>117.58</v>
      </c>
      <c r="W118" s="21">
        <v>1300</v>
      </c>
      <c r="X118" s="21">
        <v>0</v>
      </c>
    </row>
    <row r="119" spans="1:24" x14ac:dyDescent="0.2">
      <c r="A119" s="6" t="s">
        <v>309</v>
      </c>
      <c r="B119" s="15" t="s">
        <v>70</v>
      </c>
      <c r="C119" s="15" t="s">
        <v>70</v>
      </c>
      <c r="D119" s="15" t="s">
        <v>70</v>
      </c>
      <c r="E119" s="15" t="s">
        <v>70</v>
      </c>
      <c r="F119" s="15" t="s">
        <v>70</v>
      </c>
      <c r="G119" s="15" t="s">
        <v>70</v>
      </c>
      <c r="H119" s="15" t="s">
        <v>70</v>
      </c>
      <c r="I119" s="15" t="s">
        <v>70</v>
      </c>
      <c r="J119" s="15" t="s">
        <v>70</v>
      </c>
      <c r="K119" s="15" t="s">
        <v>70</v>
      </c>
      <c r="L119" s="15" t="s">
        <v>70</v>
      </c>
      <c r="M119" s="15" t="s">
        <v>70</v>
      </c>
      <c r="N119" s="15" t="s">
        <v>70</v>
      </c>
      <c r="O119" s="15" t="s">
        <v>70</v>
      </c>
      <c r="P119" s="15" t="s">
        <v>70</v>
      </c>
      <c r="Q119" s="15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</row>
    <row r="120" spans="1:24" x14ac:dyDescent="0.2">
      <c r="A120" s="6" t="s">
        <v>71</v>
      </c>
      <c r="B120" s="16">
        <v>41865.51</v>
      </c>
      <c r="C120" s="16">
        <v>2627.37</v>
      </c>
      <c r="D120" s="16">
        <v>2269.0500000000002</v>
      </c>
      <c r="E120" s="16">
        <v>2506.85</v>
      </c>
      <c r="F120" s="16">
        <v>2308.67</v>
      </c>
      <c r="G120" s="16">
        <v>2582.2800000000002</v>
      </c>
      <c r="H120" s="16">
        <v>2806.22</v>
      </c>
      <c r="I120" s="16">
        <v>243.77</v>
      </c>
      <c r="J120" s="16">
        <v>0</v>
      </c>
      <c r="K120" s="16">
        <v>3268.28</v>
      </c>
      <c r="L120" s="16">
        <v>0</v>
      </c>
      <c r="M120" s="16">
        <v>2695.18</v>
      </c>
      <c r="N120" s="16">
        <v>2307.7199999999998</v>
      </c>
      <c r="O120" s="16">
        <v>2681.84</v>
      </c>
      <c r="P120" s="16">
        <v>3944.93</v>
      </c>
      <c r="Q120" s="16">
        <v>3456.35</v>
      </c>
      <c r="R120" s="16">
        <v>4613.1400000000003</v>
      </c>
      <c r="S120" s="16">
        <v>1974.57</v>
      </c>
      <c r="T120" s="16">
        <v>0</v>
      </c>
      <c r="U120" s="16">
        <v>1579.29</v>
      </c>
      <c r="V120" s="16">
        <v>0</v>
      </c>
      <c r="W120" s="16">
        <v>0</v>
      </c>
      <c r="X120" s="16">
        <v>0</v>
      </c>
    </row>
    <row r="121" spans="1:24" x14ac:dyDescent="0.2">
      <c r="A121" s="6" t="s">
        <v>72</v>
      </c>
      <c r="B121" s="16">
        <v>1990.93</v>
      </c>
      <c r="C121" s="16">
        <v>163.22</v>
      </c>
      <c r="D121" s="16">
        <v>7.96</v>
      </c>
      <c r="E121" s="16">
        <v>24</v>
      </c>
      <c r="F121" s="16">
        <v>0</v>
      </c>
      <c r="G121" s="16">
        <v>118.39</v>
      </c>
      <c r="H121" s="16">
        <v>275.49</v>
      </c>
      <c r="I121" s="16">
        <v>0</v>
      </c>
      <c r="J121" s="16">
        <v>0</v>
      </c>
      <c r="K121" s="16">
        <v>1165.51</v>
      </c>
      <c r="L121" s="16">
        <v>0</v>
      </c>
      <c r="M121" s="16">
        <v>121.5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114.86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</row>
    <row r="122" spans="1:24" x14ac:dyDescent="0.2">
      <c r="A122" s="6" t="s">
        <v>75</v>
      </c>
      <c r="B122" s="16">
        <v>1166.32</v>
      </c>
      <c r="C122" s="16">
        <v>123.43</v>
      </c>
      <c r="D122" s="16">
        <v>124.11</v>
      </c>
      <c r="E122" s="16">
        <v>154.71</v>
      </c>
      <c r="F122" s="16">
        <v>0</v>
      </c>
      <c r="G122" s="16">
        <v>389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162.28</v>
      </c>
      <c r="O122" s="16">
        <v>132</v>
      </c>
      <c r="P122" s="16">
        <v>80.790000000000006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</row>
    <row r="123" spans="1:24" x14ac:dyDescent="0.2">
      <c r="A123" s="6" t="s">
        <v>76</v>
      </c>
      <c r="B123" s="16">
        <v>1392.64</v>
      </c>
      <c r="C123" s="16">
        <v>94.29</v>
      </c>
      <c r="D123" s="16">
        <v>103.71</v>
      </c>
      <c r="E123" s="16">
        <v>100.57</v>
      </c>
      <c r="F123" s="16">
        <v>97.11</v>
      </c>
      <c r="G123" s="16">
        <v>106.86</v>
      </c>
      <c r="H123" s="16">
        <v>106.86</v>
      </c>
      <c r="I123" s="16">
        <v>0</v>
      </c>
      <c r="J123" s="16">
        <v>0</v>
      </c>
      <c r="K123" s="16">
        <v>115.97</v>
      </c>
      <c r="L123" s="16">
        <v>0</v>
      </c>
      <c r="M123" s="16">
        <v>0</v>
      </c>
      <c r="N123" s="16">
        <v>0</v>
      </c>
      <c r="O123" s="16">
        <v>103.71</v>
      </c>
      <c r="P123" s="16">
        <v>148.11000000000001</v>
      </c>
      <c r="Q123" s="16">
        <v>89.19</v>
      </c>
      <c r="R123" s="16">
        <v>169.71</v>
      </c>
      <c r="S123" s="16">
        <v>100.57</v>
      </c>
      <c r="T123" s="16">
        <v>0</v>
      </c>
      <c r="U123" s="16">
        <v>55.98</v>
      </c>
      <c r="V123" s="16">
        <v>0</v>
      </c>
      <c r="W123" s="16">
        <v>0</v>
      </c>
      <c r="X123" s="16">
        <v>0</v>
      </c>
    </row>
    <row r="124" spans="1:24" x14ac:dyDescent="0.2">
      <c r="A124" s="6" t="s">
        <v>310</v>
      </c>
      <c r="B124" s="21">
        <v>46415.4</v>
      </c>
      <c r="C124" s="21">
        <v>3008.31</v>
      </c>
      <c r="D124" s="21">
        <v>2504.83</v>
      </c>
      <c r="E124" s="21">
        <v>2786.13</v>
      </c>
      <c r="F124" s="21">
        <v>2405.7800000000002</v>
      </c>
      <c r="G124" s="21">
        <v>3196.53</v>
      </c>
      <c r="H124" s="21">
        <v>3188.57</v>
      </c>
      <c r="I124" s="21">
        <v>243.77</v>
      </c>
      <c r="J124" s="21">
        <v>0</v>
      </c>
      <c r="K124" s="21">
        <v>4549.76</v>
      </c>
      <c r="L124" s="21">
        <v>0</v>
      </c>
      <c r="M124" s="21">
        <v>2816.68</v>
      </c>
      <c r="N124" s="21">
        <v>2470</v>
      </c>
      <c r="O124" s="21">
        <v>2917.55</v>
      </c>
      <c r="P124" s="21">
        <v>4173.83</v>
      </c>
      <c r="Q124" s="21">
        <v>3545.54</v>
      </c>
      <c r="R124" s="21">
        <v>4782.8500000000004</v>
      </c>
      <c r="S124" s="21">
        <v>2190</v>
      </c>
      <c r="T124" s="21">
        <v>0</v>
      </c>
      <c r="U124" s="21">
        <v>1635.27</v>
      </c>
      <c r="V124" s="21">
        <v>0</v>
      </c>
      <c r="W124" s="21">
        <v>0</v>
      </c>
      <c r="X124" s="21">
        <v>0</v>
      </c>
    </row>
    <row r="125" spans="1:24" x14ac:dyDescent="0.2">
      <c r="A125" s="6" t="s">
        <v>311</v>
      </c>
      <c r="B125" s="15" t="s">
        <v>70</v>
      </c>
      <c r="C125" s="15" t="s">
        <v>70</v>
      </c>
      <c r="D125" s="15" t="s">
        <v>70</v>
      </c>
      <c r="E125" s="15" t="s">
        <v>70</v>
      </c>
      <c r="F125" s="15" t="s">
        <v>70</v>
      </c>
      <c r="G125" s="15" t="s">
        <v>70</v>
      </c>
      <c r="H125" s="15" t="s">
        <v>70</v>
      </c>
      <c r="I125" s="15" t="s">
        <v>70</v>
      </c>
      <c r="J125" s="15" t="s">
        <v>70</v>
      </c>
      <c r="K125" s="15" t="s">
        <v>70</v>
      </c>
      <c r="L125" s="15" t="s">
        <v>70</v>
      </c>
      <c r="M125" s="15" t="s">
        <v>70</v>
      </c>
      <c r="N125" s="15" t="s">
        <v>70</v>
      </c>
      <c r="O125" s="15" t="s">
        <v>70</v>
      </c>
      <c r="P125" s="15" t="s">
        <v>70</v>
      </c>
      <c r="Q125" s="15" t="s">
        <v>70</v>
      </c>
      <c r="R125" s="15" t="s">
        <v>70</v>
      </c>
      <c r="S125" s="15" t="s">
        <v>70</v>
      </c>
      <c r="T125" s="15" t="s">
        <v>70</v>
      </c>
      <c r="U125" s="15" t="s">
        <v>70</v>
      </c>
      <c r="V125" s="15" t="s">
        <v>70</v>
      </c>
      <c r="W125" s="15" t="s">
        <v>70</v>
      </c>
      <c r="X125" s="15" t="s">
        <v>70</v>
      </c>
    </row>
    <row r="126" spans="1:24" x14ac:dyDescent="0.2">
      <c r="A126" s="6" t="s">
        <v>71</v>
      </c>
      <c r="B126" s="16">
        <v>156716.95000000001</v>
      </c>
      <c r="C126" s="16">
        <v>9923.1200000000008</v>
      </c>
      <c r="D126" s="16">
        <v>8146.61</v>
      </c>
      <c r="E126" s="16">
        <v>9590.94</v>
      </c>
      <c r="F126" s="16">
        <v>10282.58</v>
      </c>
      <c r="G126" s="16">
        <v>6781.47</v>
      </c>
      <c r="H126" s="16">
        <v>10857.8</v>
      </c>
      <c r="I126" s="16">
        <v>4286.18</v>
      </c>
      <c r="J126" s="16">
        <v>7691.22</v>
      </c>
      <c r="K126" s="16">
        <v>3820.7</v>
      </c>
      <c r="L126" s="16">
        <v>8932.84</v>
      </c>
      <c r="M126" s="16">
        <v>7245.84</v>
      </c>
      <c r="N126" s="16">
        <v>24538.39</v>
      </c>
      <c r="O126" s="16">
        <v>6254.09</v>
      </c>
      <c r="P126" s="16">
        <v>10844.96</v>
      </c>
      <c r="Q126" s="16">
        <v>8954.51</v>
      </c>
      <c r="R126" s="16">
        <v>11065.49</v>
      </c>
      <c r="S126" s="16">
        <v>0</v>
      </c>
      <c r="T126" s="16">
        <v>3137.75</v>
      </c>
      <c r="U126" s="16">
        <v>78.62</v>
      </c>
      <c r="V126" s="16">
        <v>2345.09</v>
      </c>
      <c r="W126" s="16">
        <v>1938.75</v>
      </c>
      <c r="X126" s="16">
        <v>0</v>
      </c>
    </row>
    <row r="127" spans="1:24" x14ac:dyDescent="0.2">
      <c r="A127" s="6" t="s">
        <v>72</v>
      </c>
      <c r="B127" s="16">
        <v>1188.51</v>
      </c>
      <c r="C127" s="16">
        <v>0</v>
      </c>
      <c r="D127" s="16">
        <v>0</v>
      </c>
      <c r="E127" s="16">
        <v>344.83</v>
      </c>
      <c r="F127" s="16">
        <v>0</v>
      </c>
      <c r="G127" s="16">
        <v>74.5</v>
      </c>
      <c r="H127" s="16">
        <v>0</v>
      </c>
      <c r="I127" s="16">
        <v>0</v>
      </c>
      <c r="J127" s="16">
        <v>0</v>
      </c>
      <c r="K127" s="16">
        <v>0</v>
      </c>
      <c r="L127" s="16">
        <v>146.25</v>
      </c>
      <c r="M127" s="16">
        <v>140.63</v>
      </c>
      <c r="N127" s="16">
        <v>165.54</v>
      </c>
      <c r="O127" s="16">
        <v>11.25</v>
      </c>
      <c r="P127" s="16">
        <v>236</v>
      </c>
      <c r="Q127" s="16">
        <v>0</v>
      </c>
      <c r="R127" s="16">
        <v>56.25</v>
      </c>
      <c r="S127" s="16">
        <v>0</v>
      </c>
      <c r="T127" s="16">
        <v>0</v>
      </c>
      <c r="U127" s="16">
        <v>0</v>
      </c>
      <c r="V127" s="16">
        <v>0</v>
      </c>
      <c r="W127" s="16">
        <v>13.26</v>
      </c>
      <c r="X127" s="16">
        <v>0</v>
      </c>
    </row>
    <row r="128" spans="1:24" x14ac:dyDescent="0.2">
      <c r="A128" s="6" t="s">
        <v>74</v>
      </c>
      <c r="B128" s="16">
        <v>700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700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</row>
    <row r="129" spans="1:24" x14ac:dyDescent="0.2">
      <c r="A129" s="6" t="s">
        <v>75</v>
      </c>
      <c r="B129" s="16">
        <v>3796.74</v>
      </c>
      <c r="C129" s="16">
        <v>0</v>
      </c>
      <c r="D129" s="16">
        <v>317.63</v>
      </c>
      <c r="E129" s="16">
        <v>0</v>
      </c>
      <c r="F129" s="16">
        <v>0</v>
      </c>
      <c r="G129" s="16">
        <v>0</v>
      </c>
      <c r="H129" s="16">
        <v>88</v>
      </c>
      <c r="I129" s="16">
        <v>116</v>
      </c>
      <c r="J129" s="16">
        <v>0</v>
      </c>
      <c r="K129" s="16">
        <v>0</v>
      </c>
      <c r="L129" s="16">
        <v>0</v>
      </c>
      <c r="M129" s="16">
        <v>0</v>
      </c>
      <c r="N129" s="16">
        <v>548.57000000000005</v>
      </c>
      <c r="O129" s="16">
        <v>309.25</v>
      </c>
      <c r="P129" s="16">
        <v>141.43</v>
      </c>
      <c r="Q129" s="16">
        <v>869.84</v>
      </c>
      <c r="R129" s="16">
        <v>516.73</v>
      </c>
      <c r="S129" s="16">
        <v>0</v>
      </c>
      <c r="T129" s="16">
        <v>300</v>
      </c>
      <c r="U129" s="16">
        <v>0</v>
      </c>
      <c r="V129" s="16">
        <v>0</v>
      </c>
      <c r="W129" s="16">
        <v>589.29</v>
      </c>
      <c r="X129" s="16">
        <v>0</v>
      </c>
    </row>
    <row r="130" spans="1:24" x14ac:dyDescent="0.2">
      <c r="A130" s="6" t="s">
        <v>76</v>
      </c>
      <c r="B130" s="16">
        <v>4314.96</v>
      </c>
      <c r="C130" s="16">
        <v>387.36</v>
      </c>
      <c r="D130" s="16">
        <v>319</v>
      </c>
      <c r="E130" s="16">
        <v>220</v>
      </c>
      <c r="F130" s="16">
        <v>440</v>
      </c>
      <c r="G130" s="16">
        <v>88</v>
      </c>
      <c r="H130" s="16">
        <v>355.14</v>
      </c>
      <c r="I130" s="16">
        <v>182.29</v>
      </c>
      <c r="J130" s="16">
        <v>182.68</v>
      </c>
      <c r="K130" s="16">
        <v>70.709999999999994</v>
      </c>
      <c r="L130" s="16">
        <v>303.68</v>
      </c>
      <c r="M130" s="16">
        <v>173.84</v>
      </c>
      <c r="N130" s="16">
        <v>615.79999999999995</v>
      </c>
      <c r="O130" s="16">
        <v>176.79</v>
      </c>
      <c r="P130" s="16">
        <v>424.29</v>
      </c>
      <c r="Q130" s="16">
        <v>180.74</v>
      </c>
      <c r="R130" s="16">
        <v>194.64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</row>
    <row r="131" spans="1:24" x14ac:dyDescent="0.2">
      <c r="A131" s="6" t="s">
        <v>312</v>
      </c>
      <c r="B131" s="21">
        <v>166717.16</v>
      </c>
      <c r="C131" s="21">
        <v>10310.48</v>
      </c>
      <c r="D131" s="21">
        <v>8783.24</v>
      </c>
      <c r="E131" s="21">
        <v>10155.77</v>
      </c>
      <c r="F131" s="21">
        <v>10722.58</v>
      </c>
      <c r="G131" s="21">
        <v>6943.97</v>
      </c>
      <c r="H131" s="21">
        <v>11300.94</v>
      </c>
      <c r="I131" s="21">
        <v>4584.47</v>
      </c>
      <c r="J131" s="21">
        <v>7873.9</v>
      </c>
      <c r="K131" s="21">
        <v>3891.41</v>
      </c>
      <c r="L131" s="21">
        <v>10082.77</v>
      </c>
      <c r="M131" s="21">
        <v>7560.31</v>
      </c>
      <c r="N131" s="21">
        <v>25868.3</v>
      </c>
      <c r="O131" s="21">
        <v>6751.38</v>
      </c>
      <c r="P131" s="21">
        <v>11646.68</v>
      </c>
      <c r="Q131" s="21">
        <v>10005.09</v>
      </c>
      <c r="R131" s="21">
        <v>11833.11</v>
      </c>
      <c r="S131" s="21">
        <v>0</v>
      </c>
      <c r="T131" s="21">
        <v>3437.75</v>
      </c>
      <c r="U131" s="21">
        <v>78.62</v>
      </c>
      <c r="V131" s="21">
        <v>2345.09</v>
      </c>
      <c r="W131" s="21">
        <v>2541.3000000000002</v>
      </c>
      <c r="X131" s="21">
        <v>0</v>
      </c>
    </row>
    <row r="132" spans="1:24" x14ac:dyDescent="0.2">
      <c r="A132" s="6" t="s">
        <v>313</v>
      </c>
      <c r="B132" s="15" t="s">
        <v>70</v>
      </c>
      <c r="C132" s="15" t="s">
        <v>70</v>
      </c>
      <c r="D132" s="15" t="s">
        <v>70</v>
      </c>
      <c r="E132" s="15" t="s">
        <v>70</v>
      </c>
      <c r="F132" s="15" t="s">
        <v>70</v>
      </c>
      <c r="G132" s="15" t="s">
        <v>70</v>
      </c>
      <c r="H132" s="15" t="s">
        <v>70</v>
      </c>
      <c r="I132" s="15" t="s">
        <v>70</v>
      </c>
      <c r="J132" s="15" t="s">
        <v>70</v>
      </c>
      <c r="K132" s="15" t="s">
        <v>70</v>
      </c>
      <c r="L132" s="15" t="s">
        <v>70</v>
      </c>
      <c r="M132" s="15" t="s">
        <v>70</v>
      </c>
      <c r="N132" s="15" t="s">
        <v>70</v>
      </c>
      <c r="O132" s="15" t="s">
        <v>70</v>
      </c>
      <c r="P132" s="15" t="s">
        <v>70</v>
      </c>
      <c r="Q132" s="15" t="s">
        <v>70</v>
      </c>
      <c r="R132" s="15" t="s">
        <v>70</v>
      </c>
      <c r="S132" s="15" t="s">
        <v>70</v>
      </c>
      <c r="T132" s="15" t="s">
        <v>70</v>
      </c>
      <c r="U132" s="15" t="s">
        <v>70</v>
      </c>
      <c r="V132" s="15" t="s">
        <v>70</v>
      </c>
      <c r="W132" s="15" t="s">
        <v>70</v>
      </c>
      <c r="X132" s="15" t="s">
        <v>70</v>
      </c>
    </row>
    <row r="133" spans="1:24" x14ac:dyDescent="0.2">
      <c r="A133" s="6" t="s">
        <v>71</v>
      </c>
      <c r="B133" s="16">
        <v>63926.31</v>
      </c>
      <c r="C133" s="16">
        <v>3132</v>
      </c>
      <c r="D133" s="16">
        <v>3193.42</v>
      </c>
      <c r="E133" s="16">
        <v>3445.75</v>
      </c>
      <c r="F133" s="16">
        <v>3484.87</v>
      </c>
      <c r="G133" s="16">
        <v>2909.57</v>
      </c>
      <c r="H133" s="16">
        <v>3351.78</v>
      </c>
      <c r="I133" s="16">
        <v>2148.0700000000002</v>
      </c>
      <c r="J133" s="16">
        <v>3668.11</v>
      </c>
      <c r="K133" s="16">
        <v>3880.43</v>
      </c>
      <c r="L133" s="16">
        <v>3285.71</v>
      </c>
      <c r="M133" s="16">
        <v>3432.85</v>
      </c>
      <c r="N133" s="16">
        <v>3587.15</v>
      </c>
      <c r="O133" s="16">
        <v>4296.8100000000004</v>
      </c>
      <c r="P133" s="16">
        <v>4358.4799999999996</v>
      </c>
      <c r="Q133" s="16">
        <v>4068.64</v>
      </c>
      <c r="R133" s="16">
        <v>428.57</v>
      </c>
      <c r="S133" s="16">
        <v>3512.36</v>
      </c>
      <c r="T133" s="16">
        <v>3136.61</v>
      </c>
      <c r="U133" s="16">
        <v>717.03</v>
      </c>
      <c r="V133" s="16">
        <v>3598.17</v>
      </c>
      <c r="W133" s="16">
        <v>289.93</v>
      </c>
      <c r="X133" s="16">
        <v>0</v>
      </c>
    </row>
    <row r="134" spans="1:24" x14ac:dyDescent="0.2">
      <c r="A134" s="6" t="s">
        <v>72</v>
      </c>
      <c r="B134" s="16">
        <v>2939.03</v>
      </c>
      <c r="C134" s="16">
        <v>97.88</v>
      </c>
      <c r="D134" s="16">
        <v>76.900000000000006</v>
      </c>
      <c r="E134" s="16">
        <v>33</v>
      </c>
      <c r="F134" s="16">
        <v>361.14</v>
      </c>
      <c r="G134" s="16">
        <v>75</v>
      </c>
      <c r="H134" s="16">
        <v>136.61000000000001</v>
      </c>
      <c r="I134" s="16">
        <v>89.25</v>
      </c>
      <c r="J134" s="16">
        <v>576.91</v>
      </c>
      <c r="K134" s="16">
        <v>62.85</v>
      </c>
      <c r="L134" s="16">
        <v>0</v>
      </c>
      <c r="M134" s="16">
        <v>332.68</v>
      </c>
      <c r="N134" s="16">
        <v>0</v>
      </c>
      <c r="O134" s="16">
        <v>0</v>
      </c>
      <c r="P134" s="16">
        <v>198.22</v>
      </c>
      <c r="Q134" s="16">
        <v>0</v>
      </c>
      <c r="R134" s="16">
        <v>0</v>
      </c>
      <c r="S134" s="16">
        <v>147.16</v>
      </c>
      <c r="T134" s="16">
        <v>731.4</v>
      </c>
      <c r="U134" s="16">
        <v>0</v>
      </c>
      <c r="V134" s="16">
        <v>20.03</v>
      </c>
      <c r="W134" s="16">
        <v>0</v>
      </c>
      <c r="X134" s="16">
        <v>0</v>
      </c>
    </row>
    <row r="135" spans="1:24" x14ac:dyDescent="0.2">
      <c r="A135" s="6" t="s">
        <v>75</v>
      </c>
      <c r="B135" s="16">
        <v>2502.4499999999998</v>
      </c>
      <c r="C135" s="16">
        <v>0</v>
      </c>
      <c r="D135" s="16">
        <v>0</v>
      </c>
      <c r="E135" s="16">
        <v>51.86</v>
      </c>
      <c r="F135" s="16">
        <v>0</v>
      </c>
      <c r="G135" s="16">
        <v>235.71</v>
      </c>
      <c r="H135" s="16">
        <v>0</v>
      </c>
      <c r="I135" s="16">
        <v>149.96</v>
      </c>
      <c r="J135" s="16">
        <v>0</v>
      </c>
      <c r="K135" s="16">
        <v>62.43</v>
      </c>
      <c r="L135" s="16">
        <v>789.79</v>
      </c>
      <c r="M135" s="16">
        <v>210</v>
      </c>
      <c r="N135" s="16">
        <v>0</v>
      </c>
      <c r="O135" s="16">
        <v>146.13999999999999</v>
      </c>
      <c r="P135" s="16">
        <v>0</v>
      </c>
      <c r="Q135" s="16">
        <v>216</v>
      </c>
      <c r="R135" s="16">
        <v>123.82</v>
      </c>
      <c r="S135" s="16">
        <v>0</v>
      </c>
      <c r="T135" s="16">
        <v>192.86</v>
      </c>
      <c r="U135" s="16">
        <v>109.29</v>
      </c>
      <c r="V135" s="16">
        <v>0</v>
      </c>
      <c r="W135" s="16">
        <v>214.59</v>
      </c>
      <c r="X135" s="16">
        <v>0</v>
      </c>
    </row>
    <row r="136" spans="1:24" x14ac:dyDescent="0.2">
      <c r="A136" s="6" t="s">
        <v>76</v>
      </c>
      <c r="B136" s="16">
        <v>1813.59</v>
      </c>
      <c r="C136" s="16">
        <v>113.14</v>
      </c>
      <c r="D136" s="16">
        <v>118.74</v>
      </c>
      <c r="E136" s="16">
        <v>138.29</v>
      </c>
      <c r="F136" s="16">
        <v>0</v>
      </c>
      <c r="G136" s="16">
        <v>125.71</v>
      </c>
      <c r="H136" s="16">
        <v>125.71</v>
      </c>
      <c r="I136" s="16">
        <v>106.86</v>
      </c>
      <c r="J136" s="16">
        <v>0</v>
      </c>
      <c r="K136" s="16">
        <v>144.57</v>
      </c>
      <c r="L136" s="16">
        <v>0</v>
      </c>
      <c r="M136" s="16">
        <v>78.569999999999993</v>
      </c>
      <c r="N136" s="16">
        <v>0</v>
      </c>
      <c r="O136" s="16">
        <v>150.86000000000001</v>
      </c>
      <c r="P136" s="16">
        <v>157.13999999999999</v>
      </c>
      <c r="Q136" s="16">
        <v>123.43</v>
      </c>
      <c r="R136" s="16">
        <v>0</v>
      </c>
      <c r="S136" s="16">
        <v>116.29</v>
      </c>
      <c r="T136" s="16">
        <v>103.12</v>
      </c>
      <c r="U136" s="16">
        <v>90.16</v>
      </c>
      <c r="V136" s="16">
        <v>121</v>
      </c>
      <c r="W136" s="16">
        <v>0</v>
      </c>
      <c r="X136" s="16">
        <v>0</v>
      </c>
    </row>
    <row r="137" spans="1:24" x14ac:dyDescent="0.2">
      <c r="A137" s="6" t="s">
        <v>314</v>
      </c>
      <c r="B137" s="21">
        <v>71181.38</v>
      </c>
      <c r="C137" s="21">
        <v>3343.02</v>
      </c>
      <c r="D137" s="21">
        <v>3389.06</v>
      </c>
      <c r="E137" s="21">
        <v>3668.9</v>
      </c>
      <c r="F137" s="21">
        <v>3846.01</v>
      </c>
      <c r="G137" s="21">
        <v>3345.99</v>
      </c>
      <c r="H137" s="21">
        <v>3614.1</v>
      </c>
      <c r="I137" s="21">
        <v>2494.14</v>
      </c>
      <c r="J137" s="21">
        <v>4245.0200000000004</v>
      </c>
      <c r="K137" s="21">
        <v>4150.28</v>
      </c>
      <c r="L137" s="21">
        <v>4075.5</v>
      </c>
      <c r="M137" s="21">
        <v>4054.1</v>
      </c>
      <c r="N137" s="21">
        <v>3587.15</v>
      </c>
      <c r="O137" s="21">
        <v>4593.8100000000004</v>
      </c>
      <c r="P137" s="21">
        <v>4713.84</v>
      </c>
      <c r="Q137" s="21">
        <v>4408.07</v>
      </c>
      <c r="R137" s="21">
        <v>552.39</v>
      </c>
      <c r="S137" s="21">
        <v>3775.81</v>
      </c>
      <c r="T137" s="21">
        <v>4163.99</v>
      </c>
      <c r="U137" s="21">
        <v>916.48</v>
      </c>
      <c r="V137" s="21">
        <v>3739.2</v>
      </c>
      <c r="W137" s="21">
        <v>504.52</v>
      </c>
      <c r="X137" s="21">
        <v>0</v>
      </c>
    </row>
    <row r="138" spans="1:24" x14ac:dyDescent="0.2">
      <c r="A138" s="6" t="s">
        <v>315</v>
      </c>
      <c r="B138" s="15" t="s">
        <v>70</v>
      </c>
      <c r="C138" s="15" t="s">
        <v>70</v>
      </c>
      <c r="D138" s="15" t="s">
        <v>70</v>
      </c>
      <c r="E138" s="15" t="s">
        <v>70</v>
      </c>
      <c r="F138" s="15" t="s">
        <v>70</v>
      </c>
      <c r="G138" s="15" t="s">
        <v>70</v>
      </c>
      <c r="H138" s="15" t="s">
        <v>70</v>
      </c>
      <c r="I138" s="15" t="s">
        <v>70</v>
      </c>
      <c r="J138" s="15" t="s">
        <v>70</v>
      </c>
      <c r="K138" s="15" t="s">
        <v>70</v>
      </c>
      <c r="L138" s="15" t="s">
        <v>70</v>
      </c>
      <c r="M138" s="15" t="s">
        <v>70</v>
      </c>
      <c r="N138" s="15" t="s">
        <v>70</v>
      </c>
      <c r="O138" s="15" t="s">
        <v>70</v>
      </c>
      <c r="P138" s="15" t="s">
        <v>70</v>
      </c>
      <c r="Q138" s="15" t="s">
        <v>70</v>
      </c>
      <c r="R138" s="15" t="s">
        <v>70</v>
      </c>
      <c r="S138" s="15" t="s">
        <v>70</v>
      </c>
      <c r="T138" s="15" t="s">
        <v>70</v>
      </c>
      <c r="U138" s="15" t="s">
        <v>70</v>
      </c>
      <c r="V138" s="15" t="s">
        <v>70</v>
      </c>
      <c r="W138" s="15" t="s">
        <v>70</v>
      </c>
      <c r="X138" s="15" t="s">
        <v>70</v>
      </c>
    </row>
    <row r="139" spans="1:24" x14ac:dyDescent="0.2">
      <c r="A139" s="6" t="s">
        <v>71</v>
      </c>
      <c r="B139" s="16">
        <v>11927.54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3295.98</v>
      </c>
      <c r="O139" s="16">
        <v>3273.52</v>
      </c>
      <c r="P139" s="16">
        <v>3065.45</v>
      </c>
      <c r="Q139" s="16">
        <v>2127.5</v>
      </c>
      <c r="R139" s="16">
        <v>0</v>
      </c>
      <c r="S139" s="16">
        <v>0</v>
      </c>
      <c r="T139" s="16">
        <v>0</v>
      </c>
      <c r="U139" s="16">
        <v>0</v>
      </c>
      <c r="V139" s="16">
        <v>165.09</v>
      </c>
      <c r="W139" s="16">
        <v>0</v>
      </c>
      <c r="X139" s="16">
        <v>0</v>
      </c>
    </row>
    <row r="140" spans="1:24" x14ac:dyDescent="0.2">
      <c r="A140" s="6" t="s">
        <v>72</v>
      </c>
      <c r="B140" s="16">
        <v>435.39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254.71</v>
      </c>
      <c r="P140" s="16">
        <v>180.68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</row>
    <row r="141" spans="1:24" x14ac:dyDescent="0.2">
      <c r="A141" s="6" t="s">
        <v>76</v>
      </c>
      <c r="B141" s="16">
        <v>259.22000000000003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105.39</v>
      </c>
      <c r="P141" s="16">
        <v>119.43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34.4</v>
      </c>
      <c r="W141" s="16">
        <v>0</v>
      </c>
      <c r="X141" s="16">
        <v>0</v>
      </c>
    </row>
    <row r="142" spans="1:24" x14ac:dyDescent="0.2">
      <c r="A142" s="6" t="s">
        <v>316</v>
      </c>
      <c r="B142" s="21">
        <v>12622.15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3295.98</v>
      </c>
      <c r="O142" s="21">
        <v>3633.62</v>
      </c>
      <c r="P142" s="21">
        <v>3365.56</v>
      </c>
      <c r="Q142" s="21">
        <v>2127.5</v>
      </c>
      <c r="R142" s="21">
        <v>0</v>
      </c>
      <c r="S142" s="21">
        <v>0</v>
      </c>
      <c r="T142" s="21">
        <v>0</v>
      </c>
      <c r="U142" s="21">
        <v>0</v>
      </c>
      <c r="V142" s="21">
        <v>199.49</v>
      </c>
      <c r="W142" s="21">
        <v>0</v>
      </c>
      <c r="X142" s="21">
        <v>0</v>
      </c>
    </row>
    <row r="143" spans="1:24" x14ac:dyDescent="0.2">
      <c r="A143" s="6" t="s">
        <v>317</v>
      </c>
      <c r="B143" s="15" t="s">
        <v>70</v>
      </c>
      <c r="C143" s="15" t="s">
        <v>70</v>
      </c>
      <c r="D143" s="15" t="s">
        <v>70</v>
      </c>
      <c r="E143" s="15" t="s">
        <v>70</v>
      </c>
      <c r="F143" s="15" t="s">
        <v>70</v>
      </c>
      <c r="G143" s="15" t="s">
        <v>70</v>
      </c>
      <c r="H143" s="15" t="s">
        <v>70</v>
      </c>
      <c r="I143" s="15" t="s">
        <v>70</v>
      </c>
      <c r="J143" s="15" t="s">
        <v>70</v>
      </c>
      <c r="K143" s="15" t="s">
        <v>70</v>
      </c>
      <c r="L143" s="15" t="s">
        <v>70</v>
      </c>
      <c r="M143" s="15" t="s">
        <v>70</v>
      </c>
      <c r="N143" s="15" t="s">
        <v>70</v>
      </c>
      <c r="O143" s="15" t="s">
        <v>70</v>
      </c>
      <c r="P143" s="15" t="s">
        <v>70</v>
      </c>
      <c r="Q143" s="15" t="s">
        <v>70</v>
      </c>
      <c r="R143" s="15" t="s">
        <v>70</v>
      </c>
      <c r="S143" s="15" t="s">
        <v>70</v>
      </c>
      <c r="T143" s="15" t="s">
        <v>70</v>
      </c>
      <c r="U143" s="15" t="s">
        <v>70</v>
      </c>
      <c r="V143" s="15" t="s">
        <v>70</v>
      </c>
      <c r="W143" s="15" t="s">
        <v>70</v>
      </c>
      <c r="X143" s="15" t="s">
        <v>70</v>
      </c>
    </row>
    <row r="144" spans="1:24" x14ac:dyDescent="0.2">
      <c r="A144" s="6" t="s">
        <v>71</v>
      </c>
      <c r="B144" s="16">
        <v>56330.62</v>
      </c>
      <c r="C144" s="16">
        <v>3729.4</v>
      </c>
      <c r="D144" s="16">
        <v>3011.14</v>
      </c>
      <c r="E144" s="16">
        <v>2542.5</v>
      </c>
      <c r="F144" s="16">
        <v>2683.61</v>
      </c>
      <c r="G144" s="16">
        <v>3186.07</v>
      </c>
      <c r="H144" s="16">
        <v>2537.5700000000002</v>
      </c>
      <c r="I144" s="16">
        <v>2967.43</v>
      </c>
      <c r="J144" s="16">
        <v>2849.93</v>
      </c>
      <c r="K144" s="16">
        <v>3420.75</v>
      </c>
      <c r="L144" s="16">
        <v>4074.28</v>
      </c>
      <c r="M144" s="16">
        <v>11.57</v>
      </c>
      <c r="N144" s="16">
        <v>3080.86</v>
      </c>
      <c r="O144" s="16">
        <v>3597.33</v>
      </c>
      <c r="P144" s="16">
        <v>2943.64</v>
      </c>
      <c r="Q144" s="16">
        <v>2090.5700000000002</v>
      </c>
      <c r="R144" s="16">
        <v>3075</v>
      </c>
      <c r="S144" s="16">
        <v>0</v>
      </c>
      <c r="T144" s="16">
        <v>2882.14</v>
      </c>
      <c r="U144" s="16">
        <v>2498.44</v>
      </c>
      <c r="V144" s="16">
        <v>3018.39</v>
      </c>
      <c r="W144" s="16">
        <v>2130</v>
      </c>
      <c r="X144" s="16">
        <v>0</v>
      </c>
    </row>
    <row r="145" spans="1:24" x14ac:dyDescent="0.2">
      <c r="A145" s="6" t="s">
        <v>72</v>
      </c>
      <c r="B145" s="16">
        <v>4210.49</v>
      </c>
      <c r="C145" s="16">
        <v>394.83</v>
      </c>
      <c r="D145" s="16">
        <v>228.05</v>
      </c>
      <c r="E145" s="16">
        <v>6.75</v>
      </c>
      <c r="F145" s="16">
        <v>0</v>
      </c>
      <c r="G145" s="16">
        <v>89.25</v>
      </c>
      <c r="H145" s="16">
        <v>2.73</v>
      </c>
      <c r="I145" s="16">
        <v>381.86</v>
      </c>
      <c r="J145" s="16">
        <v>177.14</v>
      </c>
      <c r="K145" s="16">
        <v>1035.57</v>
      </c>
      <c r="L145" s="16">
        <v>0</v>
      </c>
      <c r="M145" s="16">
        <v>141.75</v>
      </c>
      <c r="N145" s="16">
        <v>43.4</v>
      </c>
      <c r="O145" s="16">
        <v>0</v>
      </c>
      <c r="P145" s="16">
        <v>59.31</v>
      </c>
      <c r="Q145" s="16">
        <v>0</v>
      </c>
      <c r="R145" s="16">
        <v>0</v>
      </c>
      <c r="S145" s="16">
        <v>0</v>
      </c>
      <c r="T145" s="16">
        <v>1341.32</v>
      </c>
      <c r="U145" s="16">
        <v>301.57</v>
      </c>
      <c r="V145" s="16">
        <v>6.96</v>
      </c>
      <c r="W145" s="16">
        <v>0</v>
      </c>
      <c r="X145" s="16">
        <v>0</v>
      </c>
    </row>
    <row r="146" spans="1:24" x14ac:dyDescent="0.2">
      <c r="A146" s="6" t="s">
        <v>75</v>
      </c>
      <c r="B146" s="16">
        <v>1922.76</v>
      </c>
      <c r="C146" s="16">
        <v>0</v>
      </c>
      <c r="D146" s="16">
        <v>90.64</v>
      </c>
      <c r="E146" s="16">
        <v>0</v>
      </c>
      <c r="F146" s="16">
        <v>0</v>
      </c>
      <c r="G146" s="16">
        <v>0</v>
      </c>
      <c r="H146" s="16">
        <v>136</v>
      </c>
      <c r="I146" s="16">
        <v>0</v>
      </c>
      <c r="J146" s="16">
        <v>136</v>
      </c>
      <c r="K146" s="16">
        <v>408</v>
      </c>
      <c r="L146" s="16">
        <v>0</v>
      </c>
      <c r="M146" s="16">
        <v>0</v>
      </c>
      <c r="N146" s="16">
        <v>231.36</v>
      </c>
      <c r="O146" s="16">
        <v>371.68</v>
      </c>
      <c r="P146" s="16">
        <v>121.5</v>
      </c>
      <c r="Q146" s="16">
        <v>0</v>
      </c>
      <c r="R146" s="16">
        <v>427.58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</row>
    <row r="147" spans="1:24" x14ac:dyDescent="0.2">
      <c r="A147" s="6" t="s">
        <v>76</v>
      </c>
      <c r="B147" s="16">
        <v>1689.85</v>
      </c>
      <c r="C147" s="16">
        <v>138.29</v>
      </c>
      <c r="D147" s="16">
        <v>113.14</v>
      </c>
      <c r="E147" s="16">
        <v>132</v>
      </c>
      <c r="F147" s="16">
        <v>113.14</v>
      </c>
      <c r="G147" s="16">
        <v>125.71</v>
      </c>
      <c r="H147" s="16">
        <v>94.29</v>
      </c>
      <c r="I147" s="16">
        <v>113.14</v>
      </c>
      <c r="J147" s="16">
        <v>116.87</v>
      </c>
      <c r="K147" s="16">
        <v>165</v>
      </c>
      <c r="L147" s="16">
        <v>0</v>
      </c>
      <c r="M147" s="16">
        <v>0</v>
      </c>
      <c r="N147" s="16">
        <v>80.540000000000006</v>
      </c>
      <c r="O147" s="16">
        <v>146.02000000000001</v>
      </c>
      <c r="P147" s="16">
        <v>113.14</v>
      </c>
      <c r="Q147" s="16">
        <v>109.71</v>
      </c>
      <c r="R147" s="16">
        <v>128.86000000000001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</row>
    <row r="148" spans="1:24" x14ac:dyDescent="0.2">
      <c r="A148" s="6" t="s">
        <v>318</v>
      </c>
      <c r="B148" s="21">
        <v>64153.72</v>
      </c>
      <c r="C148" s="21">
        <v>4262.5200000000004</v>
      </c>
      <c r="D148" s="21">
        <v>3442.97</v>
      </c>
      <c r="E148" s="21">
        <v>2681.25</v>
      </c>
      <c r="F148" s="21">
        <v>2796.75</v>
      </c>
      <c r="G148" s="21">
        <v>3401.03</v>
      </c>
      <c r="H148" s="21">
        <v>2770.59</v>
      </c>
      <c r="I148" s="21">
        <v>3462.43</v>
      </c>
      <c r="J148" s="21">
        <v>3279.94</v>
      </c>
      <c r="K148" s="21">
        <v>5029.32</v>
      </c>
      <c r="L148" s="21">
        <v>4074.28</v>
      </c>
      <c r="M148" s="21">
        <v>153.32</v>
      </c>
      <c r="N148" s="21">
        <v>3436.16</v>
      </c>
      <c r="O148" s="21">
        <v>4115.03</v>
      </c>
      <c r="P148" s="21">
        <v>3237.59</v>
      </c>
      <c r="Q148" s="21">
        <v>2200.2800000000002</v>
      </c>
      <c r="R148" s="21">
        <v>3631.44</v>
      </c>
      <c r="S148" s="21">
        <v>0</v>
      </c>
      <c r="T148" s="21">
        <v>4223.46</v>
      </c>
      <c r="U148" s="21">
        <v>2800.01</v>
      </c>
      <c r="V148" s="21">
        <v>3025.35</v>
      </c>
      <c r="W148" s="21">
        <v>2130</v>
      </c>
      <c r="X148" s="21">
        <v>0</v>
      </c>
    </row>
    <row r="149" spans="1:24" x14ac:dyDescent="0.2">
      <c r="A149" s="6" t="s">
        <v>319</v>
      </c>
      <c r="B149" s="15" t="s">
        <v>70</v>
      </c>
      <c r="C149" s="15" t="s">
        <v>70</v>
      </c>
      <c r="D149" s="15" t="s">
        <v>70</v>
      </c>
      <c r="E149" s="15" t="s">
        <v>70</v>
      </c>
      <c r="F149" s="15" t="s">
        <v>70</v>
      </c>
      <c r="G149" s="15" t="s">
        <v>70</v>
      </c>
      <c r="H149" s="15" t="s">
        <v>70</v>
      </c>
      <c r="I149" s="15" t="s">
        <v>70</v>
      </c>
      <c r="J149" s="15" t="s">
        <v>70</v>
      </c>
      <c r="K149" s="15" t="s">
        <v>70</v>
      </c>
      <c r="L149" s="15" t="s">
        <v>70</v>
      </c>
      <c r="M149" s="15" t="s">
        <v>70</v>
      </c>
      <c r="N149" s="15" t="s">
        <v>70</v>
      </c>
      <c r="O149" s="15" t="s">
        <v>70</v>
      </c>
      <c r="P149" s="15" t="s">
        <v>70</v>
      </c>
      <c r="Q149" s="15" t="s">
        <v>70</v>
      </c>
      <c r="R149" s="15" t="s">
        <v>70</v>
      </c>
      <c r="S149" s="15" t="s">
        <v>70</v>
      </c>
      <c r="T149" s="15" t="s">
        <v>70</v>
      </c>
      <c r="U149" s="15" t="s">
        <v>70</v>
      </c>
      <c r="V149" s="15" t="s">
        <v>70</v>
      </c>
      <c r="W149" s="15" t="s">
        <v>70</v>
      </c>
      <c r="X149" s="15" t="s">
        <v>70</v>
      </c>
    </row>
    <row r="150" spans="1:24" x14ac:dyDescent="0.2">
      <c r="A150" s="6" t="s">
        <v>71</v>
      </c>
      <c r="B150" s="16">
        <v>4883.03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2973.68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1909.35</v>
      </c>
      <c r="V150" s="16">
        <v>0</v>
      </c>
      <c r="W150" s="16">
        <v>0</v>
      </c>
      <c r="X150" s="16">
        <v>0</v>
      </c>
    </row>
    <row r="151" spans="1:24" x14ac:dyDescent="0.2">
      <c r="A151" s="6" t="s">
        <v>72</v>
      </c>
      <c r="B151" s="16">
        <v>190.93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190.93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</row>
    <row r="152" spans="1:24" x14ac:dyDescent="0.2">
      <c r="A152" s="6" t="s">
        <v>75</v>
      </c>
      <c r="B152" s="16">
        <v>124.57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124.57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</row>
    <row r="153" spans="1:24" x14ac:dyDescent="0.2">
      <c r="A153" s="6" t="s">
        <v>76</v>
      </c>
      <c r="B153" s="16">
        <v>67.77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67.77</v>
      </c>
      <c r="V153" s="16">
        <v>0</v>
      </c>
      <c r="W153" s="16">
        <v>0</v>
      </c>
      <c r="X153" s="16">
        <v>0</v>
      </c>
    </row>
    <row r="154" spans="1:24" x14ac:dyDescent="0.2">
      <c r="A154" s="6" t="s">
        <v>320</v>
      </c>
      <c r="B154" s="21">
        <v>5266.3</v>
      </c>
      <c r="C154" s="21">
        <v>0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21">
        <v>3289.18</v>
      </c>
      <c r="O154" s="21">
        <v>0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1977.12</v>
      </c>
      <c r="V154" s="21">
        <v>0</v>
      </c>
      <c r="W154" s="21">
        <v>0</v>
      </c>
      <c r="X154" s="21">
        <v>0</v>
      </c>
    </row>
    <row r="155" spans="1:24" x14ac:dyDescent="0.2">
      <c r="A155" s="6" t="s">
        <v>321</v>
      </c>
      <c r="B155" s="15" t="s">
        <v>70</v>
      </c>
      <c r="C155" s="15" t="s">
        <v>70</v>
      </c>
      <c r="D155" s="15" t="s">
        <v>70</v>
      </c>
      <c r="E155" s="15" t="s">
        <v>70</v>
      </c>
      <c r="F155" s="15" t="s">
        <v>70</v>
      </c>
      <c r="G155" s="15" t="s">
        <v>70</v>
      </c>
      <c r="H155" s="15" t="s">
        <v>70</v>
      </c>
      <c r="I155" s="15" t="s">
        <v>70</v>
      </c>
      <c r="J155" s="15" t="s">
        <v>70</v>
      </c>
      <c r="K155" s="15" t="s">
        <v>70</v>
      </c>
      <c r="L155" s="15" t="s">
        <v>70</v>
      </c>
      <c r="M155" s="15" t="s">
        <v>70</v>
      </c>
      <c r="N155" s="15" t="s">
        <v>70</v>
      </c>
      <c r="O155" s="15" t="s">
        <v>70</v>
      </c>
      <c r="P155" s="15" t="s">
        <v>70</v>
      </c>
      <c r="Q155" s="15" t="s">
        <v>70</v>
      </c>
      <c r="R155" s="15" t="s">
        <v>70</v>
      </c>
      <c r="S155" s="15" t="s">
        <v>70</v>
      </c>
      <c r="T155" s="15" t="s">
        <v>70</v>
      </c>
      <c r="U155" s="15" t="s">
        <v>70</v>
      </c>
      <c r="V155" s="15" t="s">
        <v>70</v>
      </c>
      <c r="W155" s="15" t="s">
        <v>70</v>
      </c>
      <c r="X155" s="15" t="s">
        <v>70</v>
      </c>
    </row>
    <row r="156" spans="1:24" x14ac:dyDescent="0.2">
      <c r="A156" s="6" t="s">
        <v>71</v>
      </c>
      <c r="B156" s="16">
        <v>147956.67000000001</v>
      </c>
      <c r="C156" s="16">
        <v>5113.51</v>
      </c>
      <c r="D156" s="16">
        <v>12504.04</v>
      </c>
      <c r="E156" s="16">
        <v>7039.58</v>
      </c>
      <c r="F156" s="16">
        <v>10683.65</v>
      </c>
      <c r="G156" s="16">
        <v>6693.3</v>
      </c>
      <c r="H156" s="16">
        <v>8192.66</v>
      </c>
      <c r="I156" s="16">
        <v>4617.49</v>
      </c>
      <c r="J156" s="16">
        <v>4421.51</v>
      </c>
      <c r="K156" s="16">
        <v>2564.59</v>
      </c>
      <c r="L156" s="16">
        <v>14546.45</v>
      </c>
      <c r="M156" s="16">
        <v>11009.2</v>
      </c>
      <c r="N156" s="16">
        <v>22855.71</v>
      </c>
      <c r="O156" s="16">
        <v>9692.7999999999993</v>
      </c>
      <c r="P156" s="16">
        <v>7582.07</v>
      </c>
      <c r="Q156" s="16">
        <v>1995</v>
      </c>
      <c r="R156" s="16">
        <v>6558</v>
      </c>
      <c r="S156" s="16">
        <v>5113.74</v>
      </c>
      <c r="T156" s="16">
        <v>2461.21</v>
      </c>
      <c r="U156" s="16">
        <v>372.07</v>
      </c>
      <c r="V156" s="16">
        <v>3940.09</v>
      </c>
      <c r="W156" s="16">
        <v>0</v>
      </c>
      <c r="X156" s="16">
        <v>0</v>
      </c>
    </row>
    <row r="157" spans="1:24" x14ac:dyDescent="0.2">
      <c r="A157" s="6" t="s">
        <v>72</v>
      </c>
      <c r="B157" s="16">
        <v>3655.73</v>
      </c>
      <c r="C157" s="16">
        <v>5.44</v>
      </c>
      <c r="D157" s="16">
        <v>0</v>
      </c>
      <c r="E157" s="16">
        <v>603.02</v>
      </c>
      <c r="F157" s="16">
        <v>54.22</v>
      </c>
      <c r="G157" s="16">
        <v>57.48</v>
      </c>
      <c r="H157" s="16">
        <v>10.88</v>
      </c>
      <c r="I157" s="16">
        <v>21.31</v>
      </c>
      <c r="J157" s="16">
        <v>0</v>
      </c>
      <c r="K157" s="16">
        <v>0</v>
      </c>
      <c r="L157" s="16">
        <v>1014.63</v>
      </c>
      <c r="M157" s="16">
        <v>726.67</v>
      </c>
      <c r="N157" s="16">
        <v>674.03</v>
      </c>
      <c r="O157" s="16">
        <v>397.38</v>
      </c>
      <c r="P157" s="16">
        <v>67.5</v>
      </c>
      <c r="Q157" s="16">
        <v>0</v>
      </c>
      <c r="R157" s="16">
        <v>0</v>
      </c>
      <c r="S157" s="16">
        <v>23.17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</row>
    <row r="158" spans="1:24" x14ac:dyDescent="0.2">
      <c r="A158" s="6" t="s">
        <v>74</v>
      </c>
      <c r="B158" s="16">
        <v>239.29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39.29</v>
      </c>
      <c r="L158" s="16">
        <v>200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</row>
    <row r="159" spans="1:24" x14ac:dyDescent="0.2">
      <c r="A159" s="6" t="s">
        <v>75</v>
      </c>
      <c r="B159" s="16">
        <v>3838.51</v>
      </c>
      <c r="C159" s="16">
        <v>0</v>
      </c>
      <c r="D159" s="16">
        <v>188.5</v>
      </c>
      <c r="E159" s="16">
        <v>111.07</v>
      </c>
      <c r="F159" s="16">
        <v>66</v>
      </c>
      <c r="G159" s="16">
        <v>0</v>
      </c>
      <c r="H159" s="16">
        <v>408</v>
      </c>
      <c r="I159" s="16">
        <v>170.86</v>
      </c>
      <c r="J159" s="16">
        <v>138.21</v>
      </c>
      <c r="K159" s="16">
        <v>45</v>
      </c>
      <c r="L159" s="16">
        <v>0</v>
      </c>
      <c r="M159" s="16">
        <v>246.86</v>
      </c>
      <c r="N159" s="16">
        <v>475.43</v>
      </c>
      <c r="O159" s="16">
        <v>0</v>
      </c>
      <c r="P159" s="16">
        <v>372.86</v>
      </c>
      <c r="Q159" s="16">
        <v>473.57</v>
      </c>
      <c r="R159" s="16">
        <v>242</v>
      </c>
      <c r="S159" s="16">
        <v>474.64</v>
      </c>
      <c r="T159" s="16">
        <v>0</v>
      </c>
      <c r="U159" s="16">
        <v>0</v>
      </c>
      <c r="V159" s="16">
        <v>425.51</v>
      </c>
      <c r="W159" s="16">
        <v>0</v>
      </c>
      <c r="X159" s="16">
        <v>0</v>
      </c>
    </row>
    <row r="160" spans="1:24" x14ac:dyDescent="0.2">
      <c r="A160" s="6" t="s">
        <v>76</v>
      </c>
      <c r="B160" s="16">
        <v>3744.07</v>
      </c>
      <c r="C160" s="16">
        <v>85.45</v>
      </c>
      <c r="D160" s="16">
        <v>592.42999999999995</v>
      </c>
      <c r="E160" s="16">
        <v>176</v>
      </c>
      <c r="F160" s="16">
        <v>220</v>
      </c>
      <c r="G160" s="16">
        <v>179.14</v>
      </c>
      <c r="H160" s="16">
        <v>441.57</v>
      </c>
      <c r="I160" s="16">
        <v>182.29</v>
      </c>
      <c r="J160" s="16">
        <v>0</v>
      </c>
      <c r="K160" s="16">
        <v>0</v>
      </c>
      <c r="L160" s="16">
        <v>259.29000000000002</v>
      </c>
      <c r="M160" s="16">
        <v>256.93</v>
      </c>
      <c r="N160" s="16">
        <v>533.29999999999995</v>
      </c>
      <c r="O160" s="16">
        <v>162.05000000000001</v>
      </c>
      <c r="P160" s="16">
        <v>229.82</v>
      </c>
      <c r="Q160" s="16">
        <v>53.57</v>
      </c>
      <c r="R160" s="16">
        <v>106.07</v>
      </c>
      <c r="S160" s="16">
        <v>35.36</v>
      </c>
      <c r="T160" s="16">
        <v>110</v>
      </c>
      <c r="U160" s="16">
        <v>0</v>
      </c>
      <c r="V160" s="16">
        <v>120.8</v>
      </c>
      <c r="W160" s="16">
        <v>0</v>
      </c>
      <c r="X160" s="16">
        <v>0</v>
      </c>
    </row>
    <row r="161" spans="1:24" x14ac:dyDescent="0.2">
      <c r="A161" s="6" t="s">
        <v>322</v>
      </c>
      <c r="B161" s="21">
        <v>159434.26999999999</v>
      </c>
      <c r="C161" s="21">
        <v>5204.3999999999996</v>
      </c>
      <c r="D161" s="21">
        <v>13284.97</v>
      </c>
      <c r="E161" s="21">
        <v>7929.67</v>
      </c>
      <c r="F161" s="21">
        <v>11023.87</v>
      </c>
      <c r="G161" s="21">
        <v>6929.92</v>
      </c>
      <c r="H161" s="21">
        <v>9053.11</v>
      </c>
      <c r="I161" s="21">
        <v>4991.95</v>
      </c>
      <c r="J161" s="21">
        <v>4559.72</v>
      </c>
      <c r="K161" s="21">
        <v>2648.88</v>
      </c>
      <c r="L161" s="21">
        <v>16020.37</v>
      </c>
      <c r="M161" s="21">
        <v>12239.66</v>
      </c>
      <c r="N161" s="21">
        <v>24538.47</v>
      </c>
      <c r="O161" s="21">
        <v>10252.23</v>
      </c>
      <c r="P161" s="21">
        <v>8252.25</v>
      </c>
      <c r="Q161" s="21">
        <v>2522.14</v>
      </c>
      <c r="R161" s="21">
        <v>6906.07</v>
      </c>
      <c r="S161" s="21">
        <v>5646.91</v>
      </c>
      <c r="T161" s="21">
        <v>2571.21</v>
      </c>
      <c r="U161" s="21">
        <v>372.07</v>
      </c>
      <c r="V161" s="21">
        <v>4486.3999999999996</v>
      </c>
      <c r="W161" s="21">
        <v>0</v>
      </c>
      <c r="X161" s="21">
        <v>0</v>
      </c>
    </row>
    <row r="162" spans="1:24" x14ac:dyDescent="0.2">
      <c r="A162" s="6" t="s">
        <v>323</v>
      </c>
      <c r="B162" s="15" t="s">
        <v>70</v>
      </c>
      <c r="C162" s="15" t="s">
        <v>70</v>
      </c>
      <c r="D162" s="15" t="s">
        <v>70</v>
      </c>
      <c r="E162" s="15" t="s">
        <v>70</v>
      </c>
      <c r="F162" s="15" t="s">
        <v>70</v>
      </c>
      <c r="G162" s="15" t="s">
        <v>70</v>
      </c>
      <c r="H162" s="15" t="s">
        <v>70</v>
      </c>
      <c r="I162" s="15" t="s">
        <v>70</v>
      </c>
      <c r="J162" s="15" t="s">
        <v>70</v>
      </c>
      <c r="K162" s="15" t="s">
        <v>70</v>
      </c>
      <c r="L162" s="15" t="s">
        <v>70</v>
      </c>
      <c r="M162" s="15" t="s">
        <v>70</v>
      </c>
      <c r="N162" s="15" t="s">
        <v>70</v>
      </c>
      <c r="O162" s="15" t="s">
        <v>70</v>
      </c>
      <c r="P162" s="15" t="s">
        <v>70</v>
      </c>
      <c r="Q162" s="15" t="s">
        <v>70</v>
      </c>
      <c r="R162" s="15" t="s">
        <v>70</v>
      </c>
      <c r="S162" s="15" t="s">
        <v>70</v>
      </c>
      <c r="T162" s="15" t="s">
        <v>70</v>
      </c>
      <c r="U162" s="15" t="s">
        <v>70</v>
      </c>
      <c r="V162" s="15" t="s">
        <v>70</v>
      </c>
      <c r="W162" s="15" t="s">
        <v>70</v>
      </c>
      <c r="X162" s="15" t="s">
        <v>70</v>
      </c>
    </row>
    <row r="163" spans="1:24" x14ac:dyDescent="0.2">
      <c r="A163" s="6" t="s">
        <v>71</v>
      </c>
      <c r="B163" s="16">
        <v>110299.67</v>
      </c>
      <c r="C163" s="16">
        <v>5599.71</v>
      </c>
      <c r="D163" s="16">
        <v>905.18</v>
      </c>
      <c r="E163" s="16">
        <v>3891.23</v>
      </c>
      <c r="F163" s="16">
        <v>2025.57</v>
      </c>
      <c r="G163" s="16">
        <v>5968.42</v>
      </c>
      <c r="H163" s="16">
        <v>2031.14</v>
      </c>
      <c r="I163" s="16">
        <v>4297.8900000000003</v>
      </c>
      <c r="J163" s="16">
        <v>10245.65</v>
      </c>
      <c r="K163" s="16">
        <v>6765.86</v>
      </c>
      <c r="L163" s="16">
        <v>2788.29</v>
      </c>
      <c r="M163" s="16">
        <v>4807.38</v>
      </c>
      <c r="N163" s="16">
        <v>5310.23</v>
      </c>
      <c r="O163" s="16">
        <v>7060.99</v>
      </c>
      <c r="P163" s="16">
        <v>7060.74</v>
      </c>
      <c r="Q163" s="16">
        <v>13043.47</v>
      </c>
      <c r="R163" s="16">
        <v>8671.92</v>
      </c>
      <c r="S163" s="16">
        <v>0</v>
      </c>
      <c r="T163" s="16">
        <v>5765.09</v>
      </c>
      <c r="U163" s="16">
        <v>4067.62</v>
      </c>
      <c r="V163" s="16">
        <v>5923.06</v>
      </c>
      <c r="W163" s="16">
        <v>4070.23</v>
      </c>
      <c r="X163" s="16">
        <v>0</v>
      </c>
    </row>
    <row r="164" spans="1:24" x14ac:dyDescent="0.2">
      <c r="A164" s="6" t="s">
        <v>72</v>
      </c>
      <c r="B164" s="16">
        <v>4443.59</v>
      </c>
      <c r="C164" s="16">
        <v>704.57</v>
      </c>
      <c r="D164" s="16">
        <v>0</v>
      </c>
      <c r="E164" s="16">
        <v>211.36</v>
      </c>
      <c r="F164" s="16">
        <v>0</v>
      </c>
      <c r="G164" s="16">
        <v>582.15</v>
      </c>
      <c r="H164" s="16">
        <v>0</v>
      </c>
      <c r="I164" s="16">
        <v>0</v>
      </c>
      <c r="J164" s="16">
        <v>24.52</v>
      </c>
      <c r="K164" s="16">
        <v>281.74</v>
      </c>
      <c r="L164" s="16">
        <v>0</v>
      </c>
      <c r="M164" s="16">
        <v>0</v>
      </c>
      <c r="N164" s="16">
        <v>200.57</v>
      </c>
      <c r="O164" s="16">
        <v>0</v>
      </c>
      <c r="P164" s="16">
        <v>921.21</v>
      </c>
      <c r="Q164" s="16">
        <v>1037.33</v>
      </c>
      <c r="R164" s="16">
        <v>0</v>
      </c>
      <c r="S164" s="16">
        <v>0</v>
      </c>
      <c r="T164" s="16">
        <v>480.14</v>
      </c>
      <c r="U164" s="16">
        <v>0</v>
      </c>
      <c r="V164" s="16">
        <v>0</v>
      </c>
      <c r="W164" s="16">
        <v>0</v>
      </c>
      <c r="X164" s="16">
        <v>0</v>
      </c>
    </row>
    <row r="165" spans="1:24" x14ac:dyDescent="0.2">
      <c r="A165" s="6" t="s">
        <v>74</v>
      </c>
      <c r="B165" s="16">
        <v>167.86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167.86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</row>
    <row r="166" spans="1:24" x14ac:dyDescent="0.2">
      <c r="A166" s="6" t="s">
        <v>75</v>
      </c>
      <c r="B166" s="16">
        <v>1679.84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442.36</v>
      </c>
      <c r="K166" s="16">
        <v>187</v>
      </c>
      <c r="L166" s="16">
        <v>0</v>
      </c>
      <c r="M166" s="16">
        <v>0</v>
      </c>
      <c r="N166" s="16">
        <v>0</v>
      </c>
      <c r="O166" s="16">
        <v>0</v>
      </c>
      <c r="P166" s="16">
        <v>157.80000000000001</v>
      </c>
      <c r="Q166" s="16">
        <v>382.93</v>
      </c>
      <c r="R166" s="16">
        <v>439.04</v>
      </c>
      <c r="S166" s="16">
        <v>0</v>
      </c>
      <c r="T166" s="16">
        <v>38.57</v>
      </c>
      <c r="U166" s="16">
        <v>32.14</v>
      </c>
      <c r="V166" s="16">
        <v>0</v>
      </c>
      <c r="W166" s="16">
        <v>0</v>
      </c>
      <c r="X166" s="16">
        <v>0</v>
      </c>
    </row>
    <row r="167" spans="1:24" x14ac:dyDescent="0.2">
      <c r="A167" s="6" t="s">
        <v>76</v>
      </c>
      <c r="B167" s="16">
        <v>2608.27</v>
      </c>
      <c r="C167" s="16">
        <v>94.29</v>
      </c>
      <c r="D167" s="16">
        <v>0</v>
      </c>
      <c r="E167" s="16">
        <v>88</v>
      </c>
      <c r="F167" s="16">
        <v>0</v>
      </c>
      <c r="G167" s="16">
        <v>45.57</v>
      </c>
      <c r="H167" s="16">
        <v>91.14</v>
      </c>
      <c r="I167" s="16">
        <v>91.14</v>
      </c>
      <c r="J167" s="16">
        <v>366.83</v>
      </c>
      <c r="K167" s="16">
        <v>138.47999999999999</v>
      </c>
      <c r="L167" s="16">
        <v>0</v>
      </c>
      <c r="M167" s="16">
        <v>91.05</v>
      </c>
      <c r="N167" s="16">
        <v>182.29</v>
      </c>
      <c r="O167" s="16">
        <v>176.79</v>
      </c>
      <c r="P167" s="16">
        <v>191.71</v>
      </c>
      <c r="Q167" s="16">
        <v>200.48</v>
      </c>
      <c r="R167" s="16">
        <v>278.89999999999998</v>
      </c>
      <c r="S167" s="16">
        <v>0</v>
      </c>
      <c r="T167" s="16">
        <v>179.73</v>
      </c>
      <c r="U167" s="16">
        <v>64.819999999999993</v>
      </c>
      <c r="V167" s="16">
        <v>182.68</v>
      </c>
      <c r="W167" s="16">
        <v>144.37</v>
      </c>
      <c r="X167" s="16">
        <v>0</v>
      </c>
    </row>
    <row r="168" spans="1:24" x14ac:dyDescent="0.2">
      <c r="A168" s="6" t="s">
        <v>324</v>
      </c>
      <c r="B168" s="21">
        <v>119199.23</v>
      </c>
      <c r="C168" s="21">
        <v>6398.57</v>
      </c>
      <c r="D168" s="21">
        <v>905.18</v>
      </c>
      <c r="E168" s="21">
        <v>4190.59</v>
      </c>
      <c r="F168" s="21">
        <v>2025.57</v>
      </c>
      <c r="G168" s="21">
        <v>6596.14</v>
      </c>
      <c r="H168" s="21">
        <v>2122.2800000000002</v>
      </c>
      <c r="I168" s="21">
        <v>4389.03</v>
      </c>
      <c r="J168" s="21">
        <v>11079.36</v>
      </c>
      <c r="K168" s="21">
        <v>7540.94</v>
      </c>
      <c r="L168" s="21">
        <v>2788.29</v>
      </c>
      <c r="M168" s="21">
        <v>4898.43</v>
      </c>
      <c r="N168" s="21">
        <v>5693.09</v>
      </c>
      <c r="O168" s="21">
        <v>7237.78</v>
      </c>
      <c r="P168" s="21">
        <v>8331.4599999999991</v>
      </c>
      <c r="Q168" s="21">
        <v>14664.21</v>
      </c>
      <c r="R168" s="21">
        <v>9389.86</v>
      </c>
      <c r="S168" s="21">
        <v>0</v>
      </c>
      <c r="T168" s="21">
        <v>6463.53</v>
      </c>
      <c r="U168" s="21">
        <v>4164.58</v>
      </c>
      <c r="V168" s="21">
        <v>6105.74</v>
      </c>
      <c r="W168" s="21">
        <v>4214.6000000000004</v>
      </c>
      <c r="X168" s="21">
        <v>0</v>
      </c>
    </row>
    <row r="169" spans="1:24" x14ac:dyDescent="0.2">
      <c r="A169" s="6" t="s">
        <v>325</v>
      </c>
      <c r="B169" s="15" t="s">
        <v>70</v>
      </c>
      <c r="C169" s="15" t="s">
        <v>70</v>
      </c>
      <c r="D169" s="15" t="s">
        <v>70</v>
      </c>
      <c r="E169" s="15" t="s">
        <v>70</v>
      </c>
      <c r="F169" s="15" t="s">
        <v>70</v>
      </c>
      <c r="G169" s="15" t="s">
        <v>70</v>
      </c>
      <c r="H169" s="15" t="s">
        <v>70</v>
      </c>
      <c r="I169" s="15" t="s">
        <v>70</v>
      </c>
      <c r="J169" s="15" t="s">
        <v>70</v>
      </c>
      <c r="K169" s="15" t="s">
        <v>70</v>
      </c>
      <c r="L169" s="15" t="s">
        <v>70</v>
      </c>
      <c r="M169" s="15" t="s">
        <v>70</v>
      </c>
      <c r="N169" s="15" t="s">
        <v>70</v>
      </c>
      <c r="O169" s="15" t="s">
        <v>70</v>
      </c>
      <c r="P169" s="15" t="s">
        <v>70</v>
      </c>
      <c r="Q169" s="15" t="s">
        <v>70</v>
      </c>
      <c r="R169" s="15" t="s">
        <v>70</v>
      </c>
      <c r="S169" s="15" t="s">
        <v>70</v>
      </c>
      <c r="T169" s="15" t="s">
        <v>70</v>
      </c>
      <c r="U169" s="15" t="s">
        <v>70</v>
      </c>
      <c r="V169" s="15" t="s">
        <v>70</v>
      </c>
      <c r="W169" s="15" t="s">
        <v>70</v>
      </c>
      <c r="X169" s="15" t="s">
        <v>70</v>
      </c>
    </row>
    <row r="170" spans="1:24" x14ac:dyDescent="0.2">
      <c r="A170" s="6" t="s">
        <v>71</v>
      </c>
      <c r="B170" s="16">
        <v>49146.98</v>
      </c>
      <c r="C170" s="16">
        <v>0</v>
      </c>
      <c r="D170" s="16">
        <v>0</v>
      </c>
      <c r="E170" s="16">
        <v>3231.15</v>
      </c>
      <c r="F170" s="16">
        <v>0</v>
      </c>
      <c r="G170" s="16">
        <v>3867.46</v>
      </c>
      <c r="H170" s="16">
        <v>671.81</v>
      </c>
      <c r="I170" s="16">
        <v>0</v>
      </c>
      <c r="J170" s="16">
        <v>6464.3</v>
      </c>
      <c r="K170" s="16">
        <v>3117.62</v>
      </c>
      <c r="L170" s="16">
        <v>3601.43</v>
      </c>
      <c r="M170" s="16">
        <v>5184.3</v>
      </c>
      <c r="N170" s="16">
        <v>5813.3</v>
      </c>
      <c r="O170" s="16">
        <v>9537.6299999999992</v>
      </c>
      <c r="P170" s="16">
        <v>1202.1400000000001</v>
      </c>
      <c r="Q170" s="16">
        <v>6455.84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</row>
    <row r="171" spans="1:24" x14ac:dyDescent="0.2">
      <c r="A171" s="6" t="s">
        <v>72</v>
      </c>
      <c r="B171" s="16">
        <v>478.82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149.46</v>
      </c>
      <c r="M171" s="16">
        <v>0</v>
      </c>
      <c r="N171" s="16">
        <v>36.159999999999997</v>
      </c>
      <c r="O171" s="16">
        <v>293.2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</row>
    <row r="172" spans="1:24" x14ac:dyDescent="0.2">
      <c r="A172" s="6" t="s">
        <v>74</v>
      </c>
      <c r="B172" s="16">
        <v>10.71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10.71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</row>
    <row r="173" spans="1:24" x14ac:dyDescent="0.2">
      <c r="A173" s="6" t="s">
        <v>75</v>
      </c>
      <c r="B173" s="16">
        <v>1440.41</v>
      </c>
      <c r="C173" s="16">
        <v>0</v>
      </c>
      <c r="D173" s="16">
        <v>0</v>
      </c>
      <c r="E173" s="16">
        <v>383.48</v>
      </c>
      <c r="F173" s="16">
        <v>0</v>
      </c>
      <c r="G173" s="16">
        <v>190.05</v>
      </c>
      <c r="H173" s="16">
        <v>0</v>
      </c>
      <c r="I173" s="16">
        <v>0</v>
      </c>
      <c r="J173" s="16">
        <v>0</v>
      </c>
      <c r="K173" s="16">
        <v>0</v>
      </c>
      <c r="L173" s="16">
        <v>120</v>
      </c>
      <c r="M173" s="16">
        <v>254.31</v>
      </c>
      <c r="N173" s="16">
        <v>51.43</v>
      </c>
      <c r="O173" s="16">
        <v>0</v>
      </c>
      <c r="P173" s="16">
        <v>0</v>
      </c>
      <c r="Q173" s="16">
        <v>441.14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</row>
    <row r="174" spans="1:24" x14ac:dyDescent="0.2">
      <c r="A174" s="6" t="s">
        <v>76</v>
      </c>
      <c r="B174" s="16">
        <v>837.67</v>
      </c>
      <c r="C174" s="16">
        <v>0</v>
      </c>
      <c r="D174" s="16">
        <v>0</v>
      </c>
      <c r="E174" s="16">
        <v>44</v>
      </c>
      <c r="F174" s="16">
        <v>0</v>
      </c>
      <c r="G174" s="16">
        <v>176</v>
      </c>
      <c r="H174" s="16">
        <v>0</v>
      </c>
      <c r="I174" s="16">
        <v>0</v>
      </c>
      <c r="J174" s="16">
        <v>88.39</v>
      </c>
      <c r="K174" s="16">
        <v>0</v>
      </c>
      <c r="L174" s="16">
        <v>0</v>
      </c>
      <c r="M174" s="16">
        <v>179.73</v>
      </c>
      <c r="N174" s="16">
        <v>85.45</v>
      </c>
      <c r="O174" s="16">
        <v>194.46</v>
      </c>
      <c r="P174" s="16">
        <v>0</v>
      </c>
      <c r="Q174" s="16">
        <v>69.64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</row>
    <row r="175" spans="1:24" x14ac:dyDescent="0.2">
      <c r="A175" s="6" t="s">
        <v>326</v>
      </c>
      <c r="B175" s="21">
        <v>51914.59</v>
      </c>
      <c r="C175" s="21">
        <v>0</v>
      </c>
      <c r="D175" s="21">
        <v>0</v>
      </c>
      <c r="E175" s="21">
        <v>3658.63</v>
      </c>
      <c r="F175" s="21">
        <v>0</v>
      </c>
      <c r="G175" s="21">
        <v>4233.51</v>
      </c>
      <c r="H175" s="21">
        <v>671.81</v>
      </c>
      <c r="I175" s="21">
        <v>0</v>
      </c>
      <c r="J175" s="21">
        <v>6563.4</v>
      </c>
      <c r="K175" s="21">
        <v>3117.62</v>
      </c>
      <c r="L175" s="21">
        <v>3870.89</v>
      </c>
      <c r="M175" s="21">
        <v>5618.34</v>
      </c>
      <c r="N175" s="21">
        <v>5986.34</v>
      </c>
      <c r="O175" s="21">
        <v>10025.290000000001</v>
      </c>
      <c r="P175" s="21">
        <v>1202.1400000000001</v>
      </c>
      <c r="Q175" s="21">
        <v>6966.62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</row>
    <row r="176" spans="1:24" x14ac:dyDescent="0.2">
      <c r="A176" s="6" t="s">
        <v>327</v>
      </c>
      <c r="B176" s="15" t="s">
        <v>70</v>
      </c>
      <c r="C176" s="15" t="s">
        <v>70</v>
      </c>
      <c r="D176" s="15" t="s">
        <v>70</v>
      </c>
      <c r="E176" s="15" t="s">
        <v>70</v>
      </c>
      <c r="F176" s="15" t="s">
        <v>70</v>
      </c>
      <c r="G176" s="15" t="s">
        <v>70</v>
      </c>
      <c r="H176" s="15" t="s">
        <v>70</v>
      </c>
      <c r="I176" s="15" t="s">
        <v>70</v>
      </c>
      <c r="J176" s="15" t="s">
        <v>70</v>
      </c>
      <c r="K176" s="15" t="s">
        <v>70</v>
      </c>
      <c r="L176" s="15" t="s">
        <v>70</v>
      </c>
      <c r="M176" s="15" t="s">
        <v>70</v>
      </c>
      <c r="N176" s="15" t="s">
        <v>70</v>
      </c>
      <c r="O176" s="15" t="s">
        <v>70</v>
      </c>
      <c r="P176" s="15" t="s">
        <v>70</v>
      </c>
      <c r="Q176" s="15" t="s">
        <v>70</v>
      </c>
      <c r="R176" s="15" t="s">
        <v>70</v>
      </c>
      <c r="S176" s="15" t="s">
        <v>70</v>
      </c>
      <c r="T176" s="15" t="s">
        <v>70</v>
      </c>
      <c r="U176" s="15" t="s">
        <v>70</v>
      </c>
      <c r="V176" s="15" t="s">
        <v>70</v>
      </c>
      <c r="W176" s="15" t="s">
        <v>70</v>
      </c>
      <c r="X176" s="15" t="s">
        <v>70</v>
      </c>
    </row>
    <row r="177" spans="1:24" x14ac:dyDescent="0.2">
      <c r="A177" s="6" t="s">
        <v>71</v>
      </c>
      <c r="B177" s="16">
        <v>13310.96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4684.05</v>
      </c>
      <c r="M177" s="16">
        <v>0</v>
      </c>
      <c r="N177" s="16">
        <v>0</v>
      </c>
      <c r="O177" s="16">
        <v>0</v>
      </c>
      <c r="P177" s="16">
        <v>4684.05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3942.86</v>
      </c>
      <c r="W177" s="16">
        <v>0</v>
      </c>
      <c r="X177" s="16">
        <v>0</v>
      </c>
    </row>
    <row r="178" spans="1:24" x14ac:dyDescent="0.2">
      <c r="A178" s="6" t="s">
        <v>76</v>
      </c>
      <c r="B178" s="16">
        <v>145.06</v>
      </c>
      <c r="C178" s="16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145.06</v>
      </c>
      <c r="W178" s="16">
        <v>0</v>
      </c>
      <c r="X178" s="16">
        <v>0</v>
      </c>
    </row>
    <row r="179" spans="1:24" x14ac:dyDescent="0.2">
      <c r="A179" s="6" t="s">
        <v>328</v>
      </c>
      <c r="B179" s="21">
        <v>13456.02</v>
      </c>
      <c r="C179" s="21">
        <v>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4684.05</v>
      </c>
      <c r="M179" s="21">
        <v>0</v>
      </c>
      <c r="N179" s="21">
        <v>0</v>
      </c>
      <c r="O179" s="21">
        <v>0</v>
      </c>
      <c r="P179" s="21">
        <v>4684.05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4087.92</v>
      </c>
      <c r="W179" s="21">
        <v>0</v>
      </c>
      <c r="X179" s="21">
        <v>0</v>
      </c>
    </row>
    <row r="180" spans="1:24" x14ac:dyDescent="0.2">
      <c r="A180" s="6" t="s">
        <v>329</v>
      </c>
      <c r="B180" s="15" t="s">
        <v>70</v>
      </c>
      <c r="C180" s="15" t="s">
        <v>70</v>
      </c>
      <c r="D180" s="15" t="s">
        <v>70</v>
      </c>
      <c r="E180" s="15" t="s">
        <v>70</v>
      </c>
      <c r="F180" s="15" t="s">
        <v>70</v>
      </c>
      <c r="G180" s="15" t="s">
        <v>70</v>
      </c>
      <c r="H180" s="15" t="s">
        <v>70</v>
      </c>
      <c r="I180" s="15" t="s">
        <v>70</v>
      </c>
      <c r="J180" s="15" t="s">
        <v>70</v>
      </c>
      <c r="K180" s="15" t="s">
        <v>70</v>
      </c>
      <c r="L180" s="15" t="s">
        <v>70</v>
      </c>
      <c r="M180" s="15" t="s">
        <v>70</v>
      </c>
      <c r="N180" s="15" t="s">
        <v>70</v>
      </c>
      <c r="O180" s="15" t="s">
        <v>70</v>
      </c>
      <c r="P180" s="15" t="s">
        <v>70</v>
      </c>
      <c r="Q180" s="15" t="s">
        <v>70</v>
      </c>
      <c r="R180" s="15" t="s">
        <v>70</v>
      </c>
      <c r="S180" s="15" t="s">
        <v>70</v>
      </c>
      <c r="T180" s="15" t="s">
        <v>70</v>
      </c>
      <c r="U180" s="15" t="s">
        <v>70</v>
      </c>
      <c r="V180" s="15" t="s">
        <v>70</v>
      </c>
      <c r="W180" s="15" t="s">
        <v>70</v>
      </c>
      <c r="X180" s="15" t="s">
        <v>70</v>
      </c>
    </row>
    <row r="181" spans="1:24" x14ac:dyDescent="0.2">
      <c r="A181" s="6" t="s">
        <v>71</v>
      </c>
      <c r="B181" s="16">
        <v>7629.9</v>
      </c>
      <c r="C181" s="16">
        <v>2325.65</v>
      </c>
      <c r="D181" s="16">
        <v>0</v>
      </c>
      <c r="E181" s="16">
        <v>550.17999999999995</v>
      </c>
      <c r="F181" s="16">
        <v>0</v>
      </c>
      <c r="G181" s="16">
        <v>234.64</v>
      </c>
      <c r="H181" s="16">
        <v>2273.4499999999998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45</v>
      </c>
      <c r="Q181" s="16">
        <v>1531.34</v>
      </c>
      <c r="R181" s="16">
        <v>669.64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</row>
    <row r="182" spans="1:24" x14ac:dyDescent="0.2">
      <c r="A182" s="6" t="s">
        <v>72</v>
      </c>
      <c r="B182" s="16">
        <v>256.68</v>
      </c>
      <c r="C182" s="16">
        <v>231.18</v>
      </c>
      <c r="D182" s="16">
        <v>0</v>
      </c>
      <c r="E182" s="16">
        <v>0</v>
      </c>
      <c r="F182" s="16">
        <v>0</v>
      </c>
      <c r="G182" s="16">
        <v>0</v>
      </c>
      <c r="H182" s="16">
        <v>25.5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</row>
    <row r="183" spans="1:24" x14ac:dyDescent="0.2">
      <c r="A183" s="6" t="s">
        <v>75</v>
      </c>
      <c r="B183" s="16">
        <v>102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102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</row>
    <row r="184" spans="1:24" x14ac:dyDescent="0.2">
      <c r="A184" s="6" t="s">
        <v>76</v>
      </c>
      <c r="B184" s="16">
        <v>207.79</v>
      </c>
      <c r="C184" s="16">
        <v>94.29</v>
      </c>
      <c r="D184" s="16">
        <v>0</v>
      </c>
      <c r="E184" s="16">
        <v>0</v>
      </c>
      <c r="F184" s="16">
        <v>0</v>
      </c>
      <c r="G184" s="16">
        <v>0</v>
      </c>
      <c r="H184" s="16">
        <v>53.43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60.07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</row>
    <row r="185" spans="1:24" x14ac:dyDescent="0.2">
      <c r="A185" s="6" t="s">
        <v>330</v>
      </c>
      <c r="B185" s="21">
        <v>8196.3700000000008</v>
      </c>
      <c r="C185" s="21">
        <v>2651.12</v>
      </c>
      <c r="D185" s="21">
        <v>0</v>
      </c>
      <c r="E185" s="21">
        <v>550.17999999999995</v>
      </c>
      <c r="F185" s="21">
        <v>0</v>
      </c>
      <c r="G185" s="21">
        <v>234.64</v>
      </c>
      <c r="H185" s="21">
        <v>2454.38</v>
      </c>
      <c r="I185" s="21">
        <v>0</v>
      </c>
      <c r="J185" s="21">
        <v>0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1">
        <v>45</v>
      </c>
      <c r="Q185" s="21">
        <v>1591.41</v>
      </c>
      <c r="R185" s="21">
        <v>669.64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</row>
    <row r="186" spans="1:24" x14ac:dyDescent="0.2">
      <c r="A186" s="6" t="s">
        <v>331</v>
      </c>
      <c r="B186" s="15" t="s">
        <v>70</v>
      </c>
      <c r="C186" s="15" t="s">
        <v>70</v>
      </c>
      <c r="D186" s="15" t="s">
        <v>70</v>
      </c>
      <c r="E186" s="15" t="s">
        <v>70</v>
      </c>
      <c r="F186" s="15" t="s">
        <v>70</v>
      </c>
      <c r="G186" s="15" t="s">
        <v>70</v>
      </c>
      <c r="H186" s="15" t="s">
        <v>70</v>
      </c>
      <c r="I186" s="15" t="s">
        <v>70</v>
      </c>
      <c r="J186" s="15" t="s">
        <v>70</v>
      </c>
      <c r="K186" s="15" t="s">
        <v>70</v>
      </c>
      <c r="L186" s="15" t="s">
        <v>70</v>
      </c>
      <c r="M186" s="15" t="s">
        <v>70</v>
      </c>
      <c r="N186" s="15" t="s">
        <v>70</v>
      </c>
      <c r="O186" s="15" t="s">
        <v>70</v>
      </c>
      <c r="P186" s="15" t="s">
        <v>70</v>
      </c>
      <c r="Q186" s="15" t="s">
        <v>70</v>
      </c>
      <c r="R186" s="15" t="s">
        <v>70</v>
      </c>
      <c r="S186" s="15" t="s">
        <v>70</v>
      </c>
      <c r="T186" s="15" t="s">
        <v>70</v>
      </c>
      <c r="U186" s="15" t="s">
        <v>70</v>
      </c>
      <c r="V186" s="15" t="s">
        <v>70</v>
      </c>
      <c r="W186" s="15" t="s">
        <v>70</v>
      </c>
      <c r="X186" s="15" t="s">
        <v>70</v>
      </c>
    </row>
    <row r="187" spans="1:24" x14ac:dyDescent="0.2">
      <c r="A187" s="6" t="s">
        <v>71</v>
      </c>
      <c r="B187" s="16">
        <v>93081.57</v>
      </c>
      <c r="C187" s="16">
        <v>6365.97</v>
      </c>
      <c r="D187" s="16">
        <v>5211.5200000000004</v>
      </c>
      <c r="E187" s="16">
        <v>5749.98</v>
      </c>
      <c r="F187" s="16">
        <v>6982.16</v>
      </c>
      <c r="G187" s="16">
        <v>6078.3</v>
      </c>
      <c r="H187" s="16">
        <v>5872.27</v>
      </c>
      <c r="I187" s="16">
        <v>5846.15</v>
      </c>
      <c r="J187" s="16">
        <v>2447.8000000000002</v>
      </c>
      <c r="K187" s="16">
        <v>287.08</v>
      </c>
      <c r="L187" s="16">
        <v>0</v>
      </c>
      <c r="M187" s="16">
        <v>6160.73</v>
      </c>
      <c r="N187" s="16">
        <v>5670.33</v>
      </c>
      <c r="O187" s="16">
        <v>0</v>
      </c>
      <c r="P187" s="16">
        <v>8517.0300000000007</v>
      </c>
      <c r="Q187" s="16">
        <v>0</v>
      </c>
      <c r="R187" s="16">
        <v>6817.89</v>
      </c>
      <c r="S187" s="16">
        <v>5535.72</v>
      </c>
      <c r="T187" s="16">
        <v>4598.8999999999996</v>
      </c>
      <c r="U187" s="16">
        <v>4087.92</v>
      </c>
      <c r="V187" s="16">
        <v>6229.29</v>
      </c>
      <c r="W187" s="16">
        <v>622.53</v>
      </c>
      <c r="X187" s="16">
        <v>0</v>
      </c>
    </row>
    <row r="188" spans="1:24" x14ac:dyDescent="0.2">
      <c r="A188" s="6" t="s">
        <v>75</v>
      </c>
      <c r="B188" s="16">
        <v>2097.77</v>
      </c>
      <c r="C188" s="16">
        <v>0</v>
      </c>
      <c r="D188" s="16">
        <v>538.30999999999995</v>
      </c>
      <c r="E188" s="16">
        <v>0</v>
      </c>
      <c r="F188" s="16">
        <v>0</v>
      </c>
      <c r="G188" s="16">
        <v>0</v>
      </c>
      <c r="H188" s="16">
        <v>288.45999999999998</v>
      </c>
      <c r="I188" s="16">
        <v>725.28</v>
      </c>
      <c r="J188" s="16">
        <v>0</v>
      </c>
      <c r="K188" s="16">
        <v>239.72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306</v>
      </c>
      <c r="W188" s="16">
        <v>0</v>
      </c>
      <c r="X188" s="16">
        <v>0</v>
      </c>
    </row>
    <row r="189" spans="1:24" x14ac:dyDescent="0.2">
      <c r="A189" s="6" t="s">
        <v>76</v>
      </c>
      <c r="B189" s="16">
        <v>2599.08</v>
      </c>
      <c r="C189" s="16">
        <v>234.2</v>
      </c>
      <c r="D189" s="16">
        <v>211.54</v>
      </c>
      <c r="E189" s="16">
        <v>211.54</v>
      </c>
      <c r="F189" s="16">
        <v>256.87</v>
      </c>
      <c r="G189" s="16">
        <v>226.65</v>
      </c>
      <c r="H189" s="16">
        <v>226.65</v>
      </c>
      <c r="I189" s="16">
        <v>241.76</v>
      </c>
      <c r="J189" s="16">
        <v>271.97000000000003</v>
      </c>
      <c r="K189" s="16">
        <v>0</v>
      </c>
      <c r="L189" s="16">
        <v>0</v>
      </c>
      <c r="M189" s="16">
        <v>226.65</v>
      </c>
      <c r="N189" s="16">
        <v>0</v>
      </c>
      <c r="O189" s="16">
        <v>0</v>
      </c>
      <c r="P189" s="16">
        <v>0</v>
      </c>
      <c r="Q189" s="16">
        <v>0</v>
      </c>
      <c r="R189" s="16">
        <v>250.82</v>
      </c>
      <c r="S189" s="16">
        <v>0</v>
      </c>
      <c r="T189" s="16">
        <v>0</v>
      </c>
      <c r="U189" s="16">
        <v>0</v>
      </c>
      <c r="V189" s="16">
        <v>240.43</v>
      </c>
      <c r="W189" s="16">
        <v>0</v>
      </c>
      <c r="X189" s="16">
        <v>0</v>
      </c>
    </row>
    <row r="190" spans="1:24" x14ac:dyDescent="0.2">
      <c r="A190" s="6" t="s">
        <v>332</v>
      </c>
      <c r="B190" s="21">
        <v>97778.42</v>
      </c>
      <c r="C190" s="21">
        <v>6600.17</v>
      </c>
      <c r="D190" s="21">
        <v>5961.37</v>
      </c>
      <c r="E190" s="21">
        <v>5961.52</v>
      </c>
      <c r="F190" s="21">
        <v>7239.03</v>
      </c>
      <c r="G190" s="21">
        <v>6304.95</v>
      </c>
      <c r="H190" s="21">
        <v>6387.38</v>
      </c>
      <c r="I190" s="21">
        <v>6813.19</v>
      </c>
      <c r="J190" s="21">
        <v>2719.77</v>
      </c>
      <c r="K190" s="21">
        <v>526.79999999999995</v>
      </c>
      <c r="L190" s="21">
        <v>0</v>
      </c>
      <c r="M190" s="21">
        <v>6387.38</v>
      </c>
      <c r="N190" s="21">
        <v>5670.33</v>
      </c>
      <c r="O190" s="21">
        <v>0</v>
      </c>
      <c r="P190" s="21">
        <v>8517.0300000000007</v>
      </c>
      <c r="Q190" s="21">
        <v>0</v>
      </c>
      <c r="R190" s="21">
        <v>7068.71</v>
      </c>
      <c r="S190" s="21">
        <v>5535.72</v>
      </c>
      <c r="T190" s="21">
        <v>4598.8999999999996</v>
      </c>
      <c r="U190" s="21">
        <v>4087.92</v>
      </c>
      <c r="V190" s="21">
        <v>6775.72</v>
      </c>
      <c r="W190" s="21">
        <v>622.53</v>
      </c>
      <c r="X190" s="21">
        <v>0</v>
      </c>
    </row>
    <row r="191" spans="1:24" x14ac:dyDescent="0.2">
      <c r="A191" s="6" t="s">
        <v>333</v>
      </c>
      <c r="B191" s="15" t="s">
        <v>70</v>
      </c>
      <c r="C191" s="15" t="s">
        <v>70</v>
      </c>
      <c r="D191" s="15" t="s">
        <v>70</v>
      </c>
      <c r="E191" s="15" t="s">
        <v>70</v>
      </c>
      <c r="F191" s="15" t="s">
        <v>70</v>
      </c>
      <c r="G191" s="15" t="s">
        <v>70</v>
      </c>
      <c r="H191" s="15" t="s">
        <v>70</v>
      </c>
      <c r="I191" s="15" t="s">
        <v>70</v>
      </c>
      <c r="J191" s="15" t="s">
        <v>70</v>
      </c>
      <c r="K191" s="15" t="s">
        <v>70</v>
      </c>
      <c r="L191" s="15" t="s">
        <v>70</v>
      </c>
      <c r="M191" s="15" t="s">
        <v>70</v>
      </c>
      <c r="N191" s="15" t="s">
        <v>70</v>
      </c>
      <c r="O191" s="15" t="s">
        <v>70</v>
      </c>
      <c r="P191" s="15" t="s">
        <v>70</v>
      </c>
      <c r="Q191" s="15" t="s">
        <v>70</v>
      </c>
      <c r="R191" s="15" t="s">
        <v>70</v>
      </c>
      <c r="S191" s="15" t="s">
        <v>70</v>
      </c>
      <c r="T191" s="15" t="s">
        <v>70</v>
      </c>
      <c r="U191" s="15" t="s">
        <v>70</v>
      </c>
      <c r="V191" s="15" t="s">
        <v>70</v>
      </c>
      <c r="W191" s="15" t="s">
        <v>70</v>
      </c>
      <c r="X191" s="15" t="s">
        <v>70</v>
      </c>
    </row>
    <row r="192" spans="1:24" x14ac:dyDescent="0.2">
      <c r="A192" s="6" t="s">
        <v>71</v>
      </c>
      <c r="B192" s="16">
        <v>4464.29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4464.29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</row>
    <row r="193" spans="1:24" x14ac:dyDescent="0.2">
      <c r="A193" s="6" t="s">
        <v>75</v>
      </c>
      <c r="B193" s="16">
        <v>564.1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564.1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</row>
    <row r="194" spans="1:24" x14ac:dyDescent="0.2">
      <c r="A194" s="6" t="s">
        <v>334</v>
      </c>
      <c r="B194" s="21">
        <v>5028.3900000000003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5028.3900000000003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</row>
    <row r="195" spans="1:24" x14ac:dyDescent="0.2">
      <c r="A195" s="6" t="s">
        <v>335</v>
      </c>
      <c r="B195" s="15" t="s">
        <v>70</v>
      </c>
      <c r="C195" s="15" t="s">
        <v>70</v>
      </c>
      <c r="D195" s="15" t="s">
        <v>70</v>
      </c>
      <c r="E195" s="15" t="s">
        <v>70</v>
      </c>
      <c r="F195" s="15" t="s">
        <v>70</v>
      </c>
      <c r="G195" s="15" t="s">
        <v>70</v>
      </c>
      <c r="H195" s="15" t="s">
        <v>70</v>
      </c>
      <c r="I195" s="15" t="s">
        <v>70</v>
      </c>
      <c r="J195" s="15" t="s">
        <v>70</v>
      </c>
      <c r="K195" s="15" t="s">
        <v>70</v>
      </c>
      <c r="L195" s="15" t="s">
        <v>70</v>
      </c>
      <c r="M195" s="15" t="s">
        <v>70</v>
      </c>
      <c r="N195" s="15" t="s">
        <v>70</v>
      </c>
      <c r="O195" s="15" t="s">
        <v>70</v>
      </c>
      <c r="P195" s="15" t="s">
        <v>70</v>
      </c>
      <c r="Q195" s="15" t="s">
        <v>70</v>
      </c>
      <c r="R195" s="15" t="s">
        <v>70</v>
      </c>
      <c r="S195" s="15" t="s">
        <v>70</v>
      </c>
      <c r="T195" s="15" t="s">
        <v>70</v>
      </c>
      <c r="U195" s="15" t="s">
        <v>70</v>
      </c>
      <c r="V195" s="15" t="s">
        <v>70</v>
      </c>
      <c r="W195" s="15" t="s">
        <v>70</v>
      </c>
      <c r="X195" s="15" t="s">
        <v>70</v>
      </c>
    </row>
    <row r="196" spans="1:24" x14ac:dyDescent="0.2">
      <c r="A196" s="6" t="s">
        <v>71</v>
      </c>
      <c r="B196" s="16">
        <v>43334.23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3236.42</v>
      </c>
      <c r="K196" s="16">
        <v>3702.81</v>
      </c>
      <c r="L196" s="16">
        <v>4683.6499999999996</v>
      </c>
      <c r="M196" s="16">
        <v>2655.71</v>
      </c>
      <c r="N196" s="16">
        <v>6856.44</v>
      </c>
      <c r="O196" s="16">
        <v>2753.57</v>
      </c>
      <c r="P196" s="16">
        <v>4335.16</v>
      </c>
      <c r="Q196" s="16">
        <v>0</v>
      </c>
      <c r="R196" s="16">
        <v>0</v>
      </c>
      <c r="S196" s="16">
        <v>3438.08</v>
      </c>
      <c r="T196" s="16">
        <v>2266.29</v>
      </c>
      <c r="U196" s="16">
        <v>2646.53</v>
      </c>
      <c r="V196" s="16">
        <v>4142.58</v>
      </c>
      <c r="W196" s="16">
        <v>101.26</v>
      </c>
      <c r="X196" s="16">
        <v>2515.73</v>
      </c>
    </row>
    <row r="197" spans="1:24" x14ac:dyDescent="0.2">
      <c r="A197" s="6" t="s">
        <v>72</v>
      </c>
      <c r="B197" s="16">
        <v>2455.8200000000002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379.82</v>
      </c>
      <c r="K197" s="16">
        <v>347.64</v>
      </c>
      <c r="L197" s="16">
        <v>0</v>
      </c>
      <c r="M197" s="16">
        <v>0</v>
      </c>
      <c r="N197" s="16">
        <v>389.87</v>
      </c>
      <c r="O197" s="16">
        <v>0</v>
      </c>
      <c r="P197" s="16">
        <v>0</v>
      </c>
      <c r="Q197" s="16">
        <v>0</v>
      </c>
      <c r="R197" s="16">
        <v>0</v>
      </c>
      <c r="S197" s="16">
        <v>119.39</v>
      </c>
      <c r="T197" s="16">
        <v>20.14</v>
      </c>
      <c r="U197" s="16">
        <v>0</v>
      </c>
      <c r="V197" s="16">
        <v>27.96</v>
      </c>
      <c r="W197" s="16">
        <v>0</v>
      </c>
      <c r="X197" s="16">
        <v>1171</v>
      </c>
    </row>
    <row r="198" spans="1:24" x14ac:dyDescent="0.2">
      <c r="A198" s="6" t="s">
        <v>74</v>
      </c>
      <c r="B198" s="16">
        <v>53.57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53.57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</row>
    <row r="199" spans="1:24" x14ac:dyDescent="0.2">
      <c r="A199" s="6" t="s">
        <v>75</v>
      </c>
      <c r="B199" s="16">
        <v>3318.14</v>
      </c>
      <c r="C199" s="16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125.71</v>
      </c>
      <c r="K199" s="16">
        <v>0</v>
      </c>
      <c r="L199" s="16">
        <v>0</v>
      </c>
      <c r="M199" s="16">
        <v>125.71</v>
      </c>
      <c r="N199" s="16">
        <v>279.86</v>
      </c>
      <c r="O199" s="16">
        <v>450</v>
      </c>
      <c r="P199" s="16">
        <v>593.41</v>
      </c>
      <c r="Q199" s="16">
        <v>0</v>
      </c>
      <c r="R199" s="16">
        <v>0</v>
      </c>
      <c r="S199" s="16">
        <v>125.84</v>
      </c>
      <c r="T199" s="16">
        <v>0</v>
      </c>
      <c r="U199" s="16">
        <v>51</v>
      </c>
      <c r="V199" s="16">
        <v>40.68</v>
      </c>
      <c r="W199" s="16">
        <v>0</v>
      </c>
      <c r="X199" s="16">
        <v>1525.93</v>
      </c>
    </row>
    <row r="200" spans="1:24" x14ac:dyDescent="0.2">
      <c r="A200" s="6" t="s">
        <v>76</v>
      </c>
      <c r="B200" s="16">
        <v>816.27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134.83000000000001</v>
      </c>
      <c r="L200" s="16">
        <v>0</v>
      </c>
      <c r="M200" s="16">
        <v>125.71</v>
      </c>
      <c r="N200" s="16">
        <v>62.86</v>
      </c>
      <c r="O200" s="16">
        <v>117.86</v>
      </c>
      <c r="P200" s="16">
        <v>181.32</v>
      </c>
      <c r="Q200" s="16">
        <v>0</v>
      </c>
      <c r="R200" s="16">
        <v>0</v>
      </c>
      <c r="S200" s="16">
        <v>0</v>
      </c>
      <c r="T200" s="16">
        <v>91.14</v>
      </c>
      <c r="U200" s="16">
        <v>0</v>
      </c>
      <c r="V200" s="16">
        <v>102.55</v>
      </c>
      <c r="W200" s="16">
        <v>0</v>
      </c>
      <c r="X200" s="16">
        <v>0</v>
      </c>
    </row>
    <row r="201" spans="1:24" x14ac:dyDescent="0.2">
      <c r="A201" s="6" t="s">
        <v>336</v>
      </c>
      <c r="B201" s="21">
        <v>49978.03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3795.52</v>
      </c>
      <c r="K201" s="21">
        <v>4185.28</v>
      </c>
      <c r="L201" s="21">
        <v>4683.6499999999996</v>
      </c>
      <c r="M201" s="21">
        <v>2907.13</v>
      </c>
      <c r="N201" s="21">
        <v>7589.03</v>
      </c>
      <c r="O201" s="21">
        <v>3321.43</v>
      </c>
      <c r="P201" s="21">
        <v>5109.8900000000003</v>
      </c>
      <c r="Q201" s="21">
        <v>0</v>
      </c>
      <c r="R201" s="21">
        <v>0</v>
      </c>
      <c r="S201" s="21">
        <v>3683.31</v>
      </c>
      <c r="T201" s="21">
        <v>2377.5700000000002</v>
      </c>
      <c r="U201" s="21">
        <v>2697.53</v>
      </c>
      <c r="V201" s="21">
        <v>4313.7700000000004</v>
      </c>
      <c r="W201" s="21">
        <v>101.26</v>
      </c>
      <c r="X201" s="21">
        <v>5212.66</v>
      </c>
    </row>
    <row r="202" spans="1:24" x14ac:dyDescent="0.2">
      <c r="A202" s="6" t="s">
        <v>337</v>
      </c>
      <c r="B202" s="15" t="s">
        <v>70</v>
      </c>
      <c r="C202" s="15" t="s">
        <v>70</v>
      </c>
      <c r="D202" s="15" t="s">
        <v>70</v>
      </c>
      <c r="E202" s="15" t="s">
        <v>70</v>
      </c>
      <c r="F202" s="15" t="s">
        <v>70</v>
      </c>
      <c r="G202" s="15" t="s">
        <v>70</v>
      </c>
      <c r="H202" s="15" t="s">
        <v>70</v>
      </c>
      <c r="I202" s="15" t="s">
        <v>70</v>
      </c>
      <c r="J202" s="15" t="s">
        <v>70</v>
      </c>
      <c r="K202" s="15" t="s">
        <v>70</v>
      </c>
      <c r="L202" s="15" t="s">
        <v>70</v>
      </c>
      <c r="M202" s="15" t="s">
        <v>70</v>
      </c>
      <c r="N202" s="15" t="s">
        <v>70</v>
      </c>
      <c r="O202" s="15" t="s">
        <v>70</v>
      </c>
      <c r="P202" s="15" t="s">
        <v>70</v>
      </c>
      <c r="Q202" s="15" t="s">
        <v>70</v>
      </c>
      <c r="R202" s="15" t="s">
        <v>70</v>
      </c>
      <c r="S202" s="15" t="s">
        <v>70</v>
      </c>
      <c r="T202" s="15" t="s">
        <v>70</v>
      </c>
      <c r="U202" s="15" t="s">
        <v>70</v>
      </c>
      <c r="V202" s="15" t="s">
        <v>70</v>
      </c>
      <c r="W202" s="15" t="s">
        <v>70</v>
      </c>
      <c r="X202" s="15" t="s">
        <v>70</v>
      </c>
    </row>
    <row r="203" spans="1:24" x14ac:dyDescent="0.2">
      <c r="A203" s="6" t="s">
        <v>71</v>
      </c>
      <c r="B203" s="16">
        <v>24753.75</v>
      </c>
      <c r="C203" s="16">
        <v>2269.61</v>
      </c>
      <c r="D203" s="16">
        <v>2305.3200000000002</v>
      </c>
      <c r="E203" s="16">
        <v>3091.79</v>
      </c>
      <c r="F203" s="16">
        <v>3288.75</v>
      </c>
      <c r="G203" s="16">
        <v>3533.75</v>
      </c>
      <c r="H203" s="16">
        <v>2674.61</v>
      </c>
      <c r="I203" s="16">
        <v>2930.5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4659.42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</row>
    <row r="204" spans="1:24" x14ac:dyDescent="0.2">
      <c r="A204" s="6" t="s">
        <v>72</v>
      </c>
      <c r="B204" s="16">
        <v>380.86</v>
      </c>
      <c r="C204" s="16">
        <v>257.45999999999998</v>
      </c>
      <c r="D204" s="16">
        <v>0</v>
      </c>
      <c r="E204" s="16">
        <v>0</v>
      </c>
      <c r="F204" s="16">
        <v>6.19</v>
      </c>
      <c r="G204" s="16">
        <v>56.25</v>
      </c>
      <c r="H204" s="16">
        <v>20.25</v>
      </c>
      <c r="I204" s="16">
        <v>40.71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</row>
    <row r="205" spans="1:24" x14ac:dyDescent="0.2">
      <c r="A205" s="6" t="s">
        <v>74</v>
      </c>
      <c r="B205" s="16">
        <v>203.58</v>
      </c>
      <c r="C205" s="16">
        <v>0</v>
      </c>
      <c r="D205" s="16">
        <v>0</v>
      </c>
      <c r="E205" s="16">
        <v>42.86</v>
      </c>
      <c r="F205" s="16">
        <v>0</v>
      </c>
      <c r="G205" s="16">
        <v>42.86</v>
      </c>
      <c r="H205" s="16">
        <v>42.86</v>
      </c>
      <c r="I205" s="16">
        <v>75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</row>
    <row r="206" spans="1:24" x14ac:dyDescent="0.2">
      <c r="A206" s="6" t="s">
        <v>75</v>
      </c>
      <c r="B206" s="16">
        <v>1340.15</v>
      </c>
      <c r="C206" s="16">
        <v>358.1</v>
      </c>
      <c r="D206" s="16">
        <v>136</v>
      </c>
      <c r="E206" s="16">
        <v>0</v>
      </c>
      <c r="F206" s="16">
        <v>169.12</v>
      </c>
      <c r="G206" s="16">
        <v>0</v>
      </c>
      <c r="H206" s="16">
        <v>238.5</v>
      </c>
      <c r="I206" s="16">
        <v>438.43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</row>
    <row r="207" spans="1:24" x14ac:dyDescent="0.2">
      <c r="A207" s="6" t="s">
        <v>76</v>
      </c>
      <c r="B207" s="16">
        <v>997.13</v>
      </c>
      <c r="C207" s="16">
        <v>113.14</v>
      </c>
      <c r="D207" s="16">
        <v>106.86</v>
      </c>
      <c r="E207" s="16">
        <v>125.71</v>
      </c>
      <c r="F207" s="16">
        <v>132</v>
      </c>
      <c r="G207" s="16">
        <v>157.13999999999999</v>
      </c>
      <c r="H207" s="16">
        <v>113.14</v>
      </c>
      <c r="I207" s="16">
        <v>125.71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123.43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</row>
    <row r="208" spans="1:24" x14ac:dyDescent="0.2">
      <c r="A208" s="6" t="s">
        <v>338</v>
      </c>
      <c r="B208" s="21">
        <v>27675.47</v>
      </c>
      <c r="C208" s="21">
        <v>2998.31</v>
      </c>
      <c r="D208" s="21">
        <v>2548.1799999999998</v>
      </c>
      <c r="E208" s="21">
        <v>3260.36</v>
      </c>
      <c r="F208" s="21">
        <v>3596.06</v>
      </c>
      <c r="G208" s="21">
        <v>3790</v>
      </c>
      <c r="H208" s="21">
        <v>3089.36</v>
      </c>
      <c r="I208" s="21">
        <v>3610.35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4782.8500000000004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</row>
    <row r="209" spans="1:24" x14ac:dyDescent="0.2">
      <c r="A209" s="6" t="s">
        <v>339</v>
      </c>
      <c r="B209" s="15" t="s">
        <v>70</v>
      </c>
      <c r="C209" s="15" t="s">
        <v>70</v>
      </c>
      <c r="D209" s="15" t="s">
        <v>70</v>
      </c>
      <c r="E209" s="15" t="s">
        <v>70</v>
      </c>
      <c r="F209" s="15" t="s">
        <v>70</v>
      </c>
      <c r="G209" s="15" t="s">
        <v>70</v>
      </c>
      <c r="H209" s="15" t="s">
        <v>70</v>
      </c>
      <c r="I209" s="15" t="s">
        <v>70</v>
      </c>
      <c r="J209" s="15" t="s">
        <v>70</v>
      </c>
      <c r="K209" s="15" t="s">
        <v>70</v>
      </c>
      <c r="L209" s="15" t="s">
        <v>70</v>
      </c>
      <c r="M209" s="15" t="s">
        <v>70</v>
      </c>
      <c r="N209" s="15" t="s">
        <v>70</v>
      </c>
      <c r="O209" s="15" t="s">
        <v>70</v>
      </c>
      <c r="P209" s="15" t="s">
        <v>70</v>
      </c>
      <c r="Q209" s="15" t="s">
        <v>70</v>
      </c>
      <c r="R209" s="15" t="s">
        <v>70</v>
      </c>
      <c r="S209" s="15" t="s">
        <v>70</v>
      </c>
      <c r="T209" s="15" t="s">
        <v>70</v>
      </c>
      <c r="U209" s="15" t="s">
        <v>70</v>
      </c>
      <c r="V209" s="15" t="s">
        <v>70</v>
      </c>
      <c r="W209" s="15" t="s">
        <v>70</v>
      </c>
      <c r="X209" s="15" t="s">
        <v>70</v>
      </c>
    </row>
    <row r="210" spans="1:24" x14ac:dyDescent="0.2">
      <c r="A210" s="6" t="s">
        <v>71</v>
      </c>
      <c r="B210" s="16">
        <v>8771.99</v>
      </c>
      <c r="C210" s="16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157.13999999999999</v>
      </c>
      <c r="P210" s="16">
        <v>0</v>
      </c>
      <c r="Q210" s="16">
        <v>3969.14</v>
      </c>
      <c r="R210" s="16">
        <v>4645.71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</row>
    <row r="211" spans="1:24" x14ac:dyDescent="0.2">
      <c r="A211" s="6" t="s">
        <v>75</v>
      </c>
      <c r="B211" s="16">
        <v>480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480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</row>
    <row r="212" spans="1:24" x14ac:dyDescent="0.2">
      <c r="A212" s="6" t="s">
        <v>76</v>
      </c>
      <c r="B212" s="16">
        <v>293.70999999999998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105.14</v>
      </c>
      <c r="R212" s="16">
        <v>188.57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</row>
    <row r="213" spans="1:24" x14ac:dyDescent="0.2">
      <c r="A213" s="6" t="s">
        <v>340</v>
      </c>
      <c r="B213" s="21">
        <v>9545.7000000000007</v>
      </c>
      <c r="C213" s="21">
        <v>0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157.13999999999999</v>
      </c>
      <c r="P213" s="21">
        <v>0</v>
      </c>
      <c r="Q213" s="21">
        <v>4074.28</v>
      </c>
      <c r="R213" s="21">
        <v>5314.28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</row>
    <row r="214" spans="1:24" x14ac:dyDescent="0.2">
      <c r="A214" s="6" t="s">
        <v>341</v>
      </c>
      <c r="B214" s="17">
        <v>3331133.59</v>
      </c>
      <c r="C214" s="17">
        <v>193928.34</v>
      </c>
      <c r="D214" s="17">
        <v>152880.47</v>
      </c>
      <c r="E214" s="17">
        <v>175301.77</v>
      </c>
      <c r="F214" s="17">
        <v>154909.71</v>
      </c>
      <c r="G214" s="17">
        <v>160778.60999999999</v>
      </c>
      <c r="H214" s="17">
        <v>159718.79999999999</v>
      </c>
      <c r="I214" s="17">
        <v>117057.84</v>
      </c>
      <c r="J214" s="17">
        <v>149831</v>
      </c>
      <c r="K214" s="17">
        <v>119596.58</v>
      </c>
      <c r="L214" s="17">
        <v>188431.22</v>
      </c>
      <c r="M214" s="17">
        <v>169008.74</v>
      </c>
      <c r="N214" s="17">
        <v>394537.41</v>
      </c>
      <c r="O214" s="17">
        <v>222320.43</v>
      </c>
      <c r="P214" s="17">
        <v>228873.32</v>
      </c>
      <c r="Q214" s="17">
        <v>203469.97</v>
      </c>
      <c r="R214" s="17">
        <v>213527.12</v>
      </c>
      <c r="S214" s="17">
        <v>77409.289999999994</v>
      </c>
      <c r="T214" s="17">
        <v>69285.740000000005</v>
      </c>
      <c r="U214" s="17">
        <v>52177.22</v>
      </c>
      <c r="V214" s="17">
        <v>90212.61</v>
      </c>
      <c r="W214" s="17">
        <v>23413.27</v>
      </c>
      <c r="X214" s="17">
        <v>14464.13</v>
      </c>
    </row>
    <row r="215" spans="1:24" x14ac:dyDescent="0.2">
      <c r="A215" s="4" t="s">
        <v>6</v>
      </c>
    </row>
    <row r="216" spans="1:24" x14ac:dyDescent="0.2">
      <c r="A216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AC - Statement of Operations</vt:lpstr>
      <vt:lpstr>Operating Expenses by Departmen</vt:lpstr>
      <vt:lpstr>G&amp;A Expenses by Department</vt:lpstr>
      <vt:lpstr>Monthly Census by Payor</vt:lpstr>
      <vt:lpstr>Schedule of Resident Income</vt:lpstr>
      <vt:lpstr>Ancillary Expenses by Payor Sum</vt:lpstr>
      <vt:lpstr>Ancillary Expenses by Payor Det</vt:lpstr>
      <vt:lpstr>Payroll and Related Costs</vt:lpstr>
      <vt:lpstr>Salaries by Position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Goldfarb</dc:creator>
  <cp:keywords/>
  <dc:description/>
  <cp:lastModifiedBy>Brian Goldfarb</cp:lastModifiedBy>
  <dcterms:created xsi:type="dcterms:W3CDTF">2025-03-17T15:13:24Z</dcterms:created>
  <dcterms:modified xsi:type="dcterms:W3CDTF">2025-03-17T15:15:39Z</dcterms:modified>
  <cp:category/>
  <cp:contentStatus/>
</cp:coreProperties>
</file>