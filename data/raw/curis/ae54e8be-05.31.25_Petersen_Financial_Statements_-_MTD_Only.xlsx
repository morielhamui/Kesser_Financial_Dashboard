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\\ad.aperioncare.com\files\FolderRedir\Cloud3\ybromberg\Downloads\"/>
    </mc:Choice>
  </mc:AlternateContent>
  <xr:revisionPtr revIDLastSave="0" documentId="13_ncr:1_{B55B6163-F808-478E-9A98-6F89BF4F0B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lance Sheet" sheetId="10" r:id="rId1"/>
    <sheet name="AC - Statement of Operations" sheetId="1" r:id="rId2"/>
    <sheet name="Operating Expenses by Departmen" sheetId="2" r:id="rId3"/>
    <sheet name="G&amp;A Expenses by Department" sheetId="3" r:id="rId4"/>
    <sheet name="Monthly Census by Payor" sheetId="4" r:id="rId5"/>
    <sheet name="Schedule of Resident Income" sheetId="5" r:id="rId6"/>
    <sheet name="Ancillary Expenses by Payor Sum" sheetId="6" r:id="rId7"/>
    <sheet name="Ancillary Expenses by Payor Det" sheetId="7" r:id="rId8"/>
    <sheet name="Payroll and Related Costs" sheetId="8" r:id="rId9"/>
    <sheet name="Salaries by Position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1" l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B5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B49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B57" i="1"/>
</calcChain>
</file>

<file path=xl/sharedStrings.xml><?xml version="1.0" encoding="utf-8"?>
<sst xmlns="http://schemas.openxmlformats.org/spreadsheetml/2006/main" count="3150" uniqueCount="410">
  <si>
    <t>Petersen Group</t>
  </si>
  <si>
    <t>AC - Statement of Operations</t>
  </si>
  <si>
    <t>As of May 31, 2025</t>
  </si>
  <si>
    <t>As of Date:</t>
  </si>
  <si>
    <t>05/31/2025</t>
  </si>
  <si>
    <t>Facility group:</t>
  </si>
  <si>
    <t xml:space="preserve"> </t>
  </si>
  <si>
    <t>Axiom Gardens Flora</t>
  </si>
  <si>
    <t>Axiom Flora</t>
  </si>
  <si>
    <t>Axiom Gardens Mount Vernon</t>
  </si>
  <si>
    <t>Axiom West Frankfort</t>
  </si>
  <si>
    <t>Axiom Mount Vernon</t>
  </si>
  <si>
    <t>Axiom Rosiclare</t>
  </si>
  <si>
    <t>Axiom Harrisburg</t>
  </si>
  <si>
    <t>Arcadia Aledo</t>
  </si>
  <si>
    <t>Avenues at Quad Cities</t>
  </si>
  <si>
    <t>Arcadia Havana</t>
  </si>
  <si>
    <t>Arcadia Kewanee</t>
  </si>
  <si>
    <t>Avenues at Royal Oaks</t>
  </si>
  <si>
    <t>Arcadia Toulon</t>
  </si>
  <si>
    <t>Arcadia Watseka</t>
  </si>
  <si>
    <t>Goldwater Peoria Heights</t>
  </si>
  <si>
    <t>Goldwater Roseville</t>
  </si>
  <si>
    <t>Gardens Kewanee</t>
  </si>
  <si>
    <t>Villas Bushnell</t>
  </si>
  <si>
    <t>Villas at Galva</t>
  </si>
  <si>
    <t>Villas Herscher</t>
  </si>
  <si>
    <t>Villas Kewanee</t>
  </si>
  <si>
    <t>Villas at Havana</t>
  </si>
  <si>
    <t>Month Ending</t>
  </si>
  <si>
    <t>Actual</t>
  </si>
  <si>
    <t xml:space="preserve">  Net Resident Income</t>
  </si>
  <si>
    <t xml:space="preserve">  </t>
  </si>
  <si>
    <t xml:space="preserve">    Gross Resident Income</t>
  </si>
  <si>
    <t xml:space="preserve">    Nursing Home Fee</t>
  </si>
  <si>
    <t xml:space="preserve">    Ancillary Expenses</t>
  </si>
  <si>
    <t xml:space="preserve">  Total Net Resident Income</t>
  </si>
  <si>
    <t xml:space="preserve">  Operating Expenses</t>
  </si>
  <si>
    <t xml:space="preserve">    Nursing Expenses</t>
  </si>
  <si>
    <t xml:space="preserve">    Housekeeping Expenses</t>
  </si>
  <si>
    <t xml:space="preserve">    Plant Expenses</t>
  </si>
  <si>
    <t xml:space="preserve">    Dietary Expenses</t>
  </si>
  <si>
    <t xml:space="preserve">    Employee Welfare Expenses</t>
  </si>
  <si>
    <t xml:space="preserve">    Laundry and Linen Expenses</t>
  </si>
  <si>
    <t xml:space="preserve">  Total Operating Expenses</t>
  </si>
  <si>
    <t xml:space="preserve">  Income Before General and Administrative Expenses</t>
  </si>
  <si>
    <t xml:space="preserve">  General and Administrative Expenses</t>
  </si>
  <si>
    <t xml:space="preserve">  Total Income Before Capital Expenses</t>
  </si>
  <si>
    <t xml:space="preserve">  Rent</t>
  </si>
  <si>
    <t xml:space="preserve">  Real Estate Tax - CY</t>
  </si>
  <si>
    <t xml:space="preserve">  Interest</t>
  </si>
  <si>
    <t xml:space="preserve">  Interest - Other</t>
  </si>
  <si>
    <t xml:space="preserve">  Depreciation</t>
  </si>
  <si>
    <t xml:space="preserve">  Amortization</t>
  </si>
  <si>
    <t xml:space="preserve">  Total Capital Expenses</t>
  </si>
  <si>
    <t xml:space="preserve">  Total Income Before Management Fees</t>
  </si>
  <si>
    <t xml:space="preserve">  Management Fees</t>
  </si>
  <si>
    <t xml:space="preserve">  Total Income Before Other Income</t>
  </si>
  <si>
    <t xml:space="preserve">  Other Income / Expenses</t>
  </si>
  <si>
    <t xml:space="preserve">    Interest Income</t>
  </si>
  <si>
    <t xml:space="preserve">    Medical Records Income</t>
  </si>
  <si>
    <t xml:space="preserve">    Other Unclassified Income</t>
  </si>
  <si>
    <t xml:space="preserve">    Visitor / Employee Meals</t>
  </si>
  <si>
    <t xml:space="preserve">    Day Care Income</t>
  </si>
  <si>
    <t xml:space="preserve">    QIP Revenue</t>
  </si>
  <si>
    <t xml:space="preserve">    C.N.A. Incentive Payments</t>
  </si>
  <si>
    <t xml:space="preserve">  Total Other Income / Expenses</t>
  </si>
  <si>
    <t xml:space="preserve">  Total Income Before Taxes</t>
  </si>
  <si>
    <t xml:space="preserve">  Net Income</t>
  </si>
  <si>
    <t>Operating Expenses by Department</t>
  </si>
  <si>
    <t xml:space="preserve">    </t>
  </si>
  <si>
    <t xml:space="preserve">      504000 - Salaries - Regular</t>
  </si>
  <si>
    <t xml:space="preserve">      504010 - Salaries - Overtime</t>
  </si>
  <si>
    <t xml:space="preserve">      504020 - Salaries - Sign on Bonus</t>
  </si>
  <si>
    <t xml:space="preserve">      504030 - Salaries - Other Bonus</t>
  </si>
  <si>
    <t xml:space="preserve">      504040 - Salaries - PTO</t>
  </si>
  <si>
    <t xml:space="preserve">      504050 - Salaries - Holliday</t>
  </si>
  <si>
    <t xml:space="preserve">      504060 - Salaries - Auto / Allowances</t>
  </si>
  <si>
    <t xml:space="preserve">      505000 - Medical and Nursing Supplies</t>
  </si>
  <si>
    <t xml:space="preserve">      505001 - Medical and Nursing Supplies-Covid</t>
  </si>
  <si>
    <t xml:space="preserve">      505015 - Durable Medical Equipment</t>
  </si>
  <si>
    <t xml:space="preserve">      505025 - Equipment Rental - Nursing</t>
  </si>
  <si>
    <t xml:space="preserve">      505075 - Activity Program Expense</t>
  </si>
  <si>
    <t xml:space="preserve">      505080 - Activities - Food</t>
  </si>
  <si>
    <t xml:space="preserve">      505150 - Incontinency Supplies</t>
  </si>
  <si>
    <t xml:space="preserve">      505200 - Nursing Equipment Repirs &amp; Maintenance</t>
  </si>
  <si>
    <t xml:space="preserve">      505225 - Oxygen</t>
  </si>
  <si>
    <t xml:space="preserve">      505250 - Patient Transportation</t>
  </si>
  <si>
    <t xml:space="preserve">      505325 - Respiratory Therapy</t>
  </si>
  <si>
    <t xml:space="preserve">      505350 - Temporary Nursing Agencies</t>
  </si>
  <si>
    <t xml:space="preserve">      505375 - Uniforms</t>
  </si>
  <si>
    <t xml:space="preserve">      505425 - Consultants - Activity</t>
  </si>
  <si>
    <t xml:space="preserve">      505500 - Consultants - Medical Director</t>
  </si>
  <si>
    <t xml:space="preserve">      505575 - Consultants - Pharmacy</t>
  </si>
  <si>
    <t xml:space="preserve">      505625 - Consultants - RN</t>
  </si>
  <si>
    <t xml:space="preserve">      505645 - Consultants - MDS</t>
  </si>
  <si>
    <t xml:space="preserve">      505670 - Consultants - Social Services</t>
  </si>
  <si>
    <t xml:space="preserve">      505675 - Consultants - Social Work</t>
  </si>
  <si>
    <t xml:space="preserve">    Total Nursing Expenses</t>
  </si>
  <si>
    <t xml:space="preserve">      506200 - Housekeeping Supplies</t>
  </si>
  <si>
    <t xml:space="preserve">    Total Housekeeping Expenses</t>
  </si>
  <si>
    <t xml:space="preserve">      506250 - Grounds Maintenance</t>
  </si>
  <si>
    <t xml:space="preserve">      506260 - Landscaping</t>
  </si>
  <si>
    <t xml:space="preserve">      506275 - Painting</t>
  </si>
  <si>
    <t xml:space="preserve">      506300 - Repairs &amp; Maintenance- Equipment</t>
  </si>
  <si>
    <t xml:space="preserve">      506325 - Repairs &amp; Maintenance - Building</t>
  </si>
  <si>
    <t xml:space="preserve">      506350 - Repairs &amp; Maintenance- Elevator</t>
  </si>
  <si>
    <t xml:space="preserve">      506375 - Building Maintenance &amp; Supplies</t>
  </si>
  <si>
    <t xml:space="preserve">      506380 - Durable Equipment- Resident Rooms</t>
  </si>
  <si>
    <t xml:space="preserve">      506385 - Consulting - Maintenance</t>
  </si>
  <si>
    <t xml:space="preserve">      506425 - Snow Removal</t>
  </si>
  <si>
    <t xml:space="preserve">      506475 - Exterminating Services</t>
  </si>
  <si>
    <t xml:space="preserve">      506500 - Fire Service</t>
  </si>
  <si>
    <t xml:space="preserve">      506525 - Scavenger - Regular Waste</t>
  </si>
  <si>
    <t xml:space="preserve">      506550 - Scavenger - Medical Waste</t>
  </si>
  <si>
    <t xml:space="preserve">      506575 - Security Services</t>
  </si>
  <si>
    <t xml:space="preserve">      506600 - Electricity</t>
  </si>
  <si>
    <t xml:space="preserve">      506625 - Gas Heat</t>
  </si>
  <si>
    <t xml:space="preserve">      506650 - Water</t>
  </si>
  <si>
    <t xml:space="preserve">    Total Plant Expenses</t>
  </si>
  <si>
    <t xml:space="preserve">      507200 - Food</t>
  </si>
  <si>
    <t xml:space="preserve">      507225 - Nutritional &amp; Supplements</t>
  </si>
  <si>
    <t xml:space="preserve">      507250 - Tube Feeding Supplies</t>
  </si>
  <si>
    <t xml:space="preserve">      507275 - Dietary Supplies</t>
  </si>
  <si>
    <t xml:space="preserve">      507300 - Kitchen Supplies</t>
  </si>
  <si>
    <t xml:space="preserve">      507325 - Kitchen Chemicals</t>
  </si>
  <si>
    <t xml:space="preserve">      507350 - Repairs &amp; Maintenance - Dietary</t>
  </si>
  <si>
    <t xml:space="preserve">      507375 - Equipment Rental - Dietary</t>
  </si>
  <si>
    <t xml:space="preserve">      507425 - Consultant - Dietary</t>
  </si>
  <si>
    <t xml:space="preserve">    Total Dietary Expenses</t>
  </si>
  <si>
    <t xml:space="preserve">      504100 - Payroll Tax -FICA</t>
  </si>
  <si>
    <t xml:space="preserve">      504110 - Payroll Tax - SUTA</t>
  </si>
  <si>
    <t xml:space="preserve">      504120 - Payroll Tax - FUTA</t>
  </si>
  <si>
    <t xml:space="preserve">      504130 - Workmans Comp Insurance</t>
  </si>
  <si>
    <t xml:space="preserve">      504150 - Health Insurance - Non-Union</t>
  </si>
  <si>
    <t xml:space="preserve">      504180 - Life Insurance Expense</t>
  </si>
  <si>
    <t xml:space="preserve">      504190 - Employee Background/Fingerprint</t>
  </si>
  <si>
    <t xml:space="preserve">      504200 - Employee Physicals</t>
  </si>
  <si>
    <t xml:space="preserve">      504220 - Employee Recruiting Expense</t>
  </si>
  <si>
    <t xml:space="preserve">      504230 - Employee Meals</t>
  </si>
  <si>
    <t xml:space="preserve">    Total Employee Welfare Expenses</t>
  </si>
  <si>
    <t xml:space="preserve">      507525 - Laundry Supplies</t>
  </si>
  <si>
    <t xml:space="preserve">      507600 - Linen Replacement</t>
  </si>
  <si>
    <t xml:space="preserve">    Total Laundry and Linen Expenses</t>
  </si>
  <si>
    <t>G&amp;A Expenses by Department</t>
  </si>
  <si>
    <t xml:space="preserve">    Marketing Expenses</t>
  </si>
  <si>
    <t xml:space="preserve">      508150 - Advertising/Marketing</t>
  </si>
  <si>
    <t xml:space="preserve">      508175 - Marketing - Food</t>
  </si>
  <si>
    <t xml:space="preserve">    Total Marketing Expenses</t>
  </si>
  <si>
    <t xml:space="preserve">    G&amp;A Dept Expenses</t>
  </si>
  <si>
    <t xml:space="preserve">      508075 - Consultant - Administrative</t>
  </si>
  <si>
    <t xml:space="preserve">      508095 - Consultants- Centralized Admissions Fees</t>
  </si>
  <si>
    <t xml:space="preserve">      508250 - Auto Repairs / Maintenance</t>
  </si>
  <si>
    <t xml:space="preserve">      508275 - Bank Charges</t>
  </si>
  <si>
    <t xml:space="preserve">      508300 - Credit Card Processing</t>
  </si>
  <si>
    <t xml:space="preserve">      508350 - Data Processing Fees</t>
  </si>
  <si>
    <t xml:space="preserve">      508425 - Cable TV - Service</t>
  </si>
  <si>
    <t xml:space="preserve">      508500 - Dues &amp; Subscriptions</t>
  </si>
  <si>
    <t xml:space="preserve">      508525 - Education &amp; Seminars</t>
  </si>
  <si>
    <t xml:space="preserve">      508575 - Entertainment - Non Patient Related</t>
  </si>
  <si>
    <t xml:space="preserve">      508600 - Entertainment - Patient Related</t>
  </si>
  <si>
    <t xml:space="preserve">      508625 - Fingerprint/Bckgrd - Resident</t>
  </si>
  <si>
    <t xml:space="preserve">      508650 - General Insurance</t>
  </si>
  <si>
    <t xml:space="preserve">      508700 - Bookeeping Fees</t>
  </si>
  <si>
    <t xml:space="preserve">      508725 - Internet Services</t>
  </si>
  <si>
    <t xml:space="preserve">      508800 - Licenses and permits</t>
  </si>
  <si>
    <t xml:space="preserve">      508850 - Office Expense</t>
  </si>
  <si>
    <t xml:space="preserve">      508875 - Office Equipment Rental</t>
  </si>
  <si>
    <t xml:space="preserve">      508900 - Office Equip Repairs &amp; Maint</t>
  </si>
  <si>
    <t xml:space="preserve">      508925 - Holiday Expenses</t>
  </si>
  <si>
    <t xml:space="preserve">      509000 - Payroll Processing</t>
  </si>
  <si>
    <t xml:space="preserve">      509050 - Postage</t>
  </si>
  <si>
    <t xml:space="preserve">      509100 - Legal Fees</t>
  </si>
  <si>
    <t xml:space="preserve">      509150 - Telephone</t>
  </si>
  <si>
    <t xml:space="preserve">      509175 - Theft &amp; Damage Loss</t>
  </si>
  <si>
    <t xml:space="preserve">      509200 - Patient Related Expenses</t>
  </si>
  <si>
    <t xml:space="preserve">      509225 - Travel - Staff</t>
  </si>
  <si>
    <t xml:space="preserve">      509230 - Website</t>
  </si>
  <si>
    <t xml:space="preserve">      509250 - Bad debts Write-Off</t>
  </si>
  <si>
    <t xml:space="preserve">    Other Professional</t>
  </si>
  <si>
    <t xml:space="preserve">  Total General and Administrative Expenses</t>
  </si>
  <si>
    <t>Curis Services</t>
  </si>
  <si>
    <t>Monthly Census by Payor</t>
  </si>
  <si>
    <t>Total Resident Days</t>
  </si>
  <si>
    <t>Current Avg Resident</t>
  </si>
  <si>
    <t xml:space="preserve">  Census</t>
  </si>
  <si>
    <t xml:space="preserve">    Private</t>
  </si>
  <si>
    <t xml:space="preserve">    Medicaid</t>
  </si>
  <si>
    <t xml:space="preserve">    Hospice Medicaid</t>
  </si>
  <si>
    <t xml:space="preserve">    Medicaid Pending</t>
  </si>
  <si>
    <t xml:space="preserve">    Medicare - Part A</t>
  </si>
  <si>
    <t xml:space="preserve">    Insurance - Commercial</t>
  </si>
  <si>
    <t xml:space="preserve">    ALF - Private</t>
  </si>
  <si>
    <t xml:space="preserve">    Managed Medicaid</t>
  </si>
  <si>
    <t xml:space="preserve">    Medicaid MMAI</t>
  </si>
  <si>
    <t xml:space="preserve">    Medicare Advantage</t>
  </si>
  <si>
    <t xml:space="preserve">    Medicare MMAI</t>
  </si>
  <si>
    <t xml:space="preserve">  Total Census</t>
  </si>
  <si>
    <t>Schedule of Resident Income</t>
  </si>
  <si>
    <t>Per Resident Day</t>
  </si>
  <si>
    <t xml:space="preserve">  Resident Income Detail</t>
  </si>
  <si>
    <t xml:space="preserve">    Resident Income Private</t>
  </si>
  <si>
    <t xml:space="preserve">    Resident Income Medicaid</t>
  </si>
  <si>
    <t xml:space="preserve">    Resident Income Medicare - Part A</t>
  </si>
  <si>
    <t xml:space="preserve">    Resident Income Insurance - Commercial</t>
  </si>
  <si>
    <t xml:space="preserve">    Resident Income Medicare - Part B</t>
  </si>
  <si>
    <t xml:space="preserve">    Resident Income ALF - Private</t>
  </si>
  <si>
    <t xml:space="preserve">    Resident Income Managed Medicaid</t>
  </si>
  <si>
    <t xml:space="preserve">    Resident Income Medicare Advantage</t>
  </si>
  <si>
    <t xml:space="preserve">  Total Resident Income Detail</t>
  </si>
  <si>
    <t>Ancillary Expenses by Payor Summary</t>
  </si>
  <si>
    <t xml:space="preserve">  Ancillary Expense Detail</t>
  </si>
  <si>
    <t xml:space="preserve">    Ancillary Expense Private</t>
  </si>
  <si>
    <t xml:space="preserve">    Ancillary Expense Medicaid</t>
  </si>
  <si>
    <t xml:space="preserve">    Ancillary Expense Medicare - Part A</t>
  </si>
  <si>
    <t xml:space="preserve">    Ancillary Expense Insurance - Commercial</t>
  </si>
  <si>
    <t xml:space="preserve">    Ancillary Expense Medicare - Part B</t>
  </si>
  <si>
    <t xml:space="preserve">    Ancillary Expense Managed Medicaid</t>
  </si>
  <si>
    <t xml:space="preserve">    Ancillary Expense No Payor</t>
  </si>
  <si>
    <t xml:space="preserve">  Total Ancillary Expense Detail</t>
  </si>
  <si>
    <t>Ancillary Expenses by Payor Detail</t>
  </si>
  <si>
    <t xml:space="preserve">      503150 - Ancillary Costs - Speech Therapy</t>
  </si>
  <si>
    <t xml:space="preserve">    Total Ancillary Expense Private</t>
  </si>
  <si>
    <t xml:space="preserve">      503100 - Ancillary Costs - Physical Therapy</t>
  </si>
  <si>
    <t xml:space="preserve">      503125 - Ancillary Costs - Occupational Therapy</t>
  </si>
  <si>
    <t xml:space="preserve">    Total Ancillary Expense Medicaid</t>
  </si>
  <si>
    <t xml:space="preserve">    Total Ancillary Expense Medicare - Part A</t>
  </si>
  <si>
    <t xml:space="preserve">    Total Ancillary Expense Insurance - Commercial</t>
  </si>
  <si>
    <t xml:space="preserve">    Total Ancillary Expense Medicare - Part B</t>
  </si>
  <si>
    <t xml:space="preserve">    Total Ancillary Expense Managed Medicaid</t>
  </si>
  <si>
    <t xml:space="preserve">      503000 - Ancillary Costs - Medical Supplies</t>
  </si>
  <si>
    <t xml:space="preserve">      503025 - Ancillary Costs - Pharmacy</t>
  </si>
  <si>
    <t xml:space="preserve">      503050 - Ancillary Costs - Radiology/Telemetry/EKG</t>
  </si>
  <si>
    <t xml:space="preserve">      503075 - Ancillary Costs - Laboratory</t>
  </si>
  <si>
    <t xml:space="preserve">      503175 - Ancillary Costs - Respiratory Services</t>
  </si>
  <si>
    <t xml:space="preserve">      503200 - Ancillary Costs - Rentals</t>
  </si>
  <si>
    <t xml:space="preserve">      503250 - Ancillary Costs - Nursing Services</t>
  </si>
  <si>
    <t xml:space="preserve">      503300 - Ancillary Costs - Wound Therapy</t>
  </si>
  <si>
    <t xml:space="preserve">    Total Ancillary Expense No Payor</t>
  </si>
  <si>
    <t>Payroll and Related Costs</t>
  </si>
  <si>
    <t xml:space="preserve">  Payroll and Payroll Related Costs</t>
  </si>
  <si>
    <t xml:space="preserve">    Salaries</t>
  </si>
  <si>
    <t xml:space="preserve">      Director of Nursing</t>
  </si>
  <si>
    <t xml:space="preserve">      Asst. Director of Nursing</t>
  </si>
  <si>
    <t xml:space="preserve">      Nurse Supervisor</t>
  </si>
  <si>
    <t xml:space="preserve">      Registered Nurse</t>
  </si>
  <si>
    <t xml:space="preserve">      Wound Care Nurse</t>
  </si>
  <si>
    <t xml:space="preserve">      Quality Assurance</t>
  </si>
  <si>
    <t xml:space="preserve">      MDS Coordinator</t>
  </si>
  <si>
    <t xml:space="preserve">      Licensed Practical Nurse</t>
  </si>
  <si>
    <t xml:space="preserve">      Certified Nurse Aide</t>
  </si>
  <si>
    <t xml:space="preserve">      Social Services Director</t>
  </si>
  <si>
    <t xml:space="preserve">      Social Service Designee</t>
  </si>
  <si>
    <t xml:space="preserve">      Behavioral Health Technician</t>
  </si>
  <si>
    <t xml:space="preserve">      Activity Director</t>
  </si>
  <si>
    <t xml:space="preserve">      Activity Assistant</t>
  </si>
  <si>
    <t xml:space="preserve">      Resident Escort/Assistant</t>
  </si>
  <si>
    <t xml:space="preserve">      Bus Driver</t>
  </si>
  <si>
    <t xml:space="preserve">      Housekeeping Supervisor</t>
  </si>
  <si>
    <t xml:space="preserve">      Housekeeping Staff</t>
  </si>
  <si>
    <t xml:space="preserve">      Maintenance Supervisor</t>
  </si>
  <si>
    <t xml:space="preserve">      Maintenance Staff</t>
  </si>
  <si>
    <t xml:space="preserve">      Dietary Manager</t>
  </si>
  <si>
    <t xml:space="preserve">      Asst. Dietery Manager</t>
  </si>
  <si>
    <t xml:space="preserve">      Dietary Aides</t>
  </si>
  <si>
    <t xml:space="preserve">      Cooks</t>
  </si>
  <si>
    <t xml:space="preserve">      Laundry Staff</t>
  </si>
  <si>
    <t xml:space="preserve">      Marketing Coordinator</t>
  </si>
  <si>
    <t xml:space="preserve">      Medical Records Staff</t>
  </si>
  <si>
    <t xml:space="preserve">      Administrator</t>
  </si>
  <si>
    <t xml:space="preserve">      Assistant Administrator</t>
  </si>
  <si>
    <t xml:space="preserve">      Business Office Manager</t>
  </si>
  <si>
    <t xml:space="preserve">      Receptionist</t>
  </si>
  <si>
    <t xml:space="preserve">      Financial Coordinator</t>
  </si>
  <si>
    <t xml:space="preserve">      Human Resource</t>
  </si>
  <si>
    <t xml:space="preserve">      Ward Clerk</t>
  </si>
  <si>
    <t xml:space="preserve">    Total Salaries</t>
  </si>
  <si>
    <t xml:space="preserve">    Payroll Related Costs</t>
  </si>
  <si>
    <t xml:space="preserve">      Payroll Taxes</t>
  </si>
  <si>
    <t xml:space="preserve">      Other Employee Costs</t>
  </si>
  <si>
    <t xml:space="preserve">    Total Payroll Related Costs</t>
  </si>
  <si>
    <t xml:space="preserve">  Total Payroll and Payroll Related Costs</t>
  </si>
  <si>
    <t>Salaries by Position</t>
  </si>
  <si>
    <t xml:space="preserve">  Salaries by Position Detail</t>
  </si>
  <si>
    <t xml:space="preserve">    Salaries Director of Nursing</t>
  </si>
  <si>
    <t xml:space="preserve">    Total Salaries Director of Nursing</t>
  </si>
  <si>
    <t xml:space="preserve">    Salaries Asst. Director of Nursing</t>
  </si>
  <si>
    <t xml:space="preserve">    Total Salaries Asst. Director of Nursing</t>
  </si>
  <si>
    <t xml:space="preserve">    Salaries Nurse Supervisor</t>
  </si>
  <si>
    <t xml:space="preserve">    Total Salaries Nurse Supervisor</t>
  </si>
  <si>
    <t xml:space="preserve">    Salaries Registered Nurse</t>
  </si>
  <si>
    <t xml:space="preserve">    Total Salaries Registered Nurse</t>
  </si>
  <si>
    <t xml:space="preserve">    Salaries Wound Care Nurse</t>
  </si>
  <si>
    <t xml:space="preserve">    Total Salaries Wound Care Nurse</t>
  </si>
  <si>
    <t xml:space="preserve">    Salaries Quality Assurance</t>
  </si>
  <si>
    <t xml:space="preserve">    Total Salaries Quality Assurance</t>
  </si>
  <si>
    <t xml:space="preserve">    Salaries MDS Coordinator</t>
  </si>
  <si>
    <t xml:space="preserve">    Total Salaries MDS Coordinator</t>
  </si>
  <si>
    <t xml:space="preserve">    Salaries Licensed Practical Nurse</t>
  </si>
  <si>
    <t xml:space="preserve">    Total Salaries Licensed Practical Nurse</t>
  </si>
  <si>
    <t xml:space="preserve">    Salaries Certified Nurse Aide</t>
  </si>
  <si>
    <t xml:space="preserve">    Total Salaries Certified Nurse Aide</t>
  </si>
  <si>
    <t xml:space="preserve">    Salaries Social Services Director</t>
  </si>
  <si>
    <t xml:space="preserve">    Total Salaries Social Services Director</t>
  </si>
  <si>
    <t xml:space="preserve">    Salaries Social Service Designee</t>
  </si>
  <si>
    <t xml:space="preserve">    Total Salaries Social Service Designee</t>
  </si>
  <si>
    <t xml:space="preserve">    Salaries Behavioral Health Technician</t>
  </si>
  <si>
    <t xml:space="preserve">    Total Salaries Behavioral Health Technician</t>
  </si>
  <si>
    <t xml:space="preserve">    Salaries Activity Director</t>
  </si>
  <si>
    <t xml:space="preserve">    Total Salaries Activity Director</t>
  </si>
  <si>
    <t xml:space="preserve">    Salaries Activity Assistant</t>
  </si>
  <si>
    <t xml:space="preserve">    Total Salaries Activity Assistant</t>
  </si>
  <si>
    <t xml:space="preserve">    Salaries Resident Escort/Assistant</t>
  </si>
  <si>
    <t xml:space="preserve">    Total Salaries Resident Escort/Assistant</t>
  </si>
  <si>
    <t xml:space="preserve">    Salaries Bus Driver</t>
  </si>
  <si>
    <t xml:space="preserve">    Total Salaries Bus Driver</t>
  </si>
  <si>
    <t xml:space="preserve">    Salaries Housekeeping Supervisor</t>
  </si>
  <si>
    <t xml:space="preserve">    Total Salaries Housekeeping Supervisor</t>
  </si>
  <si>
    <t xml:space="preserve">    Salaries Housekeeping Staff</t>
  </si>
  <si>
    <t xml:space="preserve">    Total Salaries Housekeeping Staff</t>
  </si>
  <si>
    <t xml:space="preserve">    Salaries Maintenance Supervisor</t>
  </si>
  <si>
    <t xml:space="preserve">    Total Salaries Maintenance Supervisor</t>
  </si>
  <si>
    <t xml:space="preserve">    Salaries Maintenance Staff</t>
  </si>
  <si>
    <t xml:space="preserve">    Total Salaries Maintenance Staff</t>
  </si>
  <si>
    <t xml:space="preserve">    Salaries Dietary Manager</t>
  </si>
  <si>
    <t xml:space="preserve">    Total Salaries Dietary Manager</t>
  </si>
  <si>
    <t xml:space="preserve">    Salaries Asst. Dietery Manager</t>
  </si>
  <si>
    <t xml:space="preserve">    Total Salaries Asst. Dietery Manager</t>
  </si>
  <si>
    <t xml:space="preserve">    Salaries Dietary Aides</t>
  </si>
  <si>
    <t xml:space="preserve">    Total Salaries Dietary Aides</t>
  </si>
  <si>
    <t xml:space="preserve">    Salaries Cooks</t>
  </si>
  <si>
    <t xml:space="preserve">    Total Salaries Cooks</t>
  </si>
  <si>
    <t xml:space="preserve">    Salaries Laundry Staff</t>
  </si>
  <si>
    <t xml:space="preserve">    Total Salaries Laundry Staff</t>
  </si>
  <si>
    <t xml:space="preserve">    Salaries Marketing Coordinator</t>
  </si>
  <si>
    <t xml:space="preserve">    Total Salaries Marketing Coordinator</t>
  </si>
  <si>
    <t xml:space="preserve">    Salaries Medical Records Staff</t>
  </si>
  <si>
    <t xml:space="preserve">    Total Salaries Medical Records Staff</t>
  </si>
  <si>
    <t xml:space="preserve">    Salaries Administrator</t>
  </si>
  <si>
    <t xml:space="preserve">    Total Salaries Administrator</t>
  </si>
  <si>
    <t xml:space="preserve">    Salaries Assistant Administrator</t>
  </si>
  <si>
    <t xml:space="preserve">    Total Salaries Assistant Administrator</t>
  </si>
  <si>
    <t xml:space="preserve">    Salaries Business Office Manager</t>
  </si>
  <si>
    <t xml:space="preserve">    Total Salaries Business Office Manager</t>
  </si>
  <si>
    <t xml:space="preserve">    Salaries Receptionist</t>
  </si>
  <si>
    <t xml:space="preserve">    Total Salaries Receptionist</t>
  </si>
  <si>
    <t xml:space="preserve">    Salaries Financial Coordinator</t>
  </si>
  <si>
    <t xml:space="preserve">    Total Salaries Financial Coordinator</t>
  </si>
  <si>
    <t xml:space="preserve">    Salaries Human Resource</t>
  </si>
  <si>
    <t xml:space="preserve">    Total Salaries Human Resource</t>
  </si>
  <si>
    <t xml:space="preserve">    Salaries Ward Clerk</t>
  </si>
  <si>
    <t xml:space="preserve">    Total Salaries Ward Clerk</t>
  </si>
  <si>
    <t xml:space="preserve">  Total Salaries by Position Detail</t>
  </si>
  <si>
    <t>Balance Sheet</t>
  </si>
  <si>
    <t>All Facilities</t>
  </si>
  <si>
    <t>Year To Date</t>
  </si>
  <si>
    <t xml:space="preserve">  Assets</t>
  </si>
  <si>
    <t xml:space="preserve">    Current Assets</t>
  </si>
  <si>
    <t xml:space="preserve">      Cash and Cash Equivalents</t>
  </si>
  <si>
    <t xml:space="preserve">      Accounts Receivable, Net</t>
  </si>
  <si>
    <t xml:space="preserve">      Prepaid Expenses</t>
  </si>
  <si>
    <t xml:space="preserve">      Intercompany Receivable</t>
  </si>
  <si>
    <t xml:space="preserve">      Other Current Assets</t>
  </si>
  <si>
    <t xml:space="preserve">    Total Current Assets</t>
  </si>
  <si>
    <t xml:space="preserve">    Fixed Assets, Net</t>
  </si>
  <si>
    <t xml:space="preserve">      Fixed Assets</t>
  </si>
  <si>
    <t xml:space="preserve">      </t>
  </si>
  <si>
    <t xml:space="preserve">        108050 - Building Improvements</t>
  </si>
  <si>
    <t xml:space="preserve">        108150 - Furniture, Fixture, Equipment</t>
  </si>
  <si>
    <t xml:space="preserve">        108200 - Vehicle</t>
  </si>
  <si>
    <t xml:space="preserve">        108250 - Deposits on Fixed Assets</t>
  </si>
  <si>
    <t xml:space="preserve">        108300 - Construction in Process</t>
  </si>
  <si>
    <t xml:space="preserve">      Total Fixed Assets</t>
  </si>
  <si>
    <t xml:space="preserve">      Accumulated Depreciation</t>
  </si>
  <si>
    <t xml:space="preserve">    Total Fixed Assets, Net</t>
  </si>
  <si>
    <t xml:space="preserve">    Intangible Assets, Net</t>
  </si>
  <si>
    <t xml:space="preserve">      Amortization</t>
  </si>
  <si>
    <t xml:space="preserve">    Total Intangible Assets, Net</t>
  </si>
  <si>
    <t xml:space="preserve">    Other Assets</t>
  </si>
  <si>
    <t xml:space="preserve">      Deposits and Prepayments</t>
  </si>
  <si>
    <t xml:space="preserve">      Other Assets</t>
  </si>
  <si>
    <t xml:space="preserve">    Total Other Assets</t>
  </si>
  <si>
    <t xml:space="preserve">  Total Assets</t>
  </si>
  <si>
    <t xml:space="preserve">  Liabilities and Equity</t>
  </si>
  <si>
    <t xml:space="preserve">    Liabilities</t>
  </si>
  <si>
    <t xml:space="preserve">      Current Liabilities</t>
  </si>
  <si>
    <t xml:space="preserve">        Accounts Payable</t>
  </si>
  <si>
    <t xml:space="preserve">        Accrued Liabilities</t>
  </si>
  <si>
    <t xml:space="preserve">        Loan Payable</t>
  </si>
  <si>
    <t xml:space="preserve">        Other Current Liabilities</t>
  </si>
  <si>
    <t xml:space="preserve">      Total Current Liabilities</t>
  </si>
  <si>
    <t xml:space="preserve">    Total Liabilities</t>
  </si>
  <si>
    <t xml:space="preserve">    Stockholders Equity</t>
  </si>
  <si>
    <t xml:space="preserve">      Partners Equity</t>
  </si>
  <si>
    <t xml:space="preserve">        303000 - Member Distributions</t>
  </si>
  <si>
    <t xml:space="preserve">      Total Partners Equity</t>
  </si>
  <si>
    <t xml:space="preserve">      Retained Earnings</t>
  </si>
  <si>
    <t xml:space="preserve">      Net Income (Loss)</t>
  </si>
  <si>
    <t xml:space="preserve">    Total Stockholders Equity</t>
  </si>
  <si>
    <t xml:space="preserve">  Total Liabilities and Equity</t>
  </si>
  <si>
    <t>Created on : 07/11/2025 1:00 PM CST</t>
  </si>
  <si>
    <t>EBITDAR</t>
  </si>
  <si>
    <t>additional addbacks</t>
  </si>
  <si>
    <t>nurse consultant</t>
  </si>
  <si>
    <t>pharmacy consultant</t>
  </si>
  <si>
    <t>dietary consultant</t>
  </si>
  <si>
    <t>bookkeeping/home office fees</t>
  </si>
  <si>
    <t>Other Professional</t>
  </si>
  <si>
    <t>Total Addbacks</t>
  </si>
  <si>
    <t>EBITDAR With Related Party Addbacks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</si>
</sst>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9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  <font>
      <b/>
      <sz val="12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165" fontId="2" fillId="2" borderId="0" xfId="0" applyNumberFormat="1" applyFont="1" applyFill="1" applyAlignment="1">
      <alignment horizontal="right"/>
    </xf>
    <xf numFmtId="165" fontId="2" fillId="2" borderId="4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5" fontId="2" fillId="2" borderId="1" xfId="0" applyNumberFormat="1" applyFont="1" applyFill="1" applyBorder="1" applyAlignment="1">
      <alignment horizontal="right"/>
    </xf>
    <xf numFmtId="165" fontId="2" fillId="2" borderId="2" xfId="0" applyNumberFormat="1" applyFont="1" applyFill="1" applyBorder="1" applyAlignment="1">
      <alignment horizontal="right"/>
    </xf>
    <xf numFmtId="165" fontId="2" fillId="2" borderId="3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3" fillId="2" borderId="1" xfId="0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0" fontId="6" fillId="2" borderId="2" xfId="0" applyFont="1" applyFill="1" applyBorder="1" applyAlignment="1">
      <alignment horizontal="right"/>
    </xf>
    <xf numFmtId="0" fontId="7" fillId="2" borderId="0" xfId="0" applyFont="1" applyFill="1" applyAlignment="1">
      <alignment horizontal="left"/>
    </xf>
    <xf numFmtId="165" fontId="3" fillId="2" borderId="0" xfId="0" applyNumberFormat="1" applyFont="1" applyFill="1" applyAlignment="1">
      <alignment horizontal="right"/>
    </xf>
    <xf numFmtId="165" fontId="3" fillId="2" borderId="3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right"/>
    </xf>
    <xf numFmtId="165" fontId="7" fillId="2" borderId="4" xfId="0" applyNumberFormat="1" applyFont="1" applyFill="1" applyBorder="1" applyAlignment="1">
      <alignment horizontal="right"/>
    </xf>
    <xf numFmtId="0" fontId="7" fillId="2" borderId="5" xfId="0" applyFont="1" applyFill="1" applyBorder="1" applyAlignment="1">
      <alignment horizontal="left"/>
    </xf>
    <xf numFmtId="0" fontId="8" fillId="2" borderId="0" xfId="0" applyFont="1" applyFill="1"/>
    <xf numFmtId="0" fontId="8" fillId="2" borderId="3" xfId="0" applyFont="1" applyFill="1" applyBorder="1"/>
    <xf numFmtId="164" fontId="0" fillId="2" borderId="3" xfId="0" applyNumberFormat="1" applyFill="1" applyBorder="1"/>
    <xf numFmtId="164" fontId="0" fillId="2" borderId="0" xfId="0" applyNumberForma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6592-8C70-4AED-8B65-F6DE8E419F54}">
  <dimension ref="A1:X55"/>
  <sheetViews>
    <sheetView tabSelected="1" workbookViewId="0">
      <selection activeCell="M37" sqref="M37"/>
    </sheetView>
  </sheetViews>
  <sheetFormatPr defaultRowHeight="12.75" x14ac:dyDescent="0.2"/>
  <cols>
    <col min="1" max="1" width="31.28515625" bestFit="1" customWidth="1"/>
    <col min="2" max="2" width="15.7109375" bestFit="1" customWidth="1"/>
    <col min="3" max="3" width="10.140625" bestFit="1" customWidth="1"/>
    <col min="4" max="4" width="22.28515625" bestFit="1" customWidth="1"/>
    <col min="5" max="5" width="16.140625" bestFit="1" customWidth="1"/>
    <col min="6" max="6" width="15.5703125" bestFit="1" customWidth="1"/>
    <col min="7" max="7" width="12.140625" bestFit="1" customWidth="1"/>
    <col min="8" max="8" width="13.140625" bestFit="1" customWidth="1"/>
    <col min="9" max="9" width="10.85546875" bestFit="1" customWidth="1"/>
    <col min="10" max="10" width="17.5703125" bestFit="1" customWidth="1"/>
    <col min="11" max="11" width="12.140625" bestFit="1" customWidth="1"/>
    <col min="12" max="12" width="13.7109375" bestFit="1" customWidth="1"/>
    <col min="13" max="13" width="17.5703125" bestFit="1" customWidth="1"/>
    <col min="14" max="14" width="11.42578125" bestFit="1" customWidth="1"/>
    <col min="15" max="15" width="12.85546875" bestFit="1" customWidth="1"/>
    <col min="16" max="16" width="18.85546875" bestFit="1" customWidth="1"/>
    <col min="17" max="17" width="15" bestFit="1" customWidth="1"/>
    <col min="18" max="18" width="14.28515625" bestFit="1" customWidth="1"/>
    <col min="19" max="19" width="11" bestFit="1" customWidth="1"/>
    <col min="20" max="20" width="10.85546875" bestFit="1" customWidth="1"/>
    <col min="21" max="21" width="11.5703125" bestFit="1" customWidth="1"/>
    <col min="22" max="22" width="11.85546875" bestFit="1" customWidth="1"/>
    <col min="23" max="23" width="12.140625" bestFit="1" customWidth="1"/>
    <col min="24" max="24" width="11.140625" bestFit="1" customWidth="1"/>
  </cols>
  <sheetData>
    <row r="1" spans="1:24" ht="15.75" x14ac:dyDescent="0.25">
      <c r="A1" s="22" t="s">
        <v>181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x14ac:dyDescent="0.25">
      <c r="A2" s="22" t="s">
        <v>353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">
      <c r="A3" s="9" t="s">
        <v>3</v>
      </c>
      <c r="B3" s="9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">
      <c r="A4" s="9" t="s">
        <v>5</v>
      </c>
      <c r="B4" s="9" t="s">
        <v>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">
      <c r="A5" s="4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">
      <c r="A6" s="9" t="s">
        <v>6</v>
      </c>
      <c r="B6" s="23" t="s">
        <v>7</v>
      </c>
      <c r="C6" s="23" t="s">
        <v>8</v>
      </c>
      <c r="D6" s="23" t="s">
        <v>9</v>
      </c>
      <c r="E6" s="23" t="s">
        <v>10</v>
      </c>
      <c r="F6" s="23" t="s">
        <v>11</v>
      </c>
      <c r="G6" s="23" t="s">
        <v>12</v>
      </c>
      <c r="H6" s="23" t="s">
        <v>13</v>
      </c>
      <c r="I6" s="23" t="s">
        <v>14</v>
      </c>
      <c r="J6" s="23" t="s">
        <v>15</v>
      </c>
      <c r="K6" s="23" t="s">
        <v>16</v>
      </c>
      <c r="L6" s="23" t="s">
        <v>17</v>
      </c>
      <c r="M6" s="23" t="s">
        <v>18</v>
      </c>
      <c r="N6" s="23" t="s">
        <v>19</v>
      </c>
      <c r="O6" s="23" t="s">
        <v>20</v>
      </c>
      <c r="P6" s="23" t="s">
        <v>21</v>
      </c>
      <c r="Q6" s="23" t="s">
        <v>22</v>
      </c>
      <c r="R6" s="23" t="s">
        <v>23</v>
      </c>
      <c r="S6" s="23" t="s">
        <v>24</v>
      </c>
      <c r="T6" s="23" t="s">
        <v>25</v>
      </c>
      <c r="U6" s="23" t="s">
        <v>26</v>
      </c>
      <c r="V6" s="23" t="s">
        <v>27</v>
      </c>
      <c r="W6" s="23" t="s">
        <v>28</v>
      </c>
      <c r="X6" s="23" t="s">
        <v>354</v>
      </c>
    </row>
    <row r="7" spans="1:24" x14ac:dyDescent="0.2">
      <c r="A7" s="9" t="s">
        <v>6</v>
      </c>
      <c r="B7" s="23" t="s">
        <v>355</v>
      </c>
      <c r="C7" s="23" t="s">
        <v>355</v>
      </c>
      <c r="D7" s="23" t="s">
        <v>355</v>
      </c>
      <c r="E7" s="23" t="s">
        <v>355</v>
      </c>
      <c r="F7" s="23" t="s">
        <v>355</v>
      </c>
      <c r="G7" s="23" t="s">
        <v>355</v>
      </c>
      <c r="H7" s="23" t="s">
        <v>355</v>
      </c>
      <c r="I7" s="23" t="s">
        <v>355</v>
      </c>
      <c r="J7" s="23" t="s">
        <v>355</v>
      </c>
      <c r="K7" s="23" t="s">
        <v>355</v>
      </c>
      <c r="L7" s="23" t="s">
        <v>355</v>
      </c>
      <c r="M7" s="23" t="s">
        <v>355</v>
      </c>
      <c r="N7" s="23" t="s">
        <v>355</v>
      </c>
      <c r="O7" s="23" t="s">
        <v>355</v>
      </c>
      <c r="P7" s="23" t="s">
        <v>355</v>
      </c>
      <c r="Q7" s="23" t="s">
        <v>355</v>
      </c>
      <c r="R7" s="23" t="s">
        <v>355</v>
      </c>
      <c r="S7" s="23" t="s">
        <v>355</v>
      </c>
      <c r="T7" s="23" t="s">
        <v>355</v>
      </c>
      <c r="U7" s="23" t="s">
        <v>355</v>
      </c>
      <c r="V7" s="23" t="s">
        <v>355</v>
      </c>
      <c r="W7" s="23" t="s">
        <v>355</v>
      </c>
      <c r="X7" s="23" t="s">
        <v>355</v>
      </c>
    </row>
    <row r="8" spans="1:24" x14ac:dyDescent="0.2">
      <c r="A8" s="9" t="s">
        <v>6</v>
      </c>
      <c r="B8" s="24" t="s">
        <v>4</v>
      </c>
      <c r="C8" s="24" t="s">
        <v>4</v>
      </c>
      <c r="D8" s="24" t="s">
        <v>4</v>
      </c>
      <c r="E8" s="24" t="s">
        <v>4</v>
      </c>
      <c r="F8" s="24" t="s">
        <v>4</v>
      </c>
      <c r="G8" s="24" t="s">
        <v>4</v>
      </c>
      <c r="H8" s="24" t="s">
        <v>4</v>
      </c>
      <c r="I8" s="24" t="s">
        <v>4</v>
      </c>
      <c r="J8" s="24" t="s">
        <v>4</v>
      </c>
      <c r="K8" s="24" t="s">
        <v>4</v>
      </c>
      <c r="L8" s="24" t="s">
        <v>4</v>
      </c>
      <c r="M8" s="24" t="s">
        <v>4</v>
      </c>
      <c r="N8" s="24" t="s">
        <v>4</v>
      </c>
      <c r="O8" s="24" t="s">
        <v>4</v>
      </c>
      <c r="P8" s="24" t="s">
        <v>4</v>
      </c>
      <c r="Q8" s="24" t="s">
        <v>4</v>
      </c>
      <c r="R8" s="24" t="s">
        <v>4</v>
      </c>
      <c r="S8" s="24" t="s">
        <v>4</v>
      </c>
      <c r="T8" s="24" t="s">
        <v>4</v>
      </c>
      <c r="U8" s="24" t="s">
        <v>4</v>
      </c>
      <c r="V8" s="24" t="s">
        <v>4</v>
      </c>
      <c r="W8" s="24" t="s">
        <v>4</v>
      </c>
      <c r="X8" s="24" t="s">
        <v>4</v>
      </c>
    </row>
    <row r="9" spans="1:24" x14ac:dyDescent="0.2">
      <c r="A9" s="25" t="s">
        <v>6</v>
      </c>
      <c r="B9" s="26" t="s">
        <v>6</v>
      </c>
      <c r="C9" s="26" t="s">
        <v>6</v>
      </c>
      <c r="D9" s="26" t="s">
        <v>6</v>
      </c>
      <c r="E9" s="26" t="s">
        <v>6</v>
      </c>
      <c r="F9" s="26" t="s">
        <v>6</v>
      </c>
      <c r="G9" s="26" t="s">
        <v>6</v>
      </c>
      <c r="H9" s="26" t="s">
        <v>6</v>
      </c>
      <c r="I9" s="26" t="s">
        <v>6</v>
      </c>
      <c r="J9" s="26" t="s">
        <v>6</v>
      </c>
      <c r="K9" s="26" t="s">
        <v>6</v>
      </c>
      <c r="L9" s="26" t="s">
        <v>6</v>
      </c>
      <c r="M9" s="26" t="s">
        <v>6</v>
      </c>
      <c r="N9" s="26" t="s">
        <v>6</v>
      </c>
      <c r="O9" s="26" t="s">
        <v>6</v>
      </c>
      <c r="P9" s="26" t="s">
        <v>6</v>
      </c>
      <c r="Q9" s="26" t="s">
        <v>6</v>
      </c>
      <c r="R9" s="26" t="s">
        <v>6</v>
      </c>
      <c r="S9" s="26" t="s">
        <v>6</v>
      </c>
      <c r="T9" s="26" t="s">
        <v>6</v>
      </c>
      <c r="U9" s="26" t="s">
        <v>6</v>
      </c>
      <c r="V9" s="26" t="s">
        <v>6</v>
      </c>
      <c r="W9" s="26" t="s">
        <v>6</v>
      </c>
      <c r="X9" s="26" t="s">
        <v>6</v>
      </c>
    </row>
    <row r="10" spans="1:24" x14ac:dyDescent="0.2">
      <c r="A10" s="27" t="s">
        <v>356</v>
      </c>
      <c r="B10" s="27" t="s">
        <v>32</v>
      </c>
      <c r="C10" s="27" t="s">
        <v>32</v>
      </c>
      <c r="D10" s="27" t="s">
        <v>32</v>
      </c>
      <c r="E10" s="27" t="s">
        <v>32</v>
      </c>
      <c r="F10" s="27" t="s">
        <v>32</v>
      </c>
      <c r="G10" s="27" t="s">
        <v>32</v>
      </c>
      <c r="H10" s="27" t="s">
        <v>32</v>
      </c>
      <c r="I10" s="27" t="s">
        <v>32</v>
      </c>
      <c r="J10" s="27" t="s">
        <v>32</v>
      </c>
      <c r="K10" s="27" t="s">
        <v>32</v>
      </c>
      <c r="L10" s="27" t="s">
        <v>32</v>
      </c>
      <c r="M10" s="27" t="s">
        <v>32</v>
      </c>
      <c r="N10" s="27" t="s">
        <v>32</v>
      </c>
      <c r="O10" s="27" t="s">
        <v>32</v>
      </c>
      <c r="P10" s="27" t="s">
        <v>32</v>
      </c>
      <c r="Q10" s="27" t="s">
        <v>32</v>
      </c>
      <c r="R10" s="27" t="s">
        <v>32</v>
      </c>
      <c r="S10" s="27" t="s">
        <v>32</v>
      </c>
      <c r="T10" s="27" t="s">
        <v>32</v>
      </c>
      <c r="U10" s="27" t="s">
        <v>32</v>
      </c>
      <c r="V10" s="27" t="s">
        <v>32</v>
      </c>
      <c r="W10" s="27" t="s">
        <v>32</v>
      </c>
      <c r="X10" s="27" t="s">
        <v>32</v>
      </c>
    </row>
    <row r="11" spans="1:24" x14ac:dyDescent="0.2">
      <c r="A11" s="9" t="s">
        <v>357</v>
      </c>
      <c r="B11" s="9" t="s">
        <v>70</v>
      </c>
      <c r="C11" s="9" t="s">
        <v>70</v>
      </c>
      <c r="D11" s="9" t="s">
        <v>70</v>
      </c>
      <c r="E11" s="9" t="s">
        <v>70</v>
      </c>
      <c r="F11" s="9" t="s">
        <v>70</v>
      </c>
      <c r="G11" s="9" t="s">
        <v>70</v>
      </c>
      <c r="H11" s="9" t="s">
        <v>70</v>
      </c>
      <c r="I11" s="9" t="s">
        <v>70</v>
      </c>
      <c r="J11" s="9" t="s">
        <v>70</v>
      </c>
      <c r="K11" s="9" t="s">
        <v>70</v>
      </c>
      <c r="L11" s="9" t="s">
        <v>70</v>
      </c>
      <c r="M11" s="9" t="s">
        <v>70</v>
      </c>
      <c r="N11" s="9" t="s">
        <v>70</v>
      </c>
      <c r="O11" s="9" t="s">
        <v>70</v>
      </c>
      <c r="P11" s="9" t="s">
        <v>70</v>
      </c>
      <c r="Q11" s="9" t="s">
        <v>70</v>
      </c>
      <c r="R11" s="9" t="s">
        <v>70</v>
      </c>
      <c r="S11" s="9" t="s">
        <v>70</v>
      </c>
      <c r="T11" s="9" t="s">
        <v>70</v>
      </c>
      <c r="U11" s="9" t="s">
        <v>70</v>
      </c>
      <c r="V11" s="9" t="s">
        <v>70</v>
      </c>
      <c r="W11" s="9" t="s">
        <v>70</v>
      </c>
      <c r="X11" s="9" t="s">
        <v>70</v>
      </c>
    </row>
    <row r="12" spans="1:24" x14ac:dyDescent="0.2">
      <c r="A12" s="9" t="s">
        <v>358</v>
      </c>
      <c r="B12" s="28">
        <v>41892.86</v>
      </c>
      <c r="C12" s="28">
        <v>-14179</v>
      </c>
      <c r="D12" s="28">
        <v>-15593.3</v>
      </c>
      <c r="E12" s="28">
        <v>226565.01</v>
      </c>
      <c r="F12" s="28">
        <v>-1950.52</v>
      </c>
      <c r="G12" s="28">
        <v>-15078.1</v>
      </c>
      <c r="H12" s="28">
        <v>-4019.01</v>
      </c>
      <c r="I12" s="28">
        <v>-16077.88</v>
      </c>
      <c r="J12" s="28">
        <v>-49100.17</v>
      </c>
      <c r="K12" s="28">
        <v>-42282.06</v>
      </c>
      <c r="L12" s="28">
        <v>-13566.97</v>
      </c>
      <c r="M12" s="28">
        <v>419394.52</v>
      </c>
      <c r="N12" s="28">
        <v>-175927.25</v>
      </c>
      <c r="O12" s="28">
        <v>-202789.59</v>
      </c>
      <c r="P12" s="28">
        <v>-18106.75</v>
      </c>
      <c r="Q12" s="28">
        <v>416649.55</v>
      </c>
      <c r="R12" s="28">
        <v>99.8</v>
      </c>
      <c r="S12" s="28">
        <v>-12900.9</v>
      </c>
      <c r="T12" s="28">
        <v>-4232.2</v>
      </c>
      <c r="U12" s="28">
        <v>-3097.84</v>
      </c>
      <c r="V12" s="28">
        <v>-7850.56</v>
      </c>
      <c r="W12" s="28">
        <v>1738.06</v>
      </c>
      <c r="X12" s="28">
        <v>509587.7</v>
      </c>
    </row>
    <row r="13" spans="1:24" x14ac:dyDescent="0.2">
      <c r="A13" s="9" t="s">
        <v>359</v>
      </c>
      <c r="B13" s="28">
        <v>1814015.65</v>
      </c>
      <c r="C13" s="28">
        <v>953018.25</v>
      </c>
      <c r="D13" s="28">
        <v>698981.18</v>
      </c>
      <c r="E13" s="28">
        <v>872355.36</v>
      </c>
      <c r="F13" s="28">
        <v>1161175.2</v>
      </c>
      <c r="G13" s="28">
        <v>941867.03</v>
      </c>
      <c r="H13" s="28">
        <v>775883.73</v>
      </c>
      <c r="I13" s="28">
        <v>670641.59</v>
      </c>
      <c r="J13" s="28">
        <v>254859.61</v>
      </c>
      <c r="K13" s="28">
        <v>861451.76</v>
      </c>
      <c r="L13" s="28">
        <v>1356956.98</v>
      </c>
      <c r="M13" s="28">
        <v>1739151.19</v>
      </c>
      <c r="N13" s="28">
        <v>1296455.3400000001</v>
      </c>
      <c r="O13" s="28">
        <v>804064.39</v>
      </c>
      <c r="P13" s="28">
        <v>998859.99</v>
      </c>
      <c r="Q13" s="28">
        <v>955814.03</v>
      </c>
      <c r="R13" s="28">
        <v>17527.73</v>
      </c>
      <c r="S13" s="28">
        <v>137339.76</v>
      </c>
      <c r="T13" s="28">
        <v>37726.639999999999</v>
      </c>
      <c r="U13" s="28">
        <v>-446.05</v>
      </c>
      <c r="V13" s="28">
        <v>10137.57</v>
      </c>
      <c r="W13" s="28">
        <v>2214.62</v>
      </c>
      <c r="X13" s="28">
        <v>16360051.550000001</v>
      </c>
    </row>
    <row r="14" spans="1:24" x14ac:dyDescent="0.2">
      <c r="A14" s="9" t="s">
        <v>360</v>
      </c>
      <c r="B14" s="28">
        <v>50702.32</v>
      </c>
      <c r="C14" s="28">
        <v>36389.47</v>
      </c>
      <c r="D14" s="28">
        <v>32405.74</v>
      </c>
      <c r="E14" s="28">
        <v>31882.400000000001</v>
      </c>
      <c r="F14" s="28">
        <v>33888.42</v>
      </c>
      <c r="G14" s="28">
        <v>23341.01</v>
      </c>
      <c r="H14" s="28">
        <v>28693.48</v>
      </c>
      <c r="I14" s="28">
        <v>33408.57</v>
      </c>
      <c r="J14" s="28">
        <v>22392.959999999999</v>
      </c>
      <c r="K14" s="28">
        <v>32903.360000000001</v>
      </c>
      <c r="L14" s="28">
        <v>27358.61</v>
      </c>
      <c r="M14" s="28">
        <v>66475.66</v>
      </c>
      <c r="N14" s="28">
        <v>50045.39</v>
      </c>
      <c r="O14" s="28">
        <v>47056.46</v>
      </c>
      <c r="P14" s="28">
        <v>39239.800000000003</v>
      </c>
      <c r="Q14" s="28">
        <v>30859.43</v>
      </c>
      <c r="R14" s="28">
        <v>18545.22</v>
      </c>
      <c r="S14" s="28">
        <v>21546.26</v>
      </c>
      <c r="T14" s="28">
        <v>20652.71</v>
      </c>
      <c r="U14" s="28">
        <v>29623.06</v>
      </c>
      <c r="V14" s="28">
        <v>22519.93</v>
      </c>
      <c r="W14" s="28">
        <v>2856.63</v>
      </c>
      <c r="X14" s="28">
        <v>702786.89</v>
      </c>
    </row>
    <row r="15" spans="1:24" x14ac:dyDescent="0.2">
      <c r="A15" s="9" t="s">
        <v>361</v>
      </c>
      <c r="B15" s="28">
        <v>-338597.07</v>
      </c>
      <c r="C15" s="28">
        <v>-310581.06</v>
      </c>
      <c r="D15" s="28">
        <v>-355072.2</v>
      </c>
      <c r="E15" s="28">
        <v>-634450.22</v>
      </c>
      <c r="F15" s="28">
        <v>-322904.93</v>
      </c>
      <c r="G15" s="28">
        <v>-472107.21</v>
      </c>
      <c r="H15" s="28">
        <v>-282608.34000000003</v>
      </c>
      <c r="I15" s="28">
        <v>-557699.68999999994</v>
      </c>
      <c r="J15" s="28">
        <v>-604630.26</v>
      </c>
      <c r="K15" s="28">
        <v>-696831.65</v>
      </c>
      <c r="L15" s="28">
        <v>-323745.95</v>
      </c>
      <c r="M15" s="28">
        <v>-318482.32</v>
      </c>
      <c r="N15" s="28">
        <v>-591122.52</v>
      </c>
      <c r="O15" s="28">
        <v>-570633.97</v>
      </c>
      <c r="P15" s="28">
        <v>-882760.22</v>
      </c>
      <c r="Q15" s="28">
        <v>-1106075.8899999999</v>
      </c>
      <c r="R15" s="28">
        <v>-44484.78</v>
      </c>
      <c r="S15" s="28">
        <v>-160017.13</v>
      </c>
      <c r="T15" s="28">
        <v>-251320.37</v>
      </c>
      <c r="U15" s="28">
        <v>37579.32</v>
      </c>
      <c r="V15" s="28">
        <v>70437.100000000006</v>
      </c>
      <c r="W15" s="28">
        <v>-73434.929999999993</v>
      </c>
      <c r="X15" s="28">
        <v>-8789544.2899999991</v>
      </c>
    </row>
    <row r="16" spans="1:24" x14ac:dyDescent="0.2">
      <c r="A16" s="9" t="s">
        <v>362</v>
      </c>
      <c r="B16" s="28">
        <v>-2815.5</v>
      </c>
      <c r="C16" s="28">
        <v>7017.82</v>
      </c>
      <c r="D16" s="28">
        <v>-4134.6099999999997</v>
      </c>
      <c r="E16" s="28">
        <v>2661.37</v>
      </c>
      <c r="F16" s="28">
        <v>6304.75</v>
      </c>
      <c r="G16" s="28">
        <v>-20064.71</v>
      </c>
      <c r="H16" s="28">
        <v>535.02</v>
      </c>
      <c r="I16" s="28">
        <v>1246.67</v>
      </c>
      <c r="J16" s="28">
        <v>10194.16</v>
      </c>
      <c r="K16" s="28">
        <v>592.80999999999995</v>
      </c>
      <c r="L16" s="28">
        <v>8664.31</v>
      </c>
      <c r="M16" s="28">
        <v>21689.279999999999</v>
      </c>
      <c r="N16" s="28">
        <v>9557.3700000000008</v>
      </c>
      <c r="O16" s="28">
        <v>4596</v>
      </c>
      <c r="P16" s="28">
        <v>7214.61</v>
      </c>
      <c r="Q16" s="28">
        <v>26626</v>
      </c>
      <c r="R16" s="28">
        <v>0</v>
      </c>
      <c r="S16" s="28">
        <v>2913.02</v>
      </c>
      <c r="T16" s="28">
        <v>0</v>
      </c>
      <c r="U16" s="28">
        <v>0</v>
      </c>
      <c r="V16" s="28">
        <v>3504.97</v>
      </c>
      <c r="W16" s="28">
        <v>-5.43</v>
      </c>
      <c r="X16" s="28">
        <v>86297.91</v>
      </c>
    </row>
    <row r="17" spans="1:24" x14ac:dyDescent="0.2">
      <c r="A17" s="9" t="s">
        <v>363</v>
      </c>
      <c r="B17" s="29">
        <v>1565198.26</v>
      </c>
      <c r="C17" s="29">
        <v>671665.48</v>
      </c>
      <c r="D17" s="29">
        <v>356586.81</v>
      </c>
      <c r="E17" s="29">
        <v>499013.92</v>
      </c>
      <c r="F17" s="29">
        <v>876512.92</v>
      </c>
      <c r="G17" s="29">
        <v>457958.02</v>
      </c>
      <c r="H17" s="29">
        <v>518484.88</v>
      </c>
      <c r="I17" s="29">
        <v>131519.26</v>
      </c>
      <c r="J17" s="29">
        <v>-366283.7</v>
      </c>
      <c r="K17" s="29">
        <v>155834.22</v>
      </c>
      <c r="L17" s="29">
        <v>1055666.98</v>
      </c>
      <c r="M17" s="29">
        <v>1928228.33</v>
      </c>
      <c r="N17" s="29">
        <v>589008.32999999996</v>
      </c>
      <c r="O17" s="29">
        <v>82293.289999999994</v>
      </c>
      <c r="P17" s="29">
        <v>144447.43</v>
      </c>
      <c r="Q17" s="29">
        <v>323873.12</v>
      </c>
      <c r="R17" s="29">
        <v>-8312.0300000000007</v>
      </c>
      <c r="S17" s="29">
        <v>-11118.99</v>
      </c>
      <c r="T17" s="29">
        <v>-197173.22</v>
      </c>
      <c r="U17" s="29">
        <v>63658.49</v>
      </c>
      <c r="V17" s="29">
        <v>98749.01</v>
      </c>
      <c r="W17" s="29">
        <v>-66631.05</v>
      </c>
      <c r="X17" s="29">
        <v>8869179.7599999998</v>
      </c>
    </row>
    <row r="18" spans="1:24" x14ac:dyDescent="0.2">
      <c r="A18" s="9" t="s">
        <v>364</v>
      </c>
      <c r="B18" s="30" t="s">
        <v>70</v>
      </c>
      <c r="C18" s="30" t="s">
        <v>70</v>
      </c>
      <c r="D18" s="30" t="s">
        <v>70</v>
      </c>
      <c r="E18" s="30" t="s">
        <v>70</v>
      </c>
      <c r="F18" s="30" t="s">
        <v>70</v>
      </c>
      <c r="G18" s="30" t="s">
        <v>70</v>
      </c>
      <c r="H18" s="30" t="s">
        <v>70</v>
      </c>
      <c r="I18" s="30" t="s">
        <v>70</v>
      </c>
      <c r="J18" s="30" t="s">
        <v>70</v>
      </c>
      <c r="K18" s="30" t="s">
        <v>70</v>
      </c>
      <c r="L18" s="30" t="s">
        <v>70</v>
      </c>
      <c r="M18" s="30" t="s">
        <v>70</v>
      </c>
      <c r="N18" s="30" t="s">
        <v>70</v>
      </c>
      <c r="O18" s="30" t="s">
        <v>70</v>
      </c>
      <c r="P18" s="30" t="s">
        <v>70</v>
      </c>
      <c r="Q18" s="30" t="s">
        <v>70</v>
      </c>
      <c r="R18" s="30" t="s">
        <v>70</v>
      </c>
      <c r="S18" s="30" t="s">
        <v>70</v>
      </c>
      <c r="T18" s="30" t="s">
        <v>70</v>
      </c>
      <c r="U18" s="30" t="s">
        <v>70</v>
      </c>
      <c r="V18" s="30" t="s">
        <v>70</v>
      </c>
      <c r="W18" s="30" t="s">
        <v>70</v>
      </c>
      <c r="X18" s="30" t="s">
        <v>70</v>
      </c>
    </row>
    <row r="19" spans="1:24" x14ac:dyDescent="0.2">
      <c r="A19" s="9" t="s">
        <v>365</v>
      </c>
      <c r="B19" s="9" t="s">
        <v>366</v>
      </c>
      <c r="C19" s="9" t="s">
        <v>366</v>
      </c>
      <c r="D19" s="9" t="s">
        <v>366</v>
      </c>
      <c r="E19" s="9" t="s">
        <v>366</v>
      </c>
      <c r="F19" s="9" t="s">
        <v>366</v>
      </c>
      <c r="G19" s="9" t="s">
        <v>366</v>
      </c>
      <c r="H19" s="9" t="s">
        <v>366</v>
      </c>
      <c r="I19" s="9" t="s">
        <v>366</v>
      </c>
      <c r="J19" s="9" t="s">
        <v>366</v>
      </c>
      <c r="K19" s="9" t="s">
        <v>366</v>
      </c>
      <c r="L19" s="9" t="s">
        <v>366</v>
      </c>
      <c r="M19" s="9" t="s">
        <v>366</v>
      </c>
      <c r="N19" s="9" t="s">
        <v>366</v>
      </c>
      <c r="O19" s="9" t="s">
        <v>366</v>
      </c>
      <c r="P19" s="9" t="s">
        <v>366</v>
      </c>
      <c r="Q19" s="9" t="s">
        <v>366</v>
      </c>
      <c r="R19" s="9" t="s">
        <v>366</v>
      </c>
      <c r="S19" s="9" t="s">
        <v>366</v>
      </c>
      <c r="T19" s="9" t="s">
        <v>366</v>
      </c>
      <c r="U19" s="9" t="s">
        <v>366</v>
      </c>
      <c r="V19" s="9" t="s">
        <v>366</v>
      </c>
      <c r="W19" s="9" t="s">
        <v>366</v>
      </c>
      <c r="X19" s="9" t="s">
        <v>366</v>
      </c>
    </row>
    <row r="20" spans="1:24" x14ac:dyDescent="0.2">
      <c r="A20" s="9" t="s">
        <v>367</v>
      </c>
      <c r="B20" s="28">
        <v>34421.870000000003</v>
      </c>
      <c r="C20" s="28">
        <v>11087.48</v>
      </c>
      <c r="D20" s="28">
        <v>21650</v>
      </c>
      <c r="E20" s="28">
        <v>9820</v>
      </c>
      <c r="F20" s="28">
        <v>32290</v>
      </c>
      <c r="G20" s="28">
        <v>20037</v>
      </c>
      <c r="H20" s="28">
        <v>45489.74</v>
      </c>
      <c r="I20" s="28">
        <v>96283.53</v>
      </c>
      <c r="J20" s="28">
        <v>58233.61</v>
      </c>
      <c r="K20" s="28">
        <v>39227.5</v>
      </c>
      <c r="L20" s="28">
        <v>46927.38</v>
      </c>
      <c r="M20" s="28">
        <v>31510</v>
      </c>
      <c r="N20" s="28">
        <v>70075</v>
      </c>
      <c r="O20" s="28">
        <v>345984.63</v>
      </c>
      <c r="P20" s="28">
        <v>146204.5</v>
      </c>
      <c r="Q20" s="28">
        <v>64017.32</v>
      </c>
      <c r="R20" s="28">
        <v>0</v>
      </c>
      <c r="S20" s="28">
        <v>14080</v>
      </c>
      <c r="T20" s="28">
        <v>8542.5</v>
      </c>
      <c r="U20" s="28">
        <v>26450</v>
      </c>
      <c r="V20" s="28">
        <v>52096.84</v>
      </c>
      <c r="W20" s="28">
        <v>0</v>
      </c>
      <c r="X20" s="28">
        <v>1174428.8999999999</v>
      </c>
    </row>
    <row r="21" spans="1:24" x14ac:dyDescent="0.2">
      <c r="A21" s="9" t="s">
        <v>368</v>
      </c>
      <c r="B21" s="28">
        <v>9423.5</v>
      </c>
      <c r="C21" s="28">
        <v>13498.72</v>
      </c>
      <c r="D21" s="28">
        <v>9023.5</v>
      </c>
      <c r="E21" s="28">
        <v>15800.8</v>
      </c>
      <c r="F21" s="28">
        <v>13498.72</v>
      </c>
      <c r="G21" s="28">
        <v>12906.22</v>
      </c>
      <c r="H21" s="28">
        <v>8869.5</v>
      </c>
      <c r="I21" s="28">
        <v>9234.5</v>
      </c>
      <c r="J21" s="28">
        <v>13390.35</v>
      </c>
      <c r="K21" s="28">
        <v>15891.69</v>
      </c>
      <c r="L21" s="28">
        <v>18039.64</v>
      </c>
      <c r="M21" s="28">
        <v>9813.5</v>
      </c>
      <c r="N21" s="28">
        <v>12903.09</v>
      </c>
      <c r="O21" s="28">
        <v>9355.5</v>
      </c>
      <c r="P21" s="28">
        <v>22756.3</v>
      </c>
      <c r="Q21" s="28">
        <v>37646.879999999997</v>
      </c>
      <c r="R21" s="28">
        <v>11503.75</v>
      </c>
      <c r="S21" s="28">
        <v>14408.89</v>
      </c>
      <c r="T21" s="28">
        <v>8837</v>
      </c>
      <c r="U21" s="28">
        <v>8916</v>
      </c>
      <c r="V21" s="28">
        <v>8758</v>
      </c>
      <c r="W21" s="28">
        <v>0</v>
      </c>
      <c r="X21" s="28">
        <v>284476.05</v>
      </c>
    </row>
    <row r="22" spans="1:24" x14ac:dyDescent="0.2">
      <c r="A22" s="9" t="s">
        <v>369</v>
      </c>
      <c r="B22" s="28">
        <v>55870</v>
      </c>
      <c r="C22" s="28">
        <v>4818.72</v>
      </c>
      <c r="D22" s="28">
        <v>59233</v>
      </c>
      <c r="E22" s="28">
        <v>0</v>
      </c>
      <c r="F22" s="28">
        <v>0</v>
      </c>
      <c r="G22" s="28">
        <v>55870</v>
      </c>
      <c r="H22" s="28">
        <v>0</v>
      </c>
      <c r="I22" s="28">
        <v>0</v>
      </c>
      <c r="J22" s="28">
        <v>4818.4399999999996</v>
      </c>
      <c r="K22" s="28">
        <v>0</v>
      </c>
      <c r="L22" s="28">
        <v>0</v>
      </c>
      <c r="M22" s="28">
        <v>14818.44</v>
      </c>
      <c r="N22" s="28">
        <v>0</v>
      </c>
      <c r="O22" s="28">
        <v>61450.94</v>
      </c>
      <c r="P22" s="28">
        <v>0</v>
      </c>
      <c r="Q22" s="28">
        <v>58795</v>
      </c>
      <c r="R22" s="28">
        <v>2594.8200000000002</v>
      </c>
      <c r="S22" s="28">
        <v>0</v>
      </c>
      <c r="T22" s="28">
        <v>0</v>
      </c>
      <c r="U22" s="28">
        <v>0</v>
      </c>
      <c r="V22" s="28">
        <v>0</v>
      </c>
      <c r="W22" s="28">
        <v>0</v>
      </c>
      <c r="X22" s="28">
        <v>318269.36</v>
      </c>
    </row>
    <row r="23" spans="1:24" x14ac:dyDescent="0.2">
      <c r="A23" s="9" t="s">
        <v>370</v>
      </c>
      <c r="B23" s="28">
        <v>2925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1355</v>
      </c>
      <c r="L23" s="28">
        <v>0</v>
      </c>
      <c r="M23" s="28">
        <v>0</v>
      </c>
      <c r="N23" s="28">
        <v>6752.15</v>
      </c>
      <c r="O23" s="28">
        <v>0</v>
      </c>
      <c r="P23" s="28">
        <v>0</v>
      </c>
      <c r="Q23" s="28">
        <v>0</v>
      </c>
      <c r="R23" s="28">
        <v>0</v>
      </c>
      <c r="S23" s="28">
        <v>3051.12</v>
      </c>
      <c r="T23" s="28">
        <v>0</v>
      </c>
      <c r="U23" s="28">
        <v>0</v>
      </c>
      <c r="V23" s="28">
        <v>0</v>
      </c>
      <c r="W23" s="28">
        <v>0</v>
      </c>
      <c r="X23" s="28">
        <v>14083.27</v>
      </c>
    </row>
    <row r="24" spans="1:24" x14ac:dyDescent="0.2">
      <c r="A24" s="9" t="s">
        <v>371</v>
      </c>
      <c r="B24" s="28">
        <v>0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74975</v>
      </c>
      <c r="O24" s="28">
        <v>0</v>
      </c>
      <c r="P24" s="28">
        <v>380000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454975</v>
      </c>
    </row>
    <row r="25" spans="1:24" x14ac:dyDescent="0.2">
      <c r="A25" s="9" t="s">
        <v>372</v>
      </c>
      <c r="B25" s="31">
        <v>102640.37</v>
      </c>
      <c r="C25" s="31">
        <v>29404.92</v>
      </c>
      <c r="D25" s="31">
        <v>89906.5</v>
      </c>
      <c r="E25" s="31">
        <v>25620.799999999999</v>
      </c>
      <c r="F25" s="31">
        <v>45788.72</v>
      </c>
      <c r="G25" s="31">
        <v>88813.22</v>
      </c>
      <c r="H25" s="31">
        <v>54359.24</v>
      </c>
      <c r="I25" s="31">
        <v>105518.03</v>
      </c>
      <c r="J25" s="31">
        <v>76442.399999999994</v>
      </c>
      <c r="K25" s="31">
        <v>56474.19</v>
      </c>
      <c r="L25" s="31">
        <v>64967.02</v>
      </c>
      <c r="M25" s="31">
        <v>56141.94</v>
      </c>
      <c r="N25" s="31">
        <v>164705.24</v>
      </c>
      <c r="O25" s="31">
        <v>416791.07</v>
      </c>
      <c r="P25" s="31">
        <v>548960.80000000005</v>
      </c>
      <c r="Q25" s="31">
        <v>160459.20000000001</v>
      </c>
      <c r="R25" s="31">
        <v>14098.57</v>
      </c>
      <c r="S25" s="31">
        <v>31540.01</v>
      </c>
      <c r="T25" s="31">
        <v>17379.5</v>
      </c>
      <c r="U25" s="31">
        <v>35366</v>
      </c>
      <c r="V25" s="31">
        <v>60854.84</v>
      </c>
      <c r="W25" s="31">
        <v>0</v>
      </c>
      <c r="X25" s="31">
        <v>2246232.58</v>
      </c>
    </row>
    <row r="26" spans="1:24" x14ac:dyDescent="0.2">
      <c r="A26" s="9" t="s">
        <v>373</v>
      </c>
      <c r="B26" s="28">
        <v>8098.48</v>
      </c>
      <c r="C26" s="28">
        <v>2187.98</v>
      </c>
      <c r="D26" s="28">
        <v>7597.88</v>
      </c>
      <c r="E26" s="28">
        <v>1774.57</v>
      </c>
      <c r="F26" s="28">
        <v>2846.53</v>
      </c>
      <c r="G26" s="28">
        <v>7430.72</v>
      </c>
      <c r="H26" s="28">
        <v>3113.23</v>
      </c>
      <c r="I26" s="28">
        <v>4668.1099999999997</v>
      </c>
      <c r="J26" s="28">
        <v>4076.56</v>
      </c>
      <c r="K26" s="28">
        <v>3390.31</v>
      </c>
      <c r="L26" s="28">
        <v>3679.48</v>
      </c>
      <c r="M26" s="28">
        <v>3884.53</v>
      </c>
      <c r="N26" s="28">
        <v>4063.75</v>
      </c>
      <c r="O26" s="28">
        <v>10961.33</v>
      </c>
      <c r="P26" s="28">
        <v>7472.99</v>
      </c>
      <c r="Q26" s="28">
        <v>11938.23</v>
      </c>
      <c r="R26" s="28">
        <v>1468.13</v>
      </c>
      <c r="S26" s="28">
        <v>2129.1799999999998</v>
      </c>
      <c r="T26" s="28">
        <v>1386.92</v>
      </c>
      <c r="U26" s="28">
        <v>2475.62</v>
      </c>
      <c r="V26" s="28">
        <v>2273.02</v>
      </c>
      <c r="W26" s="28">
        <v>0</v>
      </c>
      <c r="X26" s="28">
        <v>96917.55</v>
      </c>
    </row>
    <row r="27" spans="1:24" x14ac:dyDescent="0.2">
      <c r="A27" s="9" t="s">
        <v>374</v>
      </c>
      <c r="B27" s="29">
        <v>94541.89</v>
      </c>
      <c r="C27" s="29">
        <v>27216.94</v>
      </c>
      <c r="D27" s="29">
        <v>82308.62</v>
      </c>
      <c r="E27" s="29">
        <v>23846.23</v>
      </c>
      <c r="F27" s="29">
        <v>42942.19</v>
      </c>
      <c r="G27" s="29">
        <v>81382.5</v>
      </c>
      <c r="H27" s="29">
        <v>51246.01</v>
      </c>
      <c r="I27" s="29">
        <v>100849.92</v>
      </c>
      <c r="J27" s="29">
        <v>72365.84</v>
      </c>
      <c r="K27" s="29">
        <v>53083.88</v>
      </c>
      <c r="L27" s="29">
        <v>61287.54</v>
      </c>
      <c r="M27" s="29">
        <v>52257.41</v>
      </c>
      <c r="N27" s="29">
        <v>160641.49</v>
      </c>
      <c r="O27" s="29">
        <v>405829.74</v>
      </c>
      <c r="P27" s="29">
        <v>541487.81000000006</v>
      </c>
      <c r="Q27" s="29">
        <v>148520.97</v>
      </c>
      <c r="R27" s="29">
        <v>12630.44</v>
      </c>
      <c r="S27" s="29">
        <v>29410.83</v>
      </c>
      <c r="T27" s="29">
        <v>15992.58</v>
      </c>
      <c r="U27" s="29">
        <v>32890.379999999997</v>
      </c>
      <c r="V27" s="29">
        <v>58581.82</v>
      </c>
      <c r="W27" s="29">
        <v>0</v>
      </c>
      <c r="X27" s="29">
        <v>2149315.0299999998</v>
      </c>
    </row>
    <row r="28" spans="1:24" x14ac:dyDescent="0.2">
      <c r="A28" s="9" t="s">
        <v>375</v>
      </c>
      <c r="B28" s="30" t="s">
        <v>70</v>
      </c>
      <c r="C28" s="30" t="s">
        <v>70</v>
      </c>
      <c r="D28" s="30" t="s">
        <v>70</v>
      </c>
      <c r="E28" s="30" t="s">
        <v>70</v>
      </c>
      <c r="F28" s="30" t="s">
        <v>70</v>
      </c>
      <c r="G28" s="30" t="s">
        <v>70</v>
      </c>
      <c r="H28" s="30" t="s">
        <v>70</v>
      </c>
      <c r="I28" s="30" t="s">
        <v>70</v>
      </c>
      <c r="J28" s="30" t="s">
        <v>70</v>
      </c>
      <c r="K28" s="30" t="s">
        <v>70</v>
      </c>
      <c r="L28" s="30" t="s">
        <v>70</v>
      </c>
      <c r="M28" s="30" t="s">
        <v>70</v>
      </c>
      <c r="N28" s="30" t="s">
        <v>70</v>
      </c>
      <c r="O28" s="30" t="s">
        <v>70</v>
      </c>
      <c r="P28" s="30" t="s">
        <v>70</v>
      </c>
      <c r="Q28" s="30" t="s">
        <v>70</v>
      </c>
      <c r="R28" s="30" t="s">
        <v>70</v>
      </c>
      <c r="S28" s="30" t="s">
        <v>70</v>
      </c>
      <c r="T28" s="30" t="s">
        <v>70</v>
      </c>
      <c r="U28" s="30" t="s">
        <v>70</v>
      </c>
      <c r="V28" s="30" t="s">
        <v>70</v>
      </c>
      <c r="W28" s="30" t="s">
        <v>70</v>
      </c>
      <c r="X28" s="30" t="s">
        <v>70</v>
      </c>
    </row>
    <row r="29" spans="1:24" x14ac:dyDescent="0.2">
      <c r="A29" s="9" t="s">
        <v>376</v>
      </c>
      <c r="B29" s="28">
        <v>4700.0200000000004</v>
      </c>
      <c r="C29" s="28">
        <v>4700</v>
      </c>
      <c r="D29" s="28">
        <v>4700.0200000000004</v>
      </c>
      <c r="E29" s="28">
        <v>4700.01</v>
      </c>
      <c r="F29" s="28">
        <v>4700.0200000000004</v>
      </c>
      <c r="G29" s="28">
        <v>4700.0200000000004</v>
      </c>
      <c r="H29" s="28">
        <v>4700.0200000000004</v>
      </c>
      <c r="I29" s="28">
        <v>5032.8599999999997</v>
      </c>
      <c r="J29" s="28">
        <v>5032.8599999999997</v>
      </c>
      <c r="K29" s="28">
        <v>5032.8599999999997</v>
      </c>
      <c r="L29" s="28">
        <v>5032.8599999999997</v>
      </c>
      <c r="M29" s="28">
        <v>5032.8599999999997</v>
      </c>
      <c r="N29" s="28">
        <v>5032.8599999999997</v>
      </c>
      <c r="O29" s="28">
        <v>5032.8599999999997</v>
      </c>
      <c r="P29" s="28">
        <v>7644.84</v>
      </c>
      <c r="Q29" s="28">
        <v>7911.9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83686.87</v>
      </c>
    </row>
    <row r="30" spans="1:24" x14ac:dyDescent="0.2">
      <c r="A30" s="9" t="s">
        <v>377</v>
      </c>
      <c r="B30" s="29">
        <v>-4700.0200000000004</v>
      </c>
      <c r="C30" s="29">
        <v>-4700</v>
      </c>
      <c r="D30" s="29">
        <v>-4700.0200000000004</v>
      </c>
      <c r="E30" s="29">
        <v>-4700.01</v>
      </c>
      <c r="F30" s="29">
        <v>-4700.0200000000004</v>
      </c>
      <c r="G30" s="29">
        <v>-4700.0200000000004</v>
      </c>
      <c r="H30" s="29">
        <v>-4700.0200000000004</v>
      </c>
      <c r="I30" s="29">
        <v>-5032.8599999999997</v>
      </c>
      <c r="J30" s="29">
        <v>-5032.8599999999997</v>
      </c>
      <c r="K30" s="29">
        <v>-5032.8599999999997</v>
      </c>
      <c r="L30" s="29">
        <v>-5032.8599999999997</v>
      </c>
      <c r="M30" s="29">
        <v>-5032.8599999999997</v>
      </c>
      <c r="N30" s="29">
        <v>-5032.8599999999997</v>
      </c>
      <c r="O30" s="29">
        <v>-5032.8599999999997</v>
      </c>
      <c r="P30" s="29">
        <v>-7644.84</v>
      </c>
      <c r="Q30" s="29">
        <v>-7911.9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-83686.87</v>
      </c>
    </row>
    <row r="31" spans="1:24" x14ac:dyDescent="0.2">
      <c r="A31" s="9" t="s">
        <v>378</v>
      </c>
      <c r="B31" s="30" t="s">
        <v>70</v>
      </c>
      <c r="C31" s="30" t="s">
        <v>70</v>
      </c>
      <c r="D31" s="30" t="s">
        <v>70</v>
      </c>
      <c r="E31" s="30" t="s">
        <v>70</v>
      </c>
      <c r="F31" s="30" t="s">
        <v>70</v>
      </c>
      <c r="G31" s="30" t="s">
        <v>70</v>
      </c>
      <c r="H31" s="30" t="s">
        <v>70</v>
      </c>
      <c r="I31" s="30" t="s">
        <v>70</v>
      </c>
      <c r="J31" s="30" t="s">
        <v>70</v>
      </c>
      <c r="K31" s="30" t="s">
        <v>70</v>
      </c>
      <c r="L31" s="30" t="s">
        <v>70</v>
      </c>
      <c r="M31" s="30" t="s">
        <v>70</v>
      </c>
      <c r="N31" s="30" t="s">
        <v>70</v>
      </c>
      <c r="O31" s="30" t="s">
        <v>70</v>
      </c>
      <c r="P31" s="30" t="s">
        <v>70</v>
      </c>
      <c r="Q31" s="30" t="s">
        <v>70</v>
      </c>
      <c r="R31" s="30" t="s">
        <v>70</v>
      </c>
      <c r="S31" s="30" t="s">
        <v>70</v>
      </c>
      <c r="T31" s="30" t="s">
        <v>70</v>
      </c>
      <c r="U31" s="30" t="s">
        <v>70</v>
      </c>
      <c r="V31" s="30" t="s">
        <v>70</v>
      </c>
      <c r="W31" s="30" t="s">
        <v>70</v>
      </c>
      <c r="X31" s="30" t="s">
        <v>70</v>
      </c>
    </row>
    <row r="32" spans="1:24" x14ac:dyDescent="0.2">
      <c r="A32" s="9" t="s">
        <v>379</v>
      </c>
      <c r="B32" s="28">
        <v>69828.08</v>
      </c>
      <c r="C32" s="28">
        <v>35374.92</v>
      </c>
      <c r="D32" s="28">
        <v>48724.800000000003</v>
      </c>
      <c r="E32" s="28">
        <v>39239.919999999998</v>
      </c>
      <c r="F32" s="28">
        <v>65389.06</v>
      </c>
      <c r="G32" s="28">
        <v>46587.8</v>
      </c>
      <c r="H32" s="28">
        <v>42147.93</v>
      </c>
      <c r="I32" s="28">
        <v>67777.820000000007</v>
      </c>
      <c r="J32" s="28">
        <v>54308.99</v>
      </c>
      <c r="K32" s="28">
        <v>79487.210000000006</v>
      </c>
      <c r="L32" s="28">
        <v>76668.210000000006</v>
      </c>
      <c r="M32" s="28">
        <v>161430.51999999999</v>
      </c>
      <c r="N32" s="28">
        <v>118299.37</v>
      </c>
      <c r="O32" s="28">
        <v>114311.25</v>
      </c>
      <c r="P32" s="28">
        <v>101653.88</v>
      </c>
      <c r="Q32" s="28">
        <v>115193.55</v>
      </c>
      <c r="R32" s="28">
        <v>2404.4899999999998</v>
      </c>
      <c r="S32" s="28">
        <v>270.35000000000002</v>
      </c>
      <c r="T32" s="28">
        <v>3926.35</v>
      </c>
      <c r="U32" s="28">
        <v>3941.83</v>
      </c>
      <c r="V32" s="28">
        <v>8804.25</v>
      </c>
      <c r="W32" s="28">
        <v>0</v>
      </c>
      <c r="X32" s="28">
        <v>1255770.58</v>
      </c>
    </row>
    <row r="33" spans="1:24" x14ac:dyDescent="0.2">
      <c r="A33" s="9" t="s">
        <v>380</v>
      </c>
      <c r="B33" s="28">
        <v>9689.2900000000009</v>
      </c>
      <c r="C33" s="28">
        <v>9689.27</v>
      </c>
      <c r="D33" s="28">
        <v>9689.2900000000009</v>
      </c>
      <c r="E33" s="28">
        <v>9689.2900000000009</v>
      </c>
      <c r="F33" s="28">
        <v>9689.2900000000009</v>
      </c>
      <c r="G33" s="28">
        <v>9689.2900000000009</v>
      </c>
      <c r="H33" s="28">
        <v>9689.2900000000009</v>
      </c>
      <c r="I33" s="28">
        <v>10065.709999999999</v>
      </c>
      <c r="J33" s="28">
        <v>10065.709999999999</v>
      </c>
      <c r="K33" s="28">
        <v>10065.709999999999</v>
      </c>
      <c r="L33" s="28">
        <v>10065.709999999999</v>
      </c>
      <c r="M33" s="28">
        <v>10065.709999999999</v>
      </c>
      <c r="N33" s="28">
        <v>10065.709999999999</v>
      </c>
      <c r="O33" s="28">
        <v>10065.709999999999</v>
      </c>
      <c r="P33" s="28">
        <v>14205.9</v>
      </c>
      <c r="Q33" s="28">
        <v>14205.91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166696.79</v>
      </c>
    </row>
    <row r="34" spans="1:24" x14ac:dyDescent="0.2">
      <c r="A34" s="9" t="s">
        <v>381</v>
      </c>
      <c r="B34" s="29">
        <v>79517.37</v>
      </c>
      <c r="C34" s="29">
        <v>45064.19</v>
      </c>
      <c r="D34" s="29">
        <v>58414.09</v>
      </c>
      <c r="E34" s="29">
        <v>48929.21</v>
      </c>
      <c r="F34" s="29">
        <v>75078.350000000006</v>
      </c>
      <c r="G34" s="29">
        <v>56277.09</v>
      </c>
      <c r="H34" s="29">
        <v>51837.22</v>
      </c>
      <c r="I34" s="29">
        <v>77843.53</v>
      </c>
      <c r="J34" s="29">
        <v>64374.7</v>
      </c>
      <c r="K34" s="29">
        <v>89552.92</v>
      </c>
      <c r="L34" s="29">
        <v>86733.92</v>
      </c>
      <c r="M34" s="29">
        <v>171496.23</v>
      </c>
      <c r="N34" s="29">
        <v>128365.08</v>
      </c>
      <c r="O34" s="29">
        <v>124376.96000000001</v>
      </c>
      <c r="P34" s="29">
        <v>115859.78</v>
      </c>
      <c r="Q34" s="29">
        <v>129399.46</v>
      </c>
      <c r="R34" s="29">
        <v>2404.4899999999998</v>
      </c>
      <c r="S34" s="29">
        <v>270.35000000000002</v>
      </c>
      <c r="T34" s="29">
        <v>3926.35</v>
      </c>
      <c r="U34" s="29">
        <v>3941.83</v>
      </c>
      <c r="V34" s="29">
        <v>8804.25</v>
      </c>
      <c r="W34" s="29">
        <v>0</v>
      </c>
      <c r="X34" s="29">
        <v>1422467.37</v>
      </c>
    </row>
    <row r="35" spans="1:24" ht="13.5" thickBot="1" x14ac:dyDescent="0.25">
      <c r="A35" s="27" t="s">
        <v>382</v>
      </c>
      <c r="B35" s="32">
        <v>1734557.5</v>
      </c>
      <c r="C35" s="32">
        <v>739246.61</v>
      </c>
      <c r="D35" s="32">
        <v>492609.5</v>
      </c>
      <c r="E35" s="32">
        <v>567089.35</v>
      </c>
      <c r="F35" s="32">
        <v>989833.44</v>
      </c>
      <c r="G35" s="32">
        <v>590917.59</v>
      </c>
      <c r="H35" s="32">
        <v>616868.09</v>
      </c>
      <c r="I35" s="32">
        <v>305179.84999999998</v>
      </c>
      <c r="J35" s="32">
        <v>-234576.02</v>
      </c>
      <c r="K35" s="32">
        <v>293438.15999999997</v>
      </c>
      <c r="L35" s="32">
        <v>1198655.58</v>
      </c>
      <c r="M35" s="32">
        <v>2146949.11</v>
      </c>
      <c r="N35" s="32">
        <v>872982.04</v>
      </c>
      <c r="O35" s="32">
        <v>607467.13</v>
      </c>
      <c r="P35" s="32">
        <v>794150.18</v>
      </c>
      <c r="Q35" s="32">
        <v>593881.65</v>
      </c>
      <c r="R35" s="32">
        <v>6722.9</v>
      </c>
      <c r="S35" s="32">
        <v>18562.189999999999</v>
      </c>
      <c r="T35" s="32">
        <v>-177254.29</v>
      </c>
      <c r="U35" s="32">
        <v>100490.7</v>
      </c>
      <c r="V35" s="32">
        <v>166135.07999999999</v>
      </c>
      <c r="W35" s="32">
        <v>-66631.05</v>
      </c>
      <c r="X35" s="32">
        <v>12357275.289999999</v>
      </c>
    </row>
    <row r="36" spans="1:24" ht="13.5" thickTop="1" x14ac:dyDescent="0.2">
      <c r="A36" s="27" t="s">
        <v>383</v>
      </c>
      <c r="B36" s="33" t="s">
        <v>32</v>
      </c>
      <c r="C36" s="33" t="s">
        <v>32</v>
      </c>
      <c r="D36" s="33" t="s">
        <v>32</v>
      </c>
      <c r="E36" s="33" t="s">
        <v>32</v>
      </c>
      <c r="F36" s="33" t="s">
        <v>32</v>
      </c>
      <c r="G36" s="33" t="s">
        <v>32</v>
      </c>
      <c r="H36" s="33" t="s">
        <v>32</v>
      </c>
      <c r="I36" s="33" t="s">
        <v>32</v>
      </c>
      <c r="J36" s="33" t="s">
        <v>32</v>
      </c>
      <c r="K36" s="33" t="s">
        <v>32</v>
      </c>
      <c r="L36" s="33" t="s">
        <v>32</v>
      </c>
      <c r="M36" s="33" t="s">
        <v>32</v>
      </c>
      <c r="N36" s="33" t="s">
        <v>32</v>
      </c>
      <c r="O36" s="33" t="s">
        <v>32</v>
      </c>
      <c r="P36" s="33" t="s">
        <v>32</v>
      </c>
      <c r="Q36" s="33" t="s">
        <v>32</v>
      </c>
      <c r="R36" s="33" t="s">
        <v>32</v>
      </c>
      <c r="S36" s="33" t="s">
        <v>32</v>
      </c>
      <c r="T36" s="33" t="s">
        <v>32</v>
      </c>
      <c r="U36" s="33" t="s">
        <v>32</v>
      </c>
      <c r="V36" s="33" t="s">
        <v>32</v>
      </c>
      <c r="W36" s="33" t="s">
        <v>32</v>
      </c>
      <c r="X36" s="33" t="s">
        <v>32</v>
      </c>
    </row>
    <row r="37" spans="1:24" x14ac:dyDescent="0.2">
      <c r="A37" s="9" t="s">
        <v>384</v>
      </c>
      <c r="B37" s="9" t="s">
        <v>70</v>
      </c>
      <c r="C37" s="9" t="s">
        <v>70</v>
      </c>
      <c r="D37" s="9" t="s">
        <v>70</v>
      </c>
      <c r="E37" s="9" t="s">
        <v>70</v>
      </c>
      <c r="F37" s="9" t="s">
        <v>70</v>
      </c>
      <c r="G37" s="9" t="s">
        <v>70</v>
      </c>
      <c r="H37" s="9" t="s">
        <v>70</v>
      </c>
      <c r="I37" s="9" t="s">
        <v>70</v>
      </c>
      <c r="J37" s="9" t="s">
        <v>70</v>
      </c>
      <c r="K37" s="9" t="s">
        <v>70</v>
      </c>
      <c r="L37" s="9" t="s">
        <v>70</v>
      </c>
      <c r="M37" s="9" t="s">
        <v>70</v>
      </c>
      <c r="N37" s="9" t="s">
        <v>70</v>
      </c>
      <c r="O37" s="9" t="s">
        <v>70</v>
      </c>
      <c r="P37" s="9" t="s">
        <v>70</v>
      </c>
      <c r="Q37" s="9" t="s">
        <v>70</v>
      </c>
      <c r="R37" s="9" t="s">
        <v>70</v>
      </c>
      <c r="S37" s="9" t="s">
        <v>70</v>
      </c>
      <c r="T37" s="9" t="s">
        <v>70</v>
      </c>
      <c r="U37" s="9" t="s">
        <v>70</v>
      </c>
      <c r="V37" s="9" t="s">
        <v>70</v>
      </c>
      <c r="W37" s="9" t="s">
        <v>70</v>
      </c>
      <c r="X37" s="9" t="s">
        <v>70</v>
      </c>
    </row>
    <row r="38" spans="1:24" x14ac:dyDescent="0.2">
      <c r="A38" s="9" t="s">
        <v>385</v>
      </c>
      <c r="B38" s="9" t="s">
        <v>366</v>
      </c>
      <c r="C38" s="9" t="s">
        <v>366</v>
      </c>
      <c r="D38" s="9" t="s">
        <v>366</v>
      </c>
      <c r="E38" s="9" t="s">
        <v>366</v>
      </c>
      <c r="F38" s="9" t="s">
        <v>366</v>
      </c>
      <c r="G38" s="9" t="s">
        <v>366</v>
      </c>
      <c r="H38" s="9" t="s">
        <v>366</v>
      </c>
      <c r="I38" s="9" t="s">
        <v>366</v>
      </c>
      <c r="J38" s="9" t="s">
        <v>366</v>
      </c>
      <c r="K38" s="9" t="s">
        <v>366</v>
      </c>
      <c r="L38" s="9" t="s">
        <v>366</v>
      </c>
      <c r="M38" s="9" t="s">
        <v>366</v>
      </c>
      <c r="N38" s="9" t="s">
        <v>366</v>
      </c>
      <c r="O38" s="9" t="s">
        <v>366</v>
      </c>
      <c r="P38" s="9" t="s">
        <v>366</v>
      </c>
      <c r="Q38" s="9" t="s">
        <v>366</v>
      </c>
      <c r="R38" s="9" t="s">
        <v>366</v>
      </c>
      <c r="S38" s="9" t="s">
        <v>366</v>
      </c>
      <c r="T38" s="9" t="s">
        <v>366</v>
      </c>
      <c r="U38" s="9" t="s">
        <v>366</v>
      </c>
      <c r="V38" s="9" t="s">
        <v>366</v>
      </c>
      <c r="W38" s="9" t="s">
        <v>366</v>
      </c>
      <c r="X38" s="9" t="s">
        <v>366</v>
      </c>
    </row>
    <row r="39" spans="1:24" x14ac:dyDescent="0.2">
      <c r="A39" s="9" t="s">
        <v>386</v>
      </c>
      <c r="B39" s="28">
        <v>418117.26</v>
      </c>
      <c r="C39" s="28">
        <v>268932.89</v>
      </c>
      <c r="D39" s="28">
        <v>225726.09</v>
      </c>
      <c r="E39" s="28">
        <v>277787.13</v>
      </c>
      <c r="F39" s="28">
        <v>256290.57</v>
      </c>
      <c r="G39" s="28">
        <v>245441.7</v>
      </c>
      <c r="H39" s="28">
        <v>197255.1</v>
      </c>
      <c r="I39" s="28">
        <v>282244.15999999997</v>
      </c>
      <c r="J39" s="28">
        <v>155224.26999999999</v>
      </c>
      <c r="K39" s="28">
        <v>274761.64</v>
      </c>
      <c r="L39" s="28">
        <v>289998.76</v>
      </c>
      <c r="M39" s="28">
        <v>341816.35</v>
      </c>
      <c r="N39" s="28">
        <v>356236.63</v>
      </c>
      <c r="O39" s="28">
        <v>619972.52</v>
      </c>
      <c r="P39" s="28">
        <v>569069.16</v>
      </c>
      <c r="Q39" s="28">
        <v>188647.85</v>
      </c>
      <c r="R39" s="28">
        <v>30201.47</v>
      </c>
      <c r="S39" s="28">
        <v>53744.47</v>
      </c>
      <c r="T39" s="28">
        <v>42007.27</v>
      </c>
      <c r="U39" s="28">
        <v>54066.66</v>
      </c>
      <c r="V39" s="28">
        <v>65144.46</v>
      </c>
      <c r="W39" s="28">
        <v>7324.69</v>
      </c>
      <c r="X39" s="28">
        <v>5220011.0999999996</v>
      </c>
    </row>
    <row r="40" spans="1:24" x14ac:dyDescent="0.2">
      <c r="A40" s="9" t="s">
        <v>387</v>
      </c>
      <c r="B40" s="28">
        <v>136890.62</v>
      </c>
      <c r="C40" s="28">
        <v>127957.5</v>
      </c>
      <c r="D40" s="28">
        <v>107275.43</v>
      </c>
      <c r="E40" s="28">
        <v>68336.539999999994</v>
      </c>
      <c r="F40" s="28">
        <v>97615.3</v>
      </c>
      <c r="G40" s="28">
        <v>81967.22</v>
      </c>
      <c r="H40" s="28">
        <v>90829.28</v>
      </c>
      <c r="I40" s="28">
        <v>133415</v>
      </c>
      <c r="J40" s="28">
        <v>85725.73</v>
      </c>
      <c r="K40" s="28">
        <v>194796.94</v>
      </c>
      <c r="L40" s="28">
        <v>200487.75</v>
      </c>
      <c r="M40" s="28">
        <v>390291.94</v>
      </c>
      <c r="N40" s="28">
        <v>223920.7</v>
      </c>
      <c r="O40" s="28">
        <v>219593.87</v>
      </c>
      <c r="P40" s="28">
        <v>125580.28</v>
      </c>
      <c r="Q40" s="28">
        <v>186478.52</v>
      </c>
      <c r="R40" s="28">
        <v>44807.63</v>
      </c>
      <c r="S40" s="28">
        <v>46908.91</v>
      </c>
      <c r="T40" s="28">
        <v>26852.25</v>
      </c>
      <c r="U40" s="28">
        <v>46468.71</v>
      </c>
      <c r="V40" s="28">
        <v>23538.77</v>
      </c>
      <c r="W40" s="28">
        <v>1995.57</v>
      </c>
      <c r="X40" s="28">
        <v>2661734.46</v>
      </c>
    </row>
    <row r="41" spans="1:24" x14ac:dyDescent="0.2">
      <c r="A41" s="9" t="s">
        <v>388</v>
      </c>
      <c r="B41" s="28">
        <v>835900.38</v>
      </c>
      <c r="C41" s="28">
        <v>388285.6</v>
      </c>
      <c r="D41" s="28">
        <v>290473.32</v>
      </c>
      <c r="E41" s="28">
        <v>341160.89</v>
      </c>
      <c r="F41" s="28">
        <v>454646.39</v>
      </c>
      <c r="G41" s="28">
        <v>438716.46</v>
      </c>
      <c r="H41" s="28">
        <v>346327.72</v>
      </c>
      <c r="I41" s="28">
        <v>218293.4</v>
      </c>
      <c r="J41" s="28">
        <v>61847.75</v>
      </c>
      <c r="K41" s="28">
        <v>356969.87</v>
      </c>
      <c r="L41" s="28">
        <v>528983.31999999995</v>
      </c>
      <c r="M41" s="28">
        <v>524105.9</v>
      </c>
      <c r="N41" s="28">
        <v>531437.44999999995</v>
      </c>
      <c r="O41" s="28">
        <v>374954.66</v>
      </c>
      <c r="P41" s="28">
        <v>483005.79</v>
      </c>
      <c r="Q41" s="28">
        <v>496062.87</v>
      </c>
      <c r="R41" s="28">
        <v>0</v>
      </c>
      <c r="S41" s="28">
        <v>0</v>
      </c>
      <c r="T41" s="28">
        <v>0</v>
      </c>
      <c r="U41" s="28">
        <v>15894.64</v>
      </c>
      <c r="V41" s="28">
        <v>22941.360000000001</v>
      </c>
      <c r="W41" s="28">
        <v>0</v>
      </c>
      <c r="X41" s="28">
        <v>6710007.7699999996</v>
      </c>
    </row>
    <row r="42" spans="1:24" x14ac:dyDescent="0.2">
      <c r="A42" s="9" t="s">
        <v>389</v>
      </c>
      <c r="B42" s="28">
        <v>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1506.01</v>
      </c>
      <c r="J42" s="28">
        <v>0</v>
      </c>
      <c r="K42" s="28">
        <v>0</v>
      </c>
      <c r="L42" s="28">
        <v>23.08</v>
      </c>
      <c r="M42" s="28">
        <v>49.22</v>
      </c>
      <c r="N42" s="28">
        <v>0</v>
      </c>
      <c r="O42" s="28">
        <v>1426.16</v>
      </c>
      <c r="P42" s="28">
        <v>1456.55</v>
      </c>
      <c r="Q42" s="28">
        <v>3410.15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7871.17</v>
      </c>
    </row>
    <row r="43" spans="1:24" x14ac:dyDescent="0.2">
      <c r="A43" s="9" t="s">
        <v>390</v>
      </c>
      <c r="B43" s="31">
        <v>1390908.26</v>
      </c>
      <c r="C43" s="31">
        <v>785175.99</v>
      </c>
      <c r="D43" s="31">
        <v>623474.84</v>
      </c>
      <c r="E43" s="31">
        <v>687284.56</v>
      </c>
      <c r="F43" s="31">
        <v>808552.26</v>
      </c>
      <c r="G43" s="31">
        <v>766125.38</v>
      </c>
      <c r="H43" s="31">
        <v>634412.1</v>
      </c>
      <c r="I43" s="31">
        <v>635458.56999999995</v>
      </c>
      <c r="J43" s="31">
        <v>302797.75</v>
      </c>
      <c r="K43" s="31">
        <v>826528.45</v>
      </c>
      <c r="L43" s="31">
        <v>1019492.91</v>
      </c>
      <c r="M43" s="31">
        <v>1256263.4099999999</v>
      </c>
      <c r="N43" s="31">
        <v>1111594.78</v>
      </c>
      <c r="O43" s="31">
        <v>1215947.21</v>
      </c>
      <c r="P43" s="31">
        <v>1179111.78</v>
      </c>
      <c r="Q43" s="31">
        <v>874599.39</v>
      </c>
      <c r="R43" s="31">
        <v>75009.100000000006</v>
      </c>
      <c r="S43" s="31">
        <v>100653.38</v>
      </c>
      <c r="T43" s="31">
        <v>68859.520000000004</v>
      </c>
      <c r="U43" s="31">
        <v>116430.01</v>
      </c>
      <c r="V43" s="31">
        <v>111624.59</v>
      </c>
      <c r="W43" s="31">
        <v>9320.26</v>
      </c>
      <c r="X43" s="31">
        <v>14599624.5</v>
      </c>
    </row>
    <row r="44" spans="1:24" x14ac:dyDescent="0.2">
      <c r="A44" s="9" t="s">
        <v>391</v>
      </c>
      <c r="B44" s="29">
        <v>1390908.26</v>
      </c>
      <c r="C44" s="29">
        <v>785175.99</v>
      </c>
      <c r="D44" s="29">
        <v>623474.84</v>
      </c>
      <c r="E44" s="29">
        <v>687284.56</v>
      </c>
      <c r="F44" s="29">
        <v>808552.26</v>
      </c>
      <c r="G44" s="29">
        <v>766125.38</v>
      </c>
      <c r="H44" s="29">
        <v>634412.1</v>
      </c>
      <c r="I44" s="29">
        <v>635458.56999999995</v>
      </c>
      <c r="J44" s="29">
        <v>302797.75</v>
      </c>
      <c r="K44" s="29">
        <v>826528.45</v>
      </c>
      <c r="L44" s="29">
        <v>1019492.91</v>
      </c>
      <c r="M44" s="29">
        <v>1256263.4099999999</v>
      </c>
      <c r="N44" s="29">
        <v>1111594.78</v>
      </c>
      <c r="O44" s="29">
        <v>1215947.21</v>
      </c>
      <c r="P44" s="29">
        <v>1179111.78</v>
      </c>
      <c r="Q44" s="29">
        <v>874599.39</v>
      </c>
      <c r="R44" s="29">
        <v>75009.100000000006</v>
      </c>
      <c r="S44" s="29">
        <v>100653.38</v>
      </c>
      <c r="T44" s="29">
        <v>68859.520000000004</v>
      </c>
      <c r="U44" s="29">
        <v>116430.01</v>
      </c>
      <c r="V44" s="29">
        <v>111624.59</v>
      </c>
      <c r="W44" s="29">
        <v>9320.26</v>
      </c>
      <c r="X44" s="29">
        <v>14599624.5</v>
      </c>
    </row>
    <row r="45" spans="1:24" x14ac:dyDescent="0.2">
      <c r="A45" s="9" t="s">
        <v>392</v>
      </c>
      <c r="B45" s="30" t="s">
        <v>70</v>
      </c>
      <c r="C45" s="30" t="s">
        <v>70</v>
      </c>
      <c r="D45" s="30" t="s">
        <v>70</v>
      </c>
      <c r="E45" s="30" t="s">
        <v>70</v>
      </c>
      <c r="F45" s="30" t="s">
        <v>70</v>
      </c>
      <c r="G45" s="30" t="s">
        <v>70</v>
      </c>
      <c r="H45" s="30" t="s">
        <v>70</v>
      </c>
      <c r="I45" s="30" t="s">
        <v>70</v>
      </c>
      <c r="J45" s="30" t="s">
        <v>70</v>
      </c>
      <c r="K45" s="30" t="s">
        <v>70</v>
      </c>
      <c r="L45" s="30" t="s">
        <v>70</v>
      </c>
      <c r="M45" s="30" t="s">
        <v>70</v>
      </c>
      <c r="N45" s="30" t="s">
        <v>70</v>
      </c>
      <c r="O45" s="30" t="s">
        <v>70</v>
      </c>
      <c r="P45" s="30" t="s">
        <v>70</v>
      </c>
      <c r="Q45" s="30" t="s">
        <v>70</v>
      </c>
      <c r="R45" s="30" t="s">
        <v>70</v>
      </c>
      <c r="S45" s="30" t="s">
        <v>70</v>
      </c>
      <c r="T45" s="30" t="s">
        <v>70</v>
      </c>
      <c r="U45" s="30" t="s">
        <v>70</v>
      </c>
      <c r="V45" s="30" t="s">
        <v>70</v>
      </c>
      <c r="W45" s="30" t="s">
        <v>70</v>
      </c>
      <c r="X45" s="30" t="s">
        <v>70</v>
      </c>
    </row>
    <row r="46" spans="1:24" x14ac:dyDescent="0.2">
      <c r="A46" s="9" t="s">
        <v>393</v>
      </c>
      <c r="B46" s="9" t="s">
        <v>366</v>
      </c>
      <c r="C46" s="9" t="s">
        <v>366</v>
      </c>
      <c r="D46" s="9" t="s">
        <v>366</v>
      </c>
      <c r="E46" s="9" t="s">
        <v>366</v>
      </c>
      <c r="F46" s="9" t="s">
        <v>366</v>
      </c>
      <c r="G46" s="9" t="s">
        <v>366</v>
      </c>
      <c r="H46" s="9" t="s">
        <v>366</v>
      </c>
      <c r="I46" s="9" t="s">
        <v>366</v>
      </c>
      <c r="J46" s="9" t="s">
        <v>366</v>
      </c>
      <c r="K46" s="9" t="s">
        <v>366</v>
      </c>
      <c r="L46" s="9" t="s">
        <v>366</v>
      </c>
      <c r="M46" s="9" t="s">
        <v>366</v>
      </c>
      <c r="N46" s="9" t="s">
        <v>366</v>
      </c>
      <c r="O46" s="9" t="s">
        <v>366</v>
      </c>
      <c r="P46" s="9" t="s">
        <v>366</v>
      </c>
      <c r="Q46" s="9" t="s">
        <v>366</v>
      </c>
      <c r="R46" s="9" t="s">
        <v>366</v>
      </c>
      <c r="S46" s="9" t="s">
        <v>366</v>
      </c>
      <c r="T46" s="9" t="s">
        <v>366</v>
      </c>
      <c r="U46" s="9" t="s">
        <v>366</v>
      </c>
      <c r="V46" s="9" t="s">
        <v>366</v>
      </c>
      <c r="W46" s="9" t="s">
        <v>366</v>
      </c>
      <c r="X46" s="9" t="s">
        <v>366</v>
      </c>
    </row>
    <row r="47" spans="1:24" x14ac:dyDescent="0.2">
      <c r="A47" s="9" t="s">
        <v>394</v>
      </c>
      <c r="B47" s="28">
        <v>-6857.13</v>
      </c>
      <c r="C47" s="28">
        <v>-6857.13</v>
      </c>
      <c r="D47" s="28">
        <v>-6857.13</v>
      </c>
      <c r="E47" s="28">
        <v>-6857.16</v>
      </c>
      <c r="F47" s="28">
        <v>-6857.16</v>
      </c>
      <c r="G47" s="28">
        <v>-6857.16</v>
      </c>
      <c r="H47" s="28">
        <v>-6857.13</v>
      </c>
      <c r="I47" s="28">
        <v>-18502.310000000001</v>
      </c>
      <c r="J47" s="28">
        <v>-18502.310000000001</v>
      </c>
      <c r="K47" s="28">
        <v>-18502.310000000001</v>
      </c>
      <c r="L47" s="28">
        <v>-18502.310000000001</v>
      </c>
      <c r="M47" s="28">
        <v>-18502.310000000001</v>
      </c>
      <c r="N47" s="28">
        <v>-18502.310000000001</v>
      </c>
      <c r="O47" s="28">
        <v>-18502.310000000001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-177516.17</v>
      </c>
    </row>
    <row r="48" spans="1:24" x14ac:dyDescent="0.2">
      <c r="A48" s="9" t="s">
        <v>395</v>
      </c>
      <c r="B48" s="31">
        <v>-6857.13</v>
      </c>
      <c r="C48" s="31">
        <v>-6857.13</v>
      </c>
      <c r="D48" s="31">
        <v>-6857.13</v>
      </c>
      <c r="E48" s="31">
        <v>-6857.16</v>
      </c>
      <c r="F48" s="31">
        <v>-6857.16</v>
      </c>
      <c r="G48" s="31">
        <v>-6857.16</v>
      </c>
      <c r="H48" s="31">
        <v>-6857.13</v>
      </c>
      <c r="I48" s="31">
        <v>-18502.310000000001</v>
      </c>
      <c r="J48" s="31">
        <v>-18502.310000000001</v>
      </c>
      <c r="K48" s="31">
        <v>-18502.310000000001</v>
      </c>
      <c r="L48" s="31">
        <v>-18502.310000000001</v>
      </c>
      <c r="M48" s="31">
        <v>-18502.310000000001</v>
      </c>
      <c r="N48" s="31">
        <v>-18502.310000000001</v>
      </c>
      <c r="O48" s="31">
        <v>-18502.310000000001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-177516.17</v>
      </c>
    </row>
    <row r="49" spans="1:24" x14ac:dyDescent="0.2">
      <c r="A49" s="9" t="s">
        <v>396</v>
      </c>
      <c r="B49" s="28">
        <v>75068.97</v>
      </c>
      <c r="C49" s="28">
        <v>-47849.13</v>
      </c>
      <c r="D49" s="28">
        <v>-66477.649999999994</v>
      </c>
      <c r="E49" s="28">
        <v>-87248.68</v>
      </c>
      <c r="F49" s="28">
        <v>120426.18</v>
      </c>
      <c r="G49" s="28">
        <v>-64262.35</v>
      </c>
      <c r="H49" s="28">
        <v>22367.72</v>
      </c>
      <c r="I49" s="28">
        <v>-64488.29</v>
      </c>
      <c r="J49" s="28">
        <v>-68205.56</v>
      </c>
      <c r="K49" s="28">
        <v>-90600.48</v>
      </c>
      <c r="L49" s="28">
        <v>35521.74</v>
      </c>
      <c r="M49" s="28">
        <v>297611.53000000003</v>
      </c>
      <c r="N49" s="28">
        <v>-8348.7800000000007</v>
      </c>
      <c r="O49" s="28">
        <v>7557.64</v>
      </c>
      <c r="P49" s="28">
        <v>-258248.59</v>
      </c>
      <c r="Q49" s="28">
        <v>-92660.18</v>
      </c>
      <c r="R49" s="28">
        <v>-39631.120000000003</v>
      </c>
      <c r="S49" s="28">
        <v>-63729.99</v>
      </c>
      <c r="T49" s="28">
        <v>-82555.38</v>
      </c>
      <c r="U49" s="28">
        <v>-34532.32</v>
      </c>
      <c r="V49" s="28">
        <v>-19262.75</v>
      </c>
      <c r="W49" s="28">
        <v>-29323.17</v>
      </c>
      <c r="X49" s="28">
        <v>-558870.64</v>
      </c>
    </row>
    <row r="50" spans="1:24" x14ac:dyDescent="0.2">
      <c r="A50" s="9" t="s">
        <v>397</v>
      </c>
      <c r="B50" s="28">
        <v>275437.40000000002</v>
      </c>
      <c r="C50" s="28">
        <v>8776.8799999999992</v>
      </c>
      <c r="D50" s="28">
        <v>-57530.559999999998</v>
      </c>
      <c r="E50" s="28">
        <v>-26089.37</v>
      </c>
      <c r="F50" s="28">
        <v>67712.160000000003</v>
      </c>
      <c r="G50" s="28">
        <v>-104088.28</v>
      </c>
      <c r="H50" s="28">
        <v>-33054.6</v>
      </c>
      <c r="I50" s="28">
        <v>-247288.12</v>
      </c>
      <c r="J50" s="28">
        <v>-450665.9</v>
      </c>
      <c r="K50" s="28">
        <v>-423987.5</v>
      </c>
      <c r="L50" s="28">
        <v>162143.24</v>
      </c>
      <c r="M50" s="28">
        <v>611576.48</v>
      </c>
      <c r="N50" s="28">
        <v>-211761.65</v>
      </c>
      <c r="O50" s="28">
        <v>-597535.41</v>
      </c>
      <c r="P50" s="28">
        <v>-126713.01</v>
      </c>
      <c r="Q50" s="28">
        <v>-188057.56</v>
      </c>
      <c r="R50" s="28">
        <v>-28655.08</v>
      </c>
      <c r="S50" s="28">
        <v>-18361.2</v>
      </c>
      <c r="T50" s="28">
        <v>-163558.43</v>
      </c>
      <c r="U50" s="28">
        <v>18593.009999999998</v>
      </c>
      <c r="V50" s="28">
        <v>73773.240000000005</v>
      </c>
      <c r="W50" s="28">
        <v>-46628.14</v>
      </c>
      <c r="X50" s="28">
        <v>-1505962.4</v>
      </c>
    </row>
    <row r="51" spans="1:24" x14ac:dyDescent="0.2">
      <c r="A51" s="9" t="s">
        <v>398</v>
      </c>
      <c r="B51" s="29">
        <v>343649.24</v>
      </c>
      <c r="C51" s="29">
        <v>-45929.38</v>
      </c>
      <c r="D51" s="29">
        <v>-130865.34</v>
      </c>
      <c r="E51" s="29">
        <v>-120195.21</v>
      </c>
      <c r="F51" s="29">
        <v>181281.18</v>
      </c>
      <c r="G51" s="29">
        <v>-175207.79</v>
      </c>
      <c r="H51" s="29">
        <v>-17544.009999999998</v>
      </c>
      <c r="I51" s="29">
        <v>-330278.71999999997</v>
      </c>
      <c r="J51" s="29">
        <v>-537373.77</v>
      </c>
      <c r="K51" s="29">
        <v>-533090.29</v>
      </c>
      <c r="L51" s="29">
        <v>179162.67</v>
      </c>
      <c r="M51" s="29">
        <v>890685.7</v>
      </c>
      <c r="N51" s="29">
        <v>-238612.74</v>
      </c>
      <c r="O51" s="29">
        <v>-608480.07999999996</v>
      </c>
      <c r="P51" s="29">
        <v>-384961.6</v>
      </c>
      <c r="Q51" s="29">
        <v>-280717.74</v>
      </c>
      <c r="R51" s="29">
        <v>-68286.2</v>
      </c>
      <c r="S51" s="29">
        <v>-82091.19</v>
      </c>
      <c r="T51" s="29">
        <v>-246113.81</v>
      </c>
      <c r="U51" s="29">
        <v>-15939.31</v>
      </c>
      <c r="V51" s="29">
        <v>54510.49</v>
      </c>
      <c r="W51" s="29">
        <v>-75951.31</v>
      </c>
      <c r="X51" s="29">
        <v>-2242349.21</v>
      </c>
    </row>
    <row r="52" spans="1:24" ht="13.5" thickBot="1" x14ac:dyDescent="0.25">
      <c r="A52" s="27" t="s">
        <v>399</v>
      </c>
      <c r="B52" s="32">
        <v>1734557.5</v>
      </c>
      <c r="C52" s="32">
        <v>739246.61</v>
      </c>
      <c r="D52" s="32">
        <v>492609.5</v>
      </c>
      <c r="E52" s="32">
        <v>567089.35</v>
      </c>
      <c r="F52" s="32">
        <v>989833.44</v>
      </c>
      <c r="G52" s="32">
        <v>590917.59</v>
      </c>
      <c r="H52" s="32">
        <v>616868.09</v>
      </c>
      <c r="I52" s="32">
        <v>305179.84999999998</v>
      </c>
      <c r="J52" s="32">
        <v>-234576.02</v>
      </c>
      <c r="K52" s="32">
        <v>293438.15999999997</v>
      </c>
      <c r="L52" s="32">
        <v>1198655.58</v>
      </c>
      <c r="M52" s="32">
        <v>2146949.11</v>
      </c>
      <c r="N52" s="32">
        <v>872982.04</v>
      </c>
      <c r="O52" s="32">
        <v>607467.13</v>
      </c>
      <c r="P52" s="32">
        <v>794150.18</v>
      </c>
      <c r="Q52" s="32">
        <v>593881.65</v>
      </c>
      <c r="R52" s="32">
        <v>6722.9</v>
      </c>
      <c r="S52" s="32">
        <v>18562.189999999999</v>
      </c>
      <c r="T52" s="32">
        <v>-177254.29</v>
      </c>
      <c r="U52" s="32">
        <v>100490.7</v>
      </c>
      <c r="V52" s="32">
        <v>166135.07999999999</v>
      </c>
      <c r="W52" s="32">
        <v>-66631.05</v>
      </c>
      <c r="X52" s="32">
        <v>12357275.289999999</v>
      </c>
    </row>
    <row r="53" spans="1:24" ht="13.5" thickTop="1" x14ac:dyDescent="0.2">
      <c r="A53" s="4" t="s">
        <v>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x14ac:dyDescent="0.2">
      <c r="A54" s="4" t="s">
        <v>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x14ac:dyDescent="0.2">
      <c r="A55" s="9" t="s">
        <v>400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topLeftCell="A18" zoomScaleNormal="100" workbookViewId="0">
      <selection activeCell="G42" sqref="G42"/>
    </sheetView>
  </sheetViews>
  <sheetFormatPr defaultColWidth="9.140625" defaultRowHeight="12.75" x14ac:dyDescent="0.2"/>
  <cols>
    <col min="1" max="1" width="45.8554687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1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31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33</v>
      </c>
      <c r="B12" s="11">
        <v>7231928</v>
      </c>
      <c r="C12" s="11">
        <v>575995</v>
      </c>
      <c r="D12" s="11">
        <v>381128</v>
      </c>
      <c r="E12" s="11">
        <v>346394</v>
      </c>
      <c r="F12" s="11">
        <v>370492</v>
      </c>
      <c r="G12" s="11">
        <v>324334</v>
      </c>
      <c r="H12" s="11">
        <v>283578</v>
      </c>
      <c r="I12" s="11">
        <v>268633</v>
      </c>
      <c r="J12" s="11">
        <v>364859</v>
      </c>
      <c r="K12" s="11">
        <v>106295</v>
      </c>
      <c r="L12" s="11">
        <v>391408</v>
      </c>
      <c r="M12" s="11">
        <v>492672</v>
      </c>
      <c r="N12" s="11">
        <v>1002199</v>
      </c>
      <c r="O12" s="11">
        <v>535555</v>
      </c>
      <c r="P12" s="11">
        <v>488043</v>
      </c>
      <c r="Q12" s="11">
        <v>425959</v>
      </c>
      <c r="R12" s="11">
        <v>409767</v>
      </c>
      <c r="S12" s="11">
        <v>83803</v>
      </c>
      <c r="T12" s="11">
        <v>111488</v>
      </c>
      <c r="U12" s="11">
        <v>58870</v>
      </c>
      <c r="V12" s="11">
        <v>127206</v>
      </c>
      <c r="W12" s="11">
        <v>83249</v>
      </c>
      <c r="X12" s="11">
        <v>0</v>
      </c>
    </row>
    <row r="13" spans="1:24" x14ac:dyDescent="0.2">
      <c r="A13" s="6" t="s">
        <v>34</v>
      </c>
      <c r="B13" s="11">
        <v>371464</v>
      </c>
      <c r="C13" s="11">
        <v>27571</v>
      </c>
      <c r="D13" s="11">
        <v>15302</v>
      </c>
      <c r="E13" s="11">
        <v>25766</v>
      </c>
      <c r="F13" s="11">
        <v>17357</v>
      </c>
      <c r="G13" s="11">
        <v>18931</v>
      </c>
      <c r="H13" s="11">
        <v>16416</v>
      </c>
      <c r="I13" s="11">
        <v>5890</v>
      </c>
      <c r="J13" s="11">
        <v>19027</v>
      </c>
      <c r="K13" s="11">
        <v>16589</v>
      </c>
      <c r="L13" s="11">
        <v>17472</v>
      </c>
      <c r="M13" s="11">
        <v>22157</v>
      </c>
      <c r="N13" s="11">
        <v>57101</v>
      </c>
      <c r="O13" s="11">
        <v>37946</v>
      </c>
      <c r="P13" s="11">
        <v>36960</v>
      </c>
      <c r="Q13" s="11">
        <v>17414</v>
      </c>
      <c r="R13" s="11">
        <v>19565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</row>
    <row r="14" spans="1:24" x14ac:dyDescent="0.2">
      <c r="A14" s="6" t="s">
        <v>35</v>
      </c>
      <c r="B14" s="11">
        <v>316209</v>
      </c>
      <c r="C14" s="11">
        <v>37702</v>
      </c>
      <c r="D14" s="11">
        <v>39267</v>
      </c>
      <c r="E14" s="11">
        <v>2562</v>
      </c>
      <c r="F14" s="11">
        <v>20274</v>
      </c>
      <c r="G14" s="11">
        <v>23431</v>
      </c>
      <c r="H14" s="11">
        <v>15782</v>
      </c>
      <c r="I14" s="11">
        <v>20982</v>
      </c>
      <c r="J14" s="11">
        <v>25337</v>
      </c>
      <c r="K14" s="11">
        <v>886</v>
      </c>
      <c r="L14" s="11">
        <v>19197</v>
      </c>
      <c r="M14" s="11">
        <v>21443</v>
      </c>
      <c r="N14" s="11">
        <v>18339</v>
      </c>
      <c r="O14" s="11">
        <v>13009</v>
      </c>
      <c r="P14" s="11">
        <v>20903</v>
      </c>
      <c r="Q14" s="11">
        <v>19717</v>
      </c>
      <c r="R14" s="11">
        <v>17378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</row>
    <row r="15" spans="1:24" x14ac:dyDescent="0.2">
      <c r="A15" s="6" t="s">
        <v>36</v>
      </c>
      <c r="B15" s="12">
        <v>6544255</v>
      </c>
      <c r="C15" s="12">
        <v>510722</v>
      </c>
      <c r="D15" s="12">
        <v>326559</v>
      </c>
      <c r="E15" s="12">
        <v>318066</v>
      </c>
      <c r="F15" s="12">
        <v>332861</v>
      </c>
      <c r="G15" s="12">
        <v>281972</v>
      </c>
      <c r="H15" s="12">
        <v>251380</v>
      </c>
      <c r="I15" s="12">
        <v>241761</v>
      </c>
      <c r="J15" s="12">
        <v>320495</v>
      </c>
      <c r="K15" s="12">
        <v>88820</v>
      </c>
      <c r="L15" s="12">
        <v>354739</v>
      </c>
      <c r="M15" s="12">
        <v>449072</v>
      </c>
      <c r="N15" s="12">
        <v>926759</v>
      </c>
      <c r="O15" s="12">
        <v>484600</v>
      </c>
      <c r="P15" s="12">
        <v>430180</v>
      </c>
      <c r="Q15" s="12">
        <v>388828</v>
      </c>
      <c r="R15" s="12">
        <v>372824</v>
      </c>
      <c r="S15" s="12">
        <v>83803</v>
      </c>
      <c r="T15" s="12">
        <v>111488</v>
      </c>
      <c r="U15" s="12">
        <v>58870</v>
      </c>
      <c r="V15" s="12">
        <v>127206</v>
      </c>
      <c r="W15" s="12">
        <v>83249</v>
      </c>
      <c r="X15" s="12">
        <v>0</v>
      </c>
    </row>
    <row r="16" spans="1:24" x14ac:dyDescent="0.2">
      <c r="A16" s="6" t="s">
        <v>37</v>
      </c>
      <c r="B16" s="6" t="s">
        <v>32</v>
      </c>
      <c r="C16" s="6" t="s">
        <v>32</v>
      </c>
      <c r="D16" s="6" t="s">
        <v>32</v>
      </c>
      <c r="E16" s="6" t="s">
        <v>32</v>
      </c>
      <c r="F16" s="6" t="s">
        <v>32</v>
      </c>
      <c r="G16" s="6" t="s">
        <v>32</v>
      </c>
      <c r="H16" s="6" t="s">
        <v>32</v>
      </c>
      <c r="I16" s="6" t="s">
        <v>32</v>
      </c>
      <c r="J16" s="6" t="s">
        <v>32</v>
      </c>
      <c r="K16" s="6" t="s">
        <v>32</v>
      </c>
      <c r="L16" s="6" t="s">
        <v>32</v>
      </c>
      <c r="M16" s="6" t="s">
        <v>32</v>
      </c>
      <c r="N16" s="6" t="s">
        <v>32</v>
      </c>
      <c r="O16" s="6" t="s">
        <v>32</v>
      </c>
      <c r="P16" s="6" t="s">
        <v>32</v>
      </c>
      <c r="Q16" s="6" t="s">
        <v>32</v>
      </c>
      <c r="R16" s="6" t="s">
        <v>32</v>
      </c>
      <c r="S16" s="6" t="s">
        <v>32</v>
      </c>
      <c r="T16" s="6" t="s">
        <v>32</v>
      </c>
      <c r="U16" s="6" t="s">
        <v>32</v>
      </c>
      <c r="V16" s="6" t="s">
        <v>32</v>
      </c>
      <c r="W16" s="6" t="s">
        <v>32</v>
      </c>
      <c r="X16" s="6" t="s">
        <v>32</v>
      </c>
    </row>
    <row r="17" spans="1:24" x14ac:dyDescent="0.2">
      <c r="A17" s="6" t="s">
        <v>38</v>
      </c>
      <c r="B17" s="11">
        <v>3330991</v>
      </c>
      <c r="C17" s="11">
        <v>226491</v>
      </c>
      <c r="D17" s="11">
        <v>145776</v>
      </c>
      <c r="E17" s="11">
        <v>153275</v>
      </c>
      <c r="F17" s="11">
        <v>170134</v>
      </c>
      <c r="G17" s="11">
        <v>152364</v>
      </c>
      <c r="H17" s="11">
        <v>111164</v>
      </c>
      <c r="I17" s="11">
        <v>91649</v>
      </c>
      <c r="J17" s="11">
        <v>153785</v>
      </c>
      <c r="K17" s="11">
        <v>125811</v>
      </c>
      <c r="L17" s="11">
        <v>214138</v>
      </c>
      <c r="M17" s="11">
        <v>213668</v>
      </c>
      <c r="N17" s="11">
        <v>396397</v>
      </c>
      <c r="O17" s="11">
        <v>246107</v>
      </c>
      <c r="P17" s="11">
        <v>352031</v>
      </c>
      <c r="Q17" s="11">
        <v>216979</v>
      </c>
      <c r="R17" s="11">
        <v>196530</v>
      </c>
      <c r="S17" s="11">
        <v>42802</v>
      </c>
      <c r="T17" s="11">
        <v>40159</v>
      </c>
      <c r="U17" s="11">
        <v>26906</v>
      </c>
      <c r="V17" s="11">
        <v>40320</v>
      </c>
      <c r="W17" s="11">
        <v>14505</v>
      </c>
      <c r="X17" s="11">
        <v>0</v>
      </c>
    </row>
    <row r="18" spans="1:24" x14ac:dyDescent="0.2">
      <c r="A18" s="6" t="s">
        <v>39</v>
      </c>
      <c r="B18" s="11">
        <v>251597</v>
      </c>
      <c r="C18" s="11">
        <v>14851</v>
      </c>
      <c r="D18" s="11">
        <v>16300</v>
      </c>
      <c r="E18" s="11">
        <v>12918</v>
      </c>
      <c r="F18" s="11">
        <v>14130</v>
      </c>
      <c r="G18" s="11">
        <v>13333</v>
      </c>
      <c r="H18" s="11">
        <v>13099</v>
      </c>
      <c r="I18" s="11">
        <v>9140</v>
      </c>
      <c r="J18" s="11">
        <v>9614</v>
      </c>
      <c r="K18" s="11">
        <v>8910</v>
      </c>
      <c r="L18" s="11">
        <v>12169</v>
      </c>
      <c r="M18" s="11">
        <v>15372</v>
      </c>
      <c r="N18" s="11">
        <v>37358</v>
      </c>
      <c r="O18" s="11">
        <v>13097</v>
      </c>
      <c r="P18" s="11">
        <v>17446</v>
      </c>
      <c r="Q18" s="11">
        <v>16294</v>
      </c>
      <c r="R18" s="11">
        <v>21145</v>
      </c>
      <c r="S18" s="11">
        <v>1942</v>
      </c>
      <c r="T18" s="11">
        <v>269</v>
      </c>
      <c r="U18" s="11">
        <v>1725</v>
      </c>
      <c r="V18" s="11">
        <v>666</v>
      </c>
      <c r="W18" s="11">
        <v>1817</v>
      </c>
      <c r="X18" s="11">
        <v>0</v>
      </c>
    </row>
    <row r="19" spans="1:24" x14ac:dyDescent="0.2">
      <c r="A19" s="6" t="s">
        <v>40</v>
      </c>
      <c r="B19" s="11">
        <v>397130</v>
      </c>
      <c r="C19" s="11">
        <v>17126</v>
      </c>
      <c r="D19" s="11">
        <v>13916</v>
      </c>
      <c r="E19" s="11">
        <v>12812</v>
      </c>
      <c r="F19" s="11">
        <v>14358</v>
      </c>
      <c r="G19" s="11">
        <v>13708</v>
      </c>
      <c r="H19" s="11">
        <v>11111</v>
      </c>
      <c r="I19" s="11">
        <v>12678</v>
      </c>
      <c r="J19" s="11">
        <v>20770</v>
      </c>
      <c r="K19" s="11">
        <v>19271</v>
      </c>
      <c r="L19" s="11">
        <v>25458</v>
      </c>
      <c r="M19" s="11">
        <v>35215</v>
      </c>
      <c r="N19" s="11">
        <v>34979</v>
      </c>
      <c r="O19" s="11">
        <v>33579</v>
      </c>
      <c r="P19" s="11">
        <v>39406</v>
      </c>
      <c r="Q19" s="11">
        <v>27788</v>
      </c>
      <c r="R19" s="11">
        <v>17937</v>
      </c>
      <c r="S19" s="11">
        <v>8376</v>
      </c>
      <c r="T19" s="11">
        <v>10354</v>
      </c>
      <c r="U19" s="11">
        <v>5988</v>
      </c>
      <c r="V19" s="11">
        <v>11955</v>
      </c>
      <c r="W19" s="11">
        <v>10222</v>
      </c>
      <c r="X19" s="11">
        <v>125</v>
      </c>
    </row>
    <row r="20" spans="1:24" x14ac:dyDescent="0.2">
      <c r="A20" s="6" t="s">
        <v>41</v>
      </c>
      <c r="B20" s="11">
        <v>720570</v>
      </c>
      <c r="C20" s="11">
        <v>38215</v>
      </c>
      <c r="D20" s="11">
        <v>32102</v>
      </c>
      <c r="E20" s="11">
        <v>35058</v>
      </c>
      <c r="F20" s="11">
        <v>30918</v>
      </c>
      <c r="G20" s="11">
        <v>33828</v>
      </c>
      <c r="H20" s="11">
        <v>24626</v>
      </c>
      <c r="I20" s="11">
        <v>22310</v>
      </c>
      <c r="J20" s="11">
        <v>45056</v>
      </c>
      <c r="K20" s="11">
        <v>33935</v>
      </c>
      <c r="L20" s="11">
        <v>49689</v>
      </c>
      <c r="M20" s="11">
        <v>54573</v>
      </c>
      <c r="N20" s="11">
        <v>87630</v>
      </c>
      <c r="O20" s="11">
        <v>51406</v>
      </c>
      <c r="P20" s="11">
        <v>54151</v>
      </c>
      <c r="Q20" s="11">
        <v>31572</v>
      </c>
      <c r="R20" s="11">
        <v>34765</v>
      </c>
      <c r="S20" s="11">
        <v>72</v>
      </c>
      <c r="T20" s="11">
        <v>19020</v>
      </c>
      <c r="U20" s="11">
        <v>10844</v>
      </c>
      <c r="V20" s="11">
        <v>16936</v>
      </c>
      <c r="W20" s="11">
        <v>13863</v>
      </c>
      <c r="X20" s="11">
        <v>0</v>
      </c>
    </row>
    <row r="21" spans="1:24" x14ac:dyDescent="0.2">
      <c r="A21" s="6" t="s">
        <v>42</v>
      </c>
      <c r="B21" s="11">
        <v>392046</v>
      </c>
      <c r="C21" s="11">
        <v>25013</v>
      </c>
      <c r="D21" s="11">
        <v>15025</v>
      </c>
      <c r="E21" s="11">
        <v>21647</v>
      </c>
      <c r="F21" s="11">
        <v>12693</v>
      </c>
      <c r="G21" s="11">
        <v>21347</v>
      </c>
      <c r="H21" s="11">
        <v>16202</v>
      </c>
      <c r="I21" s="11">
        <v>3558</v>
      </c>
      <c r="J21" s="11">
        <v>22623</v>
      </c>
      <c r="K21" s="11">
        <v>14080</v>
      </c>
      <c r="L21" s="11">
        <v>28707</v>
      </c>
      <c r="M21" s="11">
        <v>24159</v>
      </c>
      <c r="N21" s="11">
        <v>38951</v>
      </c>
      <c r="O21" s="11">
        <v>32796</v>
      </c>
      <c r="P21" s="11">
        <v>30030</v>
      </c>
      <c r="Q21" s="11">
        <v>34571</v>
      </c>
      <c r="R21" s="11">
        <v>24632</v>
      </c>
      <c r="S21" s="11">
        <v>5737</v>
      </c>
      <c r="T21" s="11">
        <v>7511</v>
      </c>
      <c r="U21" s="11">
        <v>5434</v>
      </c>
      <c r="V21" s="11">
        <v>7056</v>
      </c>
      <c r="W21" s="11">
        <v>275</v>
      </c>
      <c r="X21" s="11">
        <v>0</v>
      </c>
    </row>
    <row r="22" spans="1:24" x14ac:dyDescent="0.2">
      <c r="A22" s="6" t="s">
        <v>43</v>
      </c>
      <c r="B22" s="11">
        <v>53651</v>
      </c>
      <c r="C22" s="11">
        <v>129</v>
      </c>
      <c r="D22" s="11">
        <v>598</v>
      </c>
      <c r="E22" s="11">
        <v>4610</v>
      </c>
      <c r="F22" s="11">
        <v>873</v>
      </c>
      <c r="G22" s="11">
        <v>2409</v>
      </c>
      <c r="H22" s="11">
        <v>1767</v>
      </c>
      <c r="I22" s="11">
        <v>315</v>
      </c>
      <c r="J22" s="11">
        <v>6623</v>
      </c>
      <c r="K22" s="11">
        <v>2268</v>
      </c>
      <c r="L22" s="11">
        <v>4948</v>
      </c>
      <c r="M22" s="11">
        <v>4851</v>
      </c>
      <c r="N22" s="11">
        <v>6927</v>
      </c>
      <c r="O22" s="11">
        <v>8415</v>
      </c>
      <c r="P22" s="11">
        <v>1702</v>
      </c>
      <c r="Q22" s="11">
        <v>5665</v>
      </c>
      <c r="R22" s="11">
        <v>1298</v>
      </c>
      <c r="S22" s="11">
        <v>62</v>
      </c>
      <c r="T22" s="11">
        <v>0</v>
      </c>
      <c r="U22" s="11">
        <v>131</v>
      </c>
      <c r="V22" s="11">
        <v>0</v>
      </c>
      <c r="W22" s="11">
        <v>58</v>
      </c>
      <c r="X22" s="11">
        <v>0</v>
      </c>
    </row>
    <row r="23" spans="1:24" x14ac:dyDescent="0.2">
      <c r="A23" s="6" t="s">
        <v>44</v>
      </c>
      <c r="B23" s="12">
        <v>5145985</v>
      </c>
      <c r="C23" s="12">
        <v>321825</v>
      </c>
      <c r="D23" s="12">
        <v>223717</v>
      </c>
      <c r="E23" s="12">
        <v>240320</v>
      </c>
      <c r="F23" s="12">
        <v>243106</v>
      </c>
      <c r="G23" s="12">
        <v>236989</v>
      </c>
      <c r="H23" s="12">
        <v>177969</v>
      </c>
      <c r="I23" s="12">
        <v>139650</v>
      </c>
      <c r="J23" s="12">
        <v>258471</v>
      </c>
      <c r="K23" s="12">
        <v>204275</v>
      </c>
      <c r="L23" s="12">
        <v>335109</v>
      </c>
      <c r="M23" s="12">
        <v>347838</v>
      </c>
      <c r="N23" s="12">
        <v>602242</v>
      </c>
      <c r="O23" s="12">
        <v>385400</v>
      </c>
      <c r="P23" s="12">
        <v>494766</v>
      </c>
      <c r="Q23" s="12">
        <v>332869</v>
      </c>
      <c r="R23" s="12">
        <v>296307</v>
      </c>
      <c r="S23" s="12">
        <v>58991</v>
      </c>
      <c r="T23" s="12">
        <v>77313</v>
      </c>
      <c r="U23" s="12">
        <v>51028</v>
      </c>
      <c r="V23" s="12">
        <v>76933</v>
      </c>
      <c r="W23" s="12">
        <v>40740</v>
      </c>
      <c r="X23" s="12">
        <v>125</v>
      </c>
    </row>
    <row r="24" spans="1:24" x14ac:dyDescent="0.2">
      <c r="A24" s="6" t="s">
        <v>45</v>
      </c>
      <c r="B24" s="12">
        <v>1398270</v>
      </c>
      <c r="C24" s="12">
        <v>188897</v>
      </c>
      <c r="D24" s="12">
        <v>102842</v>
      </c>
      <c r="E24" s="12">
        <v>77746</v>
      </c>
      <c r="F24" s="12">
        <v>89755</v>
      </c>
      <c r="G24" s="12">
        <v>44983</v>
      </c>
      <c r="H24" s="12">
        <v>73411</v>
      </c>
      <c r="I24" s="12">
        <v>102111</v>
      </c>
      <c r="J24" s="12">
        <v>62024</v>
      </c>
      <c r="K24" s="12">
        <v>-115455</v>
      </c>
      <c r="L24" s="12">
        <v>19630</v>
      </c>
      <c r="M24" s="12">
        <v>101234</v>
      </c>
      <c r="N24" s="12">
        <v>324517</v>
      </c>
      <c r="O24" s="12">
        <v>99200</v>
      </c>
      <c r="P24" s="12">
        <v>-64586</v>
      </c>
      <c r="Q24" s="12">
        <v>55959</v>
      </c>
      <c r="R24" s="12">
        <v>76517</v>
      </c>
      <c r="S24" s="12">
        <v>24812</v>
      </c>
      <c r="T24" s="12">
        <v>34175</v>
      </c>
      <c r="U24" s="12">
        <v>7842</v>
      </c>
      <c r="V24" s="12">
        <v>50273</v>
      </c>
      <c r="W24" s="12">
        <v>42509</v>
      </c>
      <c r="X24" s="12">
        <v>-125</v>
      </c>
    </row>
    <row r="25" spans="1:24" x14ac:dyDescent="0.2">
      <c r="A25" s="6" t="s">
        <v>46</v>
      </c>
      <c r="B25" s="11">
        <v>1021587</v>
      </c>
      <c r="C25" s="11">
        <v>50910</v>
      </c>
      <c r="D25" s="11">
        <v>45834</v>
      </c>
      <c r="E25" s="11">
        <v>44519</v>
      </c>
      <c r="F25" s="11">
        <v>50727</v>
      </c>
      <c r="G25" s="11">
        <v>52466</v>
      </c>
      <c r="H25" s="11">
        <v>37771</v>
      </c>
      <c r="I25" s="11">
        <v>44146</v>
      </c>
      <c r="J25" s="11">
        <v>70782</v>
      </c>
      <c r="K25" s="11">
        <v>53722</v>
      </c>
      <c r="L25" s="11">
        <v>58229</v>
      </c>
      <c r="M25" s="11">
        <v>59987</v>
      </c>
      <c r="N25" s="11">
        <v>88207</v>
      </c>
      <c r="O25" s="11">
        <v>64651</v>
      </c>
      <c r="P25" s="11">
        <v>76083</v>
      </c>
      <c r="Q25" s="11">
        <v>81083</v>
      </c>
      <c r="R25" s="11">
        <v>58814</v>
      </c>
      <c r="S25" s="11">
        <v>20886</v>
      </c>
      <c r="T25" s="11">
        <v>14399</v>
      </c>
      <c r="U25" s="11">
        <v>11321</v>
      </c>
      <c r="V25" s="11">
        <v>22155</v>
      </c>
      <c r="W25" s="11">
        <v>10032</v>
      </c>
      <c r="X25" s="11">
        <v>4864</v>
      </c>
    </row>
    <row r="26" spans="1:24" x14ac:dyDescent="0.2">
      <c r="A26" s="6" t="s">
        <v>47</v>
      </c>
      <c r="B26" s="12">
        <v>376683</v>
      </c>
      <c r="C26" s="12">
        <v>137987</v>
      </c>
      <c r="D26" s="12">
        <v>57008</v>
      </c>
      <c r="E26" s="12">
        <v>33227</v>
      </c>
      <c r="F26" s="12">
        <v>39028</v>
      </c>
      <c r="G26" s="12">
        <v>-7483</v>
      </c>
      <c r="H26" s="12">
        <v>35640</v>
      </c>
      <c r="I26" s="12">
        <v>57965</v>
      </c>
      <c r="J26" s="12">
        <v>-8758</v>
      </c>
      <c r="K26" s="12">
        <v>-169177</v>
      </c>
      <c r="L26" s="12">
        <v>-38599</v>
      </c>
      <c r="M26" s="12">
        <v>41247</v>
      </c>
      <c r="N26" s="12">
        <v>236310</v>
      </c>
      <c r="O26" s="12">
        <v>34549</v>
      </c>
      <c r="P26" s="12">
        <v>-140669</v>
      </c>
      <c r="Q26" s="12">
        <v>-25124</v>
      </c>
      <c r="R26" s="12">
        <v>17703</v>
      </c>
      <c r="S26" s="12">
        <v>3926</v>
      </c>
      <c r="T26" s="12">
        <v>19776</v>
      </c>
      <c r="U26" s="12">
        <v>-3479</v>
      </c>
      <c r="V26" s="12">
        <v>28118</v>
      </c>
      <c r="W26" s="12">
        <v>32477</v>
      </c>
      <c r="X26" s="12">
        <v>-4989</v>
      </c>
    </row>
    <row r="27" spans="1:24" x14ac:dyDescent="0.2">
      <c r="A27" s="6" t="s">
        <v>48</v>
      </c>
      <c r="B27" s="11">
        <v>445734</v>
      </c>
      <c r="C27" s="11">
        <v>25000</v>
      </c>
      <c r="D27" s="11">
        <v>15000</v>
      </c>
      <c r="E27" s="11">
        <v>15000</v>
      </c>
      <c r="F27" s="11">
        <v>15000</v>
      </c>
      <c r="G27" s="11">
        <v>25000</v>
      </c>
      <c r="H27" s="11">
        <v>15000</v>
      </c>
      <c r="I27" s="11">
        <v>15000</v>
      </c>
      <c r="J27" s="11">
        <v>24357</v>
      </c>
      <c r="K27" s="11">
        <v>18394</v>
      </c>
      <c r="L27" s="11">
        <v>29613</v>
      </c>
      <c r="M27" s="11">
        <v>25525</v>
      </c>
      <c r="N27" s="11">
        <v>58394</v>
      </c>
      <c r="O27" s="11">
        <v>40708</v>
      </c>
      <c r="P27" s="11">
        <v>36908</v>
      </c>
      <c r="Q27" s="11">
        <v>28834</v>
      </c>
      <c r="R27" s="11">
        <v>28834</v>
      </c>
      <c r="S27" s="11">
        <v>4171</v>
      </c>
      <c r="T27" s="11">
        <v>6287</v>
      </c>
      <c r="U27" s="11">
        <v>5380</v>
      </c>
      <c r="V27" s="11">
        <v>6891</v>
      </c>
      <c r="W27" s="11">
        <v>6438</v>
      </c>
      <c r="X27" s="11">
        <v>0</v>
      </c>
    </row>
    <row r="28" spans="1:24" x14ac:dyDescent="0.2">
      <c r="A28" s="6" t="s">
        <v>49</v>
      </c>
      <c r="B28" s="11">
        <v>121677</v>
      </c>
      <c r="C28" s="11">
        <v>4859</v>
      </c>
      <c r="D28" s="11">
        <v>7474</v>
      </c>
      <c r="E28" s="11">
        <v>3051</v>
      </c>
      <c r="F28" s="11">
        <v>3576</v>
      </c>
      <c r="G28" s="11">
        <v>4057</v>
      </c>
      <c r="H28" s="11">
        <v>479</v>
      </c>
      <c r="I28" s="11">
        <v>2365</v>
      </c>
      <c r="J28" s="11">
        <v>3147</v>
      </c>
      <c r="K28" s="11">
        <v>4121</v>
      </c>
      <c r="L28" s="11">
        <v>5416</v>
      </c>
      <c r="M28" s="11">
        <v>5315</v>
      </c>
      <c r="N28" s="11">
        <v>6985</v>
      </c>
      <c r="O28" s="11">
        <v>14277</v>
      </c>
      <c r="P28" s="11">
        <v>6318</v>
      </c>
      <c r="Q28" s="11">
        <v>7105</v>
      </c>
      <c r="R28" s="11">
        <v>11930</v>
      </c>
      <c r="S28" s="11">
        <v>4847</v>
      </c>
      <c r="T28" s="11">
        <v>4353</v>
      </c>
      <c r="U28" s="11">
        <v>6096</v>
      </c>
      <c r="V28" s="11">
        <v>5768</v>
      </c>
      <c r="W28" s="11">
        <v>8388</v>
      </c>
      <c r="X28" s="11">
        <v>1751</v>
      </c>
    </row>
    <row r="29" spans="1:24" x14ac:dyDescent="0.2">
      <c r="A29" s="6" t="s">
        <v>50</v>
      </c>
      <c r="B29" s="11">
        <v>85437</v>
      </c>
      <c r="C29" s="11">
        <v>9270</v>
      </c>
      <c r="D29" s="11">
        <v>4804</v>
      </c>
      <c r="E29" s="11">
        <v>3823</v>
      </c>
      <c r="F29" s="11">
        <v>4408</v>
      </c>
      <c r="G29" s="11">
        <v>5986</v>
      </c>
      <c r="H29" s="11">
        <v>4949</v>
      </c>
      <c r="I29" s="11">
        <v>4023</v>
      </c>
      <c r="J29" s="11">
        <v>3822</v>
      </c>
      <c r="K29" s="11">
        <v>917</v>
      </c>
      <c r="L29" s="11">
        <v>3987</v>
      </c>
      <c r="M29" s="11">
        <v>6470</v>
      </c>
      <c r="N29" s="11">
        <v>10007</v>
      </c>
      <c r="O29" s="11">
        <v>6100</v>
      </c>
      <c r="P29" s="11">
        <v>3876</v>
      </c>
      <c r="Q29" s="11">
        <v>6411</v>
      </c>
      <c r="R29" s="11">
        <v>6424</v>
      </c>
      <c r="S29" s="11">
        <v>0</v>
      </c>
      <c r="T29" s="11">
        <v>0</v>
      </c>
      <c r="U29" s="11">
        <v>0</v>
      </c>
      <c r="V29" s="11">
        <v>66</v>
      </c>
      <c r="W29" s="11">
        <v>91</v>
      </c>
      <c r="X29" s="11">
        <v>0</v>
      </c>
    </row>
    <row r="30" spans="1:24" x14ac:dyDescent="0.2">
      <c r="A30" s="6" t="s">
        <v>51</v>
      </c>
      <c r="B30" s="11">
        <v>548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44</v>
      </c>
      <c r="K30" s="11">
        <v>28</v>
      </c>
      <c r="L30" s="11">
        <v>42</v>
      </c>
      <c r="M30" s="11">
        <v>34</v>
      </c>
      <c r="N30" s="11">
        <v>81</v>
      </c>
      <c r="O30" s="11">
        <v>69</v>
      </c>
      <c r="P30" s="11">
        <v>56</v>
      </c>
      <c r="Q30" s="11">
        <v>0</v>
      </c>
      <c r="R30" s="11">
        <v>0</v>
      </c>
      <c r="S30" s="11">
        <v>32</v>
      </c>
      <c r="T30" s="11">
        <v>33</v>
      </c>
      <c r="U30" s="11">
        <v>35</v>
      </c>
      <c r="V30" s="11">
        <v>52</v>
      </c>
      <c r="W30" s="11">
        <v>43</v>
      </c>
      <c r="X30" s="11">
        <v>0</v>
      </c>
    </row>
    <row r="31" spans="1:24" x14ac:dyDescent="0.2">
      <c r="A31" s="6" t="s">
        <v>52</v>
      </c>
      <c r="B31" s="11">
        <v>20249</v>
      </c>
      <c r="C31" s="11">
        <v>1375</v>
      </c>
      <c r="D31" s="11">
        <v>467</v>
      </c>
      <c r="E31" s="11">
        <v>1318</v>
      </c>
      <c r="F31" s="11">
        <v>345</v>
      </c>
      <c r="G31" s="11">
        <v>495</v>
      </c>
      <c r="H31" s="11">
        <v>1313</v>
      </c>
      <c r="I31" s="11">
        <v>527</v>
      </c>
      <c r="J31" s="11">
        <v>1110</v>
      </c>
      <c r="K31" s="11">
        <v>789</v>
      </c>
      <c r="L31" s="11">
        <v>592</v>
      </c>
      <c r="M31" s="11">
        <v>692</v>
      </c>
      <c r="N31" s="11">
        <v>673</v>
      </c>
      <c r="O31" s="11">
        <v>799</v>
      </c>
      <c r="P31" s="11">
        <v>4080</v>
      </c>
      <c r="Q31" s="11">
        <v>1598</v>
      </c>
      <c r="R31" s="11">
        <v>2318</v>
      </c>
      <c r="S31" s="11">
        <v>235</v>
      </c>
      <c r="T31" s="11">
        <v>358</v>
      </c>
      <c r="U31" s="11">
        <v>219</v>
      </c>
      <c r="V31" s="11">
        <v>369</v>
      </c>
      <c r="W31" s="11">
        <v>580</v>
      </c>
      <c r="X31" s="11">
        <v>0</v>
      </c>
    </row>
    <row r="32" spans="1:24" x14ac:dyDescent="0.2">
      <c r="A32" s="6" t="s">
        <v>53</v>
      </c>
      <c r="B32" s="11">
        <v>14133</v>
      </c>
      <c r="C32" s="11">
        <v>831</v>
      </c>
      <c r="D32" s="11">
        <v>831</v>
      </c>
      <c r="E32" s="11">
        <v>832</v>
      </c>
      <c r="F32" s="11">
        <v>832</v>
      </c>
      <c r="G32" s="11">
        <v>831</v>
      </c>
      <c r="H32" s="11">
        <v>832</v>
      </c>
      <c r="I32" s="11">
        <v>831</v>
      </c>
      <c r="J32" s="11">
        <v>839</v>
      </c>
      <c r="K32" s="11">
        <v>838</v>
      </c>
      <c r="L32" s="11">
        <v>838</v>
      </c>
      <c r="M32" s="11">
        <v>838</v>
      </c>
      <c r="N32" s="11">
        <v>839</v>
      </c>
      <c r="O32" s="11">
        <v>838</v>
      </c>
      <c r="P32" s="11">
        <v>839</v>
      </c>
      <c r="Q32" s="11">
        <v>1197</v>
      </c>
      <c r="R32" s="11">
        <v>1243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</row>
    <row r="33" spans="1:24" x14ac:dyDescent="0.2">
      <c r="A33" s="6" t="s">
        <v>54</v>
      </c>
      <c r="B33" s="12">
        <v>687778</v>
      </c>
      <c r="C33" s="12">
        <v>41335</v>
      </c>
      <c r="D33" s="12">
        <v>28576</v>
      </c>
      <c r="E33" s="12">
        <v>24024</v>
      </c>
      <c r="F33" s="12">
        <v>24161</v>
      </c>
      <c r="G33" s="12">
        <v>36369</v>
      </c>
      <c r="H33" s="12">
        <v>22573</v>
      </c>
      <c r="I33" s="12">
        <v>22746</v>
      </c>
      <c r="J33" s="12">
        <v>33319</v>
      </c>
      <c r="K33" s="12">
        <v>25087</v>
      </c>
      <c r="L33" s="12">
        <v>40488</v>
      </c>
      <c r="M33" s="12">
        <v>38874</v>
      </c>
      <c r="N33" s="12">
        <v>76979</v>
      </c>
      <c r="O33" s="12">
        <v>62791</v>
      </c>
      <c r="P33" s="12">
        <v>52077</v>
      </c>
      <c r="Q33" s="12">
        <v>45145</v>
      </c>
      <c r="R33" s="12">
        <v>50749</v>
      </c>
      <c r="S33" s="12">
        <v>9285</v>
      </c>
      <c r="T33" s="12">
        <v>11031</v>
      </c>
      <c r="U33" s="12">
        <v>11730</v>
      </c>
      <c r="V33" s="12">
        <v>13146</v>
      </c>
      <c r="W33" s="12">
        <v>15540</v>
      </c>
      <c r="X33" s="12">
        <v>1751</v>
      </c>
    </row>
    <row r="34" spans="1:24" x14ac:dyDescent="0.2">
      <c r="A34" s="6" t="s">
        <v>55</v>
      </c>
      <c r="B34" s="12">
        <v>-311095</v>
      </c>
      <c r="C34" s="12">
        <v>96652</v>
      </c>
      <c r="D34" s="12">
        <v>28432</v>
      </c>
      <c r="E34" s="12">
        <v>9203</v>
      </c>
      <c r="F34" s="12">
        <v>14867</v>
      </c>
      <c r="G34" s="12">
        <v>-43852</v>
      </c>
      <c r="H34" s="12">
        <v>13067</v>
      </c>
      <c r="I34" s="12">
        <v>35219</v>
      </c>
      <c r="J34" s="12">
        <v>-42077</v>
      </c>
      <c r="K34" s="12">
        <v>-194264</v>
      </c>
      <c r="L34" s="12">
        <v>-79087</v>
      </c>
      <c r="M34" s="12">
        <v>2373</v>
      </c>
      <c r="N34" s="12">
        <v>159331</v>
      </c>
      <c r="O34" s="12">
        <v>-28242</v>
      </c>
      <c r="P34" s="12">
        <v>-192746</v>
      </c>
      <c r="Q34" s="12">
        <v>-70269</v>
      </c>
      <c r="R34" s="12">
        <v>-33046</v>
      </c>
      <c r="S34" s="12">
        <v>-5359</v>
      </c>
      <c r="T34" s="12">
        <v>8745</v>
      </c>
      <c r="U34" s="12">
        <v>-15209</v>
      </c>
      <c r="V34" s="12">
        <v>14972</v>
      </c>
      <c r="W34" s="12">
        <v>16937</v>
      </c>
      <c r="X34" s="12">
        <v>-6740</v>
      </c>
    </row>
    <row r="35" spans="1:24" x14ac:dyDescent="0.2">
      <c r="A35" s="6" t="s">
        <v>56</v>
      </c>
      <c r="B35" s="11">
        <v>364730</v>
      </c>
      <c r="C35" s="11">
        <v>28800</v>
      </c>
      <c r="D35" s="11">
        <v>19057</v>
      </c>
      <c r="E35" s="11">
        <v>17319</v>
      </c>
      <c r="F35" s="11">
        <v>18525</v>
      </c>
      <c r="G35" s="11">
        <v>16217</v>
      </c>
      <c r="H35" s="11">
        <v>14179</v>
      </c>
      <c r="I35" s="11">
        <v>13432</v>
      </c>
      <c r="J35" s="11">
        <v>21377</v>
      </c>
      <c r="K35" s="11">
        <v>5315</v>
      </c>
      <c r="L35" s="11">
        <v>19571</v>
      </c>
      <c r="M35" s="11">
        <v>24634</v>
      </c>
      <c r="N35" s="11">
        <v>50110</v>
      </c>
      <c r="O35" s="11">
        <v>26778</v>
      </c>
      <c r="P35" s="11">
        <v>24402</v>
      </c>
      <c r="Q35" s="11">
        <v>21298</v>
      </c>
      <c r="R35" s="11">
        <v>20488</v>
      </c>
      <c r="S35" s="11">
        <v>4190</v>
      </c>
      <c r="T35" s="11">
        <v>5574</v>
      </c>
      <c r="U35" s="11">
        <v>2943</v>
      </c>
      <c r="V35" s="11">
        <v>6361</v>
      </c>
      <c r="W35" s="11">
        <v>4163</v>
      </c>
      <c r="X35" s="11">
        <v>0</v>
      </c>
    </row>
    <row r="36" spans="1:24" x14ac:dyDescent="0.2">
      <c r="A36" s="6" t="s">
        <v>57</v>
      </c>
      <c r="B36" s="12">
        <v>-675825</v>
      </c>
      <c r="C36" s="12">
        <v>67852</v>
      </c>
      <c r="D36" s="12">
        <v>9375</v>
      </c>
      <c r="E36" s="12">
        <v>-8116</v>
      </c>
      <c r="F36" s="12">
        <v>-3658</v>
      </c>
      <c r="G36" s="12">
        <v>-60069</v>
      </c>
      <c r="H36" s="12">
        <v>-1112</v>
      </c>
      <c r="I36" s="12">
        <v>21787</v>
      </c>
      <c r="J36" s="12">
        <v>-63454</v>
      </c>
      <c r="K36" s="12">
        <v>-199579</v>
      </c>
      <c r="L36" s="12">
        <v>-98658</v>
      </c>
      <c r="M36" s="12">
        <v>-22261</v>
      </c>
      <c r="N36" s="12">
        <v>109221</v>
      </c>
      <c r="O36" s="12">
        <v>-55020</v>
      </c>
      <c r="P36" s="12">
        <v>-217148</v>
      </c>
      <c r="Q36" s="12">
        <v>-91567</v>
      </c>
      <c r="R36" s="12">
        <v>-53534</v>
      </c>
      <c r="S36" s="12">
        <v>-9549</v>
      </c>
      <c r="T36" s="12">
        <v>3171</v>
      </c>
      <c r="U36" s="12">
        <v>-18152</v>
      </c>
      <c r="V36" s="12">
        <v>8611</v>
      </c>
      <c r="W36" s="12">
        <v>12774</v>
      </c>
      <c r="X36" s="12">
        <v>-6740</v>
      </c>
    </row>
    <row r="37" spans="1:24" x14ac:dyDescent="0.2">
      <c r="A37" s="6" t="s">
        <v>58</v>
      </c>
      <c r="B37" s="6" t="s">
        <v>32</v>
      </c>
      <c r="C37" s="6" t="s">
        <v>32</v>
      </c>
      <c r="D37" s="6" t="s">
        <v>32</v>
      </c>
      <c r="E37" s="6" t="s">
        <v>32</v>
      </c>
      <c r="F37" s="6" t="s">
        <v>32</v>
      </c>
      <c r="G37" s="6" t="s">
        <v>32</v>
      </c>
      <c r="H37" s="6" t="s">
        <v>32</v>
      </c>
      <c r="I37" s="6" t="s">
        <v>32</v>
      </c>
      <c r="J37" s="6" t="s">
        <v>32</v>
      </c>
      <c r="K37" s="6" t="s">
        <v>32</v>
      </c>
      <c r="L37" s="6" t="s">
        <v>32</v>
      </c>
      <c r="M37" s="6" t="s">
        <v>32</v>
      </c>
      <c r="N37" s="6" t="s">
        <v>32</v>
      </c>
      <c r="O37" s="6" t="s">
        <v>32</v>
      </c>
      <c r="P37" s="6" t="s">
        <v>32</v>
      </c>
      <c r="Q37" s="6" t="s">
        <v>32</v>
      </c>
      <c r="R37" s="6" t="s">
        <v>32</v>
      </c>
      <c r="S37" s="6" t="s">
        <v>32</v>
      </c>
      <c r="T37" s="6" t="s">
        <v>32</v>
      </c>
      <c r="U37" s="6" t="s">
        <v>32</v>
      </c>
      <c r="V37" s="6" t="s">
        <v>32</v>
      </c>
      <c r="W37" s="6" t="s">
        <v>32</v>
      </c>
      <c r="X37" s="6" t="s">
        <v>32</v>
      </c>
    </row>
    <row r="38" spans="1:24" x14ac:dyDescent="0.2">
      <c r="A38" s="6" t="s">
        <v>59</v>
      </c>
      <c r="B38" s="11">
        <v>3916</v>
      </c>
      <c r="C38" s="11">
        <v>774</v>
      </c>
      <c r="D38" s="11">
        <v>10</v>
      </c>
      <c r="E38" s="11">
        <v>53</v>
      </c>
      <c r="F38" s="11">
        <v>51</v>
      </c>
      <c r="G38" s="11">
        <v>23</v>
      </c>
      <c r="H38" s="11">
        <v>404</v>
      </c>
      <c r="I38" s="11">
        <v>166</v>
      </c>
      <c r="J38" s="11">
        <v>439</v>
      </c>
      <c r="K38" s="11">
        <v>0</v>
      </c>
      <c r="L38" s="11">
        <v>65</v>
      </c>
      <c r="M38" s="11">
        <v>9</v>
      </c>
      <c r="N38" s="11">
        <v>436</v>
      </c>
      <c r="O38" s="11">
        <v>0</v>
      </c>
      <c r="P38" s="11">
        <v>0</v>
      </c>
      <c r="Q38" s="11">
        <v>1082</v>
      </c>
      <c r="R38" s="11">
        <v>404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</row>
    <row r="39" spans="1:24" x14ac:dyDescent="0.2">
      <c r="A39" s="6" t="s">
        <v>60</v>
      </c>
      <c r="B39" s="11">
        <v>13</v>
      </c>
      <c r="C39" s="11">
        <v>7</v>
      </c>
      <c r="D39" s="11">
        <v>0</v>
      </c>
      <c r="E39" s="11">
        <v>0</v>
      </c>
      <c r="F39" s="11">
        <v>0</v>
      </c>
      <c r="G39" s="11">
        <v>6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</row>
    <row r="40" spans="1:24" x14ac:dyDescent="0.2">
      <c r="A40" s="6" t="s">
        <v>61</v>
      </c>
      <c r="B40" s="11">
        <v>7455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7455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1">
        <v>0</v>
      </c>
      <c r="X40" s="11">
        <v>0</v>
      </c>
    </row>
    <row r="41" spans="1:24" x14ac:dyDescent="0.2">
      <c r="A41" s="6" t="s">
        <v>62</v>
      </c>
      <c r="B41" s="11">
        <v>276</v>
      </c>
      <c r="C41" s="11">
        <v>0</v>
      </c>
      <c r="D41" s="11">
        <v>156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120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  <c r="X41" s="11">
        <v>0</v>
      </c>
    </row>
    <row r="42" spans="1:24" x14ac:dyDescent="0.2">
      <c r="A42" s="6" t="s">
        <v>63</v>
      </c>
      <c r="B42" s="11">
        <v>1200</v>
      </c>
      <c r="C42" s="11">
        <v>0</v>
      </c>
      <c r="D42" s="11">
        <v>1200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</row>
    <row r="43" spans="1:24" x14ac:dyDescent="0.2">
      <c r="A43" s="6" t="s">
        <v>64</v>
      </c>
      <c r="B43" s="11">
        <v>57225</v>
      </c>
      <c r="C43" s="11">
        <v>0</v>
      </c>
      <c r="D43" s="11">
        <v>4125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7355</v>
      </c>
      <c r="K43" s="11">
        <v>6773</v>
      </c>
      <c r="L43" s="11">
        <v>3093</v>
      </c>
      <c r="M43" s="11">
        <v>4244</v>
      </c>
      <c r="N43" s="11">
        <v>22643</v>
      </c>
      <c r="O43" s="11">
        <v>3054</v>
      </c>
      <c r="P43" s="11">
        <v>0</v>
      </c>
      <c r="Q43" s="11">
        <v>0</v>
      </c>
      <c r="R43" s="11">
        <v>5939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</row>
    <row r="44" spans="1:24" x14ac:dyDescent="0.2">
      <c r="A44" s="6" t="s">
        <v>65</v>
      </c>
      <c r="B44" s="11">
        <v>112222</v>
      </c>
      <c r="C44" s="11">
        <v>8112</v>
      </c>
      <c r="D44" s="11">
        <v>6082</v>
      </c>
      <c r="E44" s="11">
        <v>12047</v>
      </c>
      <c r="F44" s="11">
        <v>12533</v>
      </c>
      <c r="G44" s="11">
        <v>8296</v>
      </c>
      <c r="H44" s="11">
        <v>12035</v>
      </c>
      <c r="I44" s="11">
        <v>4819</v>
      </c>
      <c r="J44" s="11">
        <v>983</v>
      </c>
      <c r="K44" s="11">
        <v>4293</v>
      </c>
      <c r="L44" s="11">
        <v>5390</v>
      </c>
      <c r="M44" s="11">
        <v>7785</v>
      </c>
      <c r="N44" s="11">
        <v>16596</v>
      </c>
      <c r="O44" s="11">
        <v>-5439</v>
      </c>
      <c r="P44" s="11">
        <v>5293</v>
      </c>
      <c r="Q44" s="11">
        <v>5711</v>
      </c>
      <c r="R44" s="11">
        <v>7686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</row>
    <row r="45" spans="1:24" x14ac:dyDescent="0.2">
      <c r="A45" s="6" t="s">
        <v>66</v>
      </c>
      <c r="B45" s="12">
        <v>182307</v>
      </c>
      <c r="C45" s="12">
        <v>8893</v>
      </c>
      <c r="D45" s="12">
        <v>11573</v>
      </c>
      <c r="E45" s="12">
        <v>12100</v>
      </c>
      <c r="F45" s="12">
        <v>12584</v>
      </c>
      <c r="G45" s="12">
        <v>8325</v>
      </c>
      <c r="H45" s="12">
        <v>12439</v>
      </c>
      <c r="I45" s="12">
        <v>4985</v>
      </c>
      <c r="J45" s="12">
        <v>8777</v>
      </c>
      <c r="K45" s="12">
        <v>11066</v>
      </c>
      <c r="L45" s="12">
        <v>16003</v>
      </c>
      <c r="M45" s="12">
        <v>12038</v>
      </c>
      <c r="N45" s="12">
        <v>39675</v>
      </c>
      <c r="O45" s="12">
        <v>-2385</v>
      </c>
      <c r="P45" s="12">
        <v>5293</v>
      </c>
      <c r="Q45" s="12">
        <v>6793</v>
      </c>
      <c r="R45" s="12">
        <v>14149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</row>
    <row r="46" spans="1:24" x14ac:dyDescent="0.2">
      <c r="A46" s="6" t="s">
        <v>67</v>
      </c>
      <c r="B46" s="13">
        <v>-493518</v>
      </c>
      <c r="C46" s="13">
        <v>76745</v>
      </c>
      <c r="D46" s="13">
        <v>20948</v>
      </c>
      <c r="E46" s="13">
        <v>3984</v>
      </c>
      <c r="F46" s="13">
        <v>8926</v>
      </c>
      <c r="G46" s="13">
        <v>-51744</v>
      </c>
      <c r="H46" s="13">
        <v>11327</v>
      </c>
      <c r="I46" s="13">
        <v>26772</v>
      </c>
      <c r="J46" s="13">
        <v>-54677</v>
      </c>
      <c r="K46" s="13">
        <v>-188513</v>
      </c>
      <c r="L46" s="13">
        <v>-82655</v>
      </c>
      <c r="M46" s="13">
        <v>-10223</v>
      </c>
      <c r="N46" s="13">
        <v>148896</v>
      </c>
      <c r="O46" s="13">
        <v>-57405</v>
      </c>
      <c r="P46" s="13">
        <v>-211855</v>
      </c>
      <c r="Q46" s="13">
        <v>-84774</v>
      </c>
      <c r="R46" s="13">
        <v>-39385</v>
      </c>
      <c r="S46" s="13">
        <v>-9549</v>
      </c>
      <c r="T46" s="13">
        <v>3171</v>
      </c>
      <c r="U46" s="13">
        <v>-18152</v>
      </c>
      <c r="V46" s="13">
        <v>8611</v>
      </c>
      <c r="W46" s="13">
        <v>12774</v>
      </c>
      <c r="X46" s="13">
        <v>-6740</v>
      </c>
    </row>
    <row r="47" spans="1:24" x14ac:dyDescent="0.2">
      <c r="A47" s="6" t="s">
        <v>68</v>
      </c>
      <c r="B47" s="14">
        <v>-493518</v>
      </c>
      <c r="C47" s="14">
        <v>76745</v>
      </c>
      <c r="D47" s="14">
        <v>20948</v>
      </c>
      <c r="E47" s="14">
        <v>3984</v>
      </c>
      <c r="F47" s="14">
        <v>8926</v>
      </c>
      <c r="G47" s="14">
        <v>-51744</v>
      </c>
      <c r="H47" s="14">
        <v>11327</v>
      </c>
      <c r="I47" s="14">
        <v>26772</v>
      </c>
      <c r="J47" s="14">
        <v>-54677</v>
      </c>
      <c r="K47" s="14">
        <v>-188513</v>
      </c>
      <c r="L47" s="14">
        <v>-82655</v>
      </c>
      <c r="M47" s="14">
        <v>-10223</v>
      </c>
      <c r="N47" s="14">
        <v>148896</v>
      </c>
      <c r="O47" s="14">
        <v>-57405</v>
      </c>
      <c r="P47" s="14">
        <v>-211855</v>
      </c>
      <c r="Q47" s="14">
        <v>-84774</v>
      </c>
      <c r="R47" s="14">
        <v>-39385</v>
      </c>
      <c r="S47" s="14">
        <v>-9549</v>
      </c>
      <c r="T47" s="14">
        <v>3171</v>
      </c>
      <c r="U47" s="14">
        <v>-18152</v>
      </c>
      <c r="V47" s="14">
        <v>8611</v>
      </c>
      <c r="W47" s="14">
        <v>12774</v>
      </c>
      <c r="X47" s="14">
        <v>-6740</v>
      </c>
    </row>
    <row r="48" spans="1:24" x14ac:dyDescent="0.2">
      <c r="A48" s="4" t="s">
        <v>6</v>
      </c>
    </row>
    <row r="49" spans="1:24" x14ac:dyDescent="0.2">
      <c r="A49" s="4" t="s">
        <v>401</v>
      </c>
      <c r="B49" s="37">
        <f>B47+B32+B31+B29+B27+B30</f>
        <v>72583</v>
      </c>
      <c r="C49" s="37">
        <f t="shared" ref="C49:X49" si="0">C47+C32+C31+C29+C27+C30</f>
        <v>113221</v>
      </c>
      <c r="D49" s="37">
        <f t="shared" si="0"/>
        <v>42050</v>
      </c>
      <c r="E49" s="37">
        <f t="shared" si="0"/>
        <v>24957</v>
      </c>
      <c r="F49" s="37">
        <f t="shared" si="0"/>
        <v>29511</v>
      </c>
      <c r="G49" s="37">
        <f t="shared" si="0"/>
        <v>-19432</v>
      </c>
      <c r="H49" s="37">
        <f t="shared" si="0"/>
        <v>33421</v>
      </c>
      <c r="I49" s="37">
        <f t="shared" si="0"/>
        <v>47153</v>
      </c>
      <c r="J49" s="37">
        <f t="shared" si="0"/>
        <v>-24505</v>
      </c>
      <c r="K49" s="37">
        <f t="shared" si="0"/>
        <v>-167547</v>
      </c>
      <c r="L49" s="37">
        <f t="shared" si="0"/>
        <v>-47583</v>
      </c>
      <c r="M49" s="37">
        <f t="shared" si="0"/>
        <v>23336</v>
      </c>
      <c r="N49" s="37">
        <f t="shared" si="0"/>
        <v>218890</v>
      </c>
      <c r="O49" s="37">
        <f t="shared" si="0"/>
        <v>-8891</v>
      </c>
      <c r="P49" s="37">
        <f t="shared" si="0"/>
        <v>-166096</v>
      </c>
      <c r="Q49" s="37">
        <f t="shared" si="0"/>
        <v>-46734</v>
      </c>
      <c r="R49" s="37">
        <f t="shared" si="0"/>
        <v>-566</v>
      </c>
      <c r="S49" s="37">
        <f t="shared" si="0"/>
        <v>-5111</v>
      </c>
      <c r="T49" s="37">
        <f t="shared" si="0"/>
        <v>9849</v>
      </c>
      <c r="U49" s="37">
        <f t="shared" si="0"/>
        <v>-12518</v>
      </c>
      <c r="V49" s="37">
        <f t="shared" si="0"/>
        <v>15989</v>
      </c>
      <c r="W49" s="37">
        <f t="shared" si="0"/>
        <v>19926</v>
      </c>
      <c r="X49" s="37">
        <f t="shared" si="0"/>
        <v>-6740</v>
      </c>
    </row>
    <row r="50" spans="1:24" x14ac:dyDescent="0.2">
      <c r="A50" s="3" t="s">
        <v>6</v>
      </c>
    </row>
    <row r="51" spans="1:24" x14ac:dyDescent="0.2">
      <c r="A51" s="34" t="s">
        <v>402</v>
      </c>
    </row>
    <row r="52" spans="1:24" x14ac:dyDescent="0.2">
      <c r="A52" s="3" t="s">
        <v>403</v>
      </c>
      <c r="B52" s="11">
        <v>121517</v>
      </c>
      <c r="C52" s="11">
        <v>2500</v>
      </c>
      <c r="D52" s="11">
        <v>2500</v>
      </c>
      <c r="E52" s="11">
        <v>2500</v>
      </c>
      <c r="F52" s="11">
        <v>2500</v>
      </c>
      <c r="G52" s="11">
        <v>2500</v>
      </c>
      <c r="H52" s="11">
        <v>2500</v>
      </c>
      <c r="I52" s="11">
        <v>2500</v>
      </c>
      <c r="J52" s="11">
        <v>10519</v>
      </c>
      <c r="K52" s="11">
        <v>12365</v>
      </c>
      <c r="L52" s="11">
        <v>14154</v>
      </c>
      <c r="M52" s="11">
        <v>10519</v>
      </c>
      <c r="N52" s="11">
        <v>10519</v>
      </c>
      <c r="O52" s="11">
        <v>11298</v>
      </c>
      <c r="P52" s="11">
        <v>28643</v>
      </c>
      <c r="Q52" s="11">
        <v>3000</v>
      </c>
      <c r="R52" s="11">
        <v>3000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</row>
    <row r="53" spans="1:24" x14ac:dyDescent="0.2">
      <c r="A53" s="3" t="s">
        <v>404</v>
      </c>
      <c r="B53" s="11">
        <v>6961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547</v>
      </c>
      <c r="K53" s="11">
        <v>216</v>
      </c>
      <c r="L53" s="11">
        <v>584</v>
      </c>
      <c r="M53" s="11">
        <v>714</v>
      </c>
      <c r="N53" s="11">
        <v>1523</v>
      </c>
      <c r="O53" s="11">
        <v>884</v>
      </c>
      <c r="P53" s="11">
        <v>753</v>
      </c>
      <c r="Q53" s="11">
        <v>712</v>
      </c>
      <c r="R53" s="11">
        <v>620</v>
      </c>
      <c r="S53" s="11">
        <v>0</v>
      </c>
      <c r="T53" s="11">
        <v>0</v>
      </c>
      <c r="U53" s="11">
        <v>0</v>
      </c>
      <c r="V53" s="11">
        <v>300</v>
      </c>
      <c r="W53" s="11">
        <v>108</v>
      </c>
      <c r="X53" s="11">
        <v>0</v>
      </c>
    </row>
    <row r="54" spans="1:24" x14ac:dyDescent="0.2">
      <c r="A54" s="3" t="s">
        <v>405</v>
      </c>
      <c r="B54" s="11">
        <v>109562</v>
      </c>
      <c r="C54" s="11">
        <v>690</v>
      </c>
      <c r="D54" s="11">
        <v>557</v>
      </c>
      <c r="E54" s="11">
        <v>674</v>
      </c>
      <c r="F54" s="11">
        <v>642</v>
      </c>
      <c r="G54" s="11">
        <v>1662</v>
      </c>
      <c r="H54" s="11">
        <v>528</v>
      </c>
      <c r="I54" s="11">
        <v>539</v>
      </c>
      <c r="J54" s="11">
        <v>15000</v>
      </c>
      <c r="K54" s="11">
        <v>15000</v>
      </c>
      <c r="L54" s="11">
        <v>15000</v>
      </c>
      <c r="M54" s="11">
        <v>15000</v>
      </c>
      <c r="N54" s="11">
        <v>12000</v>
      </c>
      <c r="O54" s="11">
        <v>15000</v>
      </c>
      <c r="P54" s="11">
        <v>15000</v>
      </c>
      <c r="Q54" s="11">
        <v>1518</v>
      </c>
      <c r="R54" s="11">
        <v>752</v>
      </c>
      <c r="S54" s="11">
        <v>0</v>
      </c>
      <c r="T54" s="11">
        <v>0</v>
      </c>
      <c r="U54" s="11">
        <v>0</v>
      </c>
      <c r="V54" s="11">
        <v>0</v>
      </c>
      <c r="W54" s="11">
        <v>0</v>
      </c>
      <c r="X54" s="11">
        <v>0</v>
      </c>
    </row>
    <row r="55" spans="1:24" x14ac:dyDescent="0.2">
      <c r="A55" s="3" t="s">
        <v>406</v>
      </c>
      <c r="B55" s="11">
        <v>167000</v>
      </c>
      <c r="C55" s="11">
        <v>11000</v>
      </c>
      <c r="D55" s="11">
        <v>11000</v>
      </c>
      <c r="E55" s="11">
        <v>11000</v>
      </c>
      <c r="F55" s="11">
        <v>11000</v>
      </c>
      <c r="G55" s="11">
        <v>11000</v>
      </c>
      <c r="H55" s="11">
        <v>11000</v>
      </c>
      <c r="I55" s="11">
        <v>11000</v>
      </c>
      <c r="J55" s="11">
        <v>8000</v>
      </c>
      <c r="K55" s="11">
        <v>8000</v>
      </c>
      <c r="L55" s="11">
        <v>8000</v>
      </c>
      <c r="M55" s="11">
        <v>8000</v>
      </c>
      <c r="N55" s="11">
        <v>8000</v>
      </c>
      <c r="O55" s="11">
        <v>8000</v>
      </c>
      <c r="P55" s="11">
        <v>8000</v>
      </c>
      <c r="Q55" s="11">
        <v>11000</v>
      </c>
      <c r="R55" s="11">
        <v>11000</v>
      </c>
      <c r="S55" s="11">
        <v>2000</v>
      </c>
      <c r="T55" s="11">
        <v>2000</v>
      </c>
      <c r="U55" s="11">
        <v>2000</v>
      </c>
      <c r="V55" s="11">
        <v>2000</v>
      </c>
      <c r="W55" s="11">
        <v>2000</v>
      </c>
      <c r="X55" s="11">
        <v>2000</v>
      </c>
    </row>
    <row r="56" spans="1:24" x14ac:dyDescent="0.2">
      <c r="A56" s="3" t="s">
        <v>407</v>
      </c>
      <c r="B56" s="11">
        <v>120780</v>
      </c>
      <c r="C56" s="11">
        <v>6182</v>
      </c>
      <c r="D56" s="11">
        <v>7682</v>
      </c>
      <c r="E56" s="11">
        <v>4582</v>
      </c>
      <c r="F56" s="11">
        <v>6182</v>
      </c>
      <c r="G56" s="11">
        <v>6182</v>
      </c>
      <c r="H56" s="11">
        <v>3682</v>
      </c>
      <c r="I56" s="11">
        <v>5082</v>
      </c>
      <c r="J56" s="11">
        <v>6750</v>
      </c>
      <c r="K56" s="11">
        <v>5000</v>
      </c>
      <c r="L56" s="11">
        <v>8500</v>
      </c>
      <c r="M56" s="11">
        <v>6600</v>
      </c>
      <c r="N56" s="11">
        <v>7050</v>
      </c>
      <c r="O56" s="11">
        <v>8800</v>
      </c>
      <c r="P56" s="11">
        <v>7500</v>
      </c>
      <c r="Q56" s="11">
        <v>15540</v>
      </c>
      <c r="R56" s="11">
        <v>5464</v>
      </c>
      <c r="S56" s="11">
        <v>2250</v>
      </c>
      <c r="T56" s="11">
        <v>2250</v>
      </c>
      <c r="U56" s="11">
        <v>2250</v>
      </c>
      <c r="V56" s="11">
        <v>500</v>
      </c>
      <c r="W56" s="11">
        <v>500</v>
      </c>
      <c r="X56" s="11">
        <v>2250</v>
      </c>
    </row>
    <row r="57" spans="1:24" x14ac:dyDescent="0.2">
      <c r="A57" s="35" t="s">
        <v>408</v>
      </c>
      <c r="B57" s="36">
        <f>SUM(B52:B56)</f>
        <v>525820</v>
      </c>
      <c r="C57" s="36">
        <f t="shared" ref="C57:X57" si="1">SUM(C52:C56)</f>
        <v>20372</v>
      </c>
      <c r="D57" s="36">
        <f t="shared" si="1"/>
        <v>21739</v>
      </c>
      <c r="E57" s="36">
        <f t="shared" si="1"/>
        <v>18756</v>
      </c>
      <c r="F57" s="36">
        <f t="shared" si="1"/>
        <v>20324</v>
      </c>
      <c r="G57" s="36">
        <f t="shared" si="1"/>
        <v>21344</v>
      </c>
      <c r="H57" s="36">
        <f t="shared" si="1"/>
        <v>17710</v>
      </c>
      <c r="I57" s="36">
        <f t="shared" si="1"/>
        <v>19121</v>
      </c>
      <c r="J57" s="36">
        <f t="shared" si="1"/>
        <v>40816</v>
      </c>
      <c r="K57" s="36">
        <f t="shared" si="1"/>
        <v>40581</v>
      </c>
      <c r="L57" s="36">
        <f t="shared" si="1"/>
        <v>46238</v>
      </c>
      <c r="M57" s="36">
        <f t="shared" si="1"/>
        <v>40833</v>
      </c>
      <c r="N57" s="36">
        <f t="shared" si="1"/>
        <v>39092</v>
      </c>
      <c r="O57" s="36">
        <f t="shared" si="1"/>
        <v>43982</v>
      </c>
      <c r="P57" s="36">
        <f t="shared" si="1"/>
        <v>59896</v>
      </c>
      <c r="Q57" s="36">
        <f t="shared" si="1"/>
        <v>31770</v>
      </c>
      <c r="R57" s="36">
        <f t="shared" si="1"/>
        <v>20836</v>
      </c>
      <c r="S57" s="36">
        <f t="shared" si="1"/>
        <v>4250</v>
      </c>
      <c r="T57" s="36">
        <f t="shared" si="1"/>
        <v>4250</v>
      </c>
      <c r="U57" s="36">
        <f t="shared" si="1"/>
        <v>4250</v>
      </c>
      <c r="V57" s="36">
        <f t="shared" si="1"/>
        <v>2800</v>
      </c>
      <c r="W57" s="36">
        <f t="shared" si="1"/>
        <v>2608</v>
      </c>
      <c r="X57" s="36">
        <f t="shared" si="1"/>
        <v>4250</v>
      </c>
    </row>
    <row r="58" spans="1:24" x14ac:dyDescent="0.2">
      <c r="A58" s="34" t="s">
        <v>409</v>
      </c>
      <c r="B58" s="37">
        <f>B57+B49</f>
        <v>598403</v>
      </c>
      <c r="C58" s="37">
        <f t="shared" ref="C58:X58" si="2">C57+C49</f>
        <v>133593</v>
      </c>
      <c r="D58" s="37">
        <f t="shared" si="2"/>
        <v>63789</v>
      </c>
      <c r="E58" s="37">
        <f t="shared" si="2"/>
        <v>43713</v>
      </c>
      <c r="F58" s="37">
        <f t="shared" si="2"/>
        <v>49835</v>
      </c>
      <c r="G58" s="37">
        <f t="shared" si="2"/>
        <v>1912</v>
      </c>
      <c r="H58" s="37">
        <f t="shared" si="2"/>
        <v>51131</v>
      </c>
      <c r="I58" s="37">
        <f t="shared" si="2"/>
        <v>66274</v>
      </c>
      <c r="J58" s="37">
        <f t="shared" si="2"/>
        <v>16311</v>
      </c>
      <c r="K58" s="37">
        <f t="shared" si="2"/>
        <v>-126966</v>
      </c>
      <c r="L58" s="37">
        <f t="shared" si="2"/>
        <v>-1345</v>
      </c>
      <c r="M58" s="37">
        <f t="shared" si="2"/>
        <v>64169</v>
      </c>
      <c r="N58" s="37">
        <f t="shared" si="2"/>
        <v>257982</v>
      </c>
      <c r="O58" s="37">
        <f t="shared" si="2"/>
        <v>35091</v>
      </c>
      <c r="P58" s="37">
        <f t="shared" si="2"/>
        <v>-106200</v>
      </c>
      <c r="Q58" s="37">
        <f t="shared" si="2"/>
        <v>-14964</v>
      </c>
      <c r="R58" s="37">
        <f t="shared" si="2"/>
        <v>20270</v>
      </c>
      <c r="S58" s="37">
        <f t="shared" si="2"/>
        <v>-861</v>
      </c>
      <c r="T58" s="37">
        <f t="shared" si="2"/>
        <v>14099</v>
      </c>
      <c r="U58" s="37">
        <f t="shared" si="2"/>
        <v>-8268</v>
      </c>
      <c r="V58" s="37">
        <f t="shared" si="2"/>
        <v>18789</v>
      </c>
      <c r="W58" s="37">
        <f t="shared" si="2"/>
        <v>22534</v>
      </c>
      <c r="X58" s="37">
        <f t="shared" si="2"/>
        <v>-2490</v>
      </c>
    </row>
  </sheetData>
  <pageMargins left="0.75" right="0.75" top="1" bottom="1" header="0.5" footer="0.5"/>
  <pageSetup orientation="portrait" horizontalDpi="300" verticalDpi="300"/>
  <ignoredErrors>
    <ignoredError sqref="A1:IV48 A59:IV65536 B50:IV51 Y58:IV58 Y52:IV52 Y53:IV53 Y54:IV54 Y55:IV55 Y56:IV56 Y57:IV57 Y49:IV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1"/>
  <sheetViews>
    <sheetView topLeftCell="J65" workbookViewId="0">
      <selection activeCell="B87" sqref="B87:X87"/>
    </sheetView>
  </sheetViews>
  <sheetFormatPr defaultColWidth="9.140625" defaultRowHeight="12.75" x14ac:dyDescent="0.2"/>
  <cols>
    <col min="1" max="1" width="47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69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37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38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</row>
    <row r="13" spans="1:24" x14ac:dyDescent="0.2">
      <c r="A13" s="6" t="s">
        <v>71</v>
      </c>
      <c r="B13" s="11">
        <v>2326415</v>
      </c>
      <c r="C13" s="11">
        <v>118265</v>
      </c>
      <c r="D13" s="11">
        <v>113720</v>
      </c>
      <c r="E13" s="11">
        <v>115182</v>
      </c>
      <c r="F13" s="11">
        <v>114507</v>
      </c>
      <c r="G13" s="11">
        <v>110152</v>
      </c>
      <c r="H13" s="11">
        <v>93716</v>
      </c>
      <c r="I13" s="11">
        <v>76213</v>
      </c>
      <c r="J13" s="11">
        <v>108011</v>
      </c>
      <c r="K13" s="11">
        <v>85582</v>
      </c>
      <c r="L13" s="11">
        <v>150177</v>
      </c>
      <c r="M13" s="11">
        <v>152665</v>
      </c>
      <c r="N13" s="11">
        <v>284030</v>
      </c>
      <c r="O13" s="11">
        <v>160446</v>
      </c>
      <c r="P13" s="11">
        <v>195090</v>
      </c>
      <c r="Q13" s="11">
        <v>161375</v>
      </c>
      <c r="R13" s="11">
        <v>137172</v>
      </c>
      <c r="S13" s="11">
        <v>42826</v>
      </c>
      <c r="T13" s="11">
        <v>33374</v>
      </c>
      <c r="U13" s="11">
        <v>24872</v>
      </c>
      <c r="V13" s="11">
        <v>37084</v>
      </c>
      <c r="W13" s="11">
        <v>11959</v>
      </c>
      <c r="X13" s="11">
        <v>0</v>
      </c>
    </row>
    <row r="14" spans="1:24" x14ac:dyDescent="0.2">
      <c r="A14" s="6" t="s">
        <v>72</v>
      </c>
      <c r="B14" s="11">
        <v>188368</v>
      </c>
      <c r="C14" s="11">
        <v>13707</v>
      </c>
      <c r="D14" s="11">
        <v>6612</v>
      </c>
      <c r="E14" s="11">
        <v>8474</v>
      </c>
      <c r="F14" s="11">
        <v>9360</v>
      </c>
      <c r="G14" s="11">
        <v>7797</v>
      </c>
      <c r="H14" s="11">
        <v>1796</v>
      </c>
      <c r="I14" s="11">
        <v>2248</v>
      </c>
      <c r="J14" s="11">
        <v>8777</v>
      </c>
      <c r="K14" s="11">
        <v>4796</v>
      </c>
      <c r="L14" s="11">
        <v>6999</v>
      </c>
      <c r="M14" s="11">
        <v>10383</v>
      </c>
      <c r="N14" s="11">
        <v>25164</v>
      </c>
      <c r="O14" s="11">
        <v>10120</v>
      </c>
      <c r="P14" s="11">
        <v>19776</v>
      </c>
      <c r="Q14" s="11">
        <v>24578</v>
      </c>
      <c r="R14" s="11">
        <v>23065</v>
      </c>
      <c r="S14" s="11">
        <v>614</v>
      </c>
      <c r="T14" s="11">
        <v>3013</v>
      </c>
      <c r="U14" s="11">
        <v>695</v>
      </c>
      <c r="V14" s="11">
        <v>393</v>
      </c>
      <c r="W14" s="11">
        <v>0</v>
      </c>
      <c r="X14" s="11">
        <v>0</v>
      </c>
    </row>
    <row r="15" spans="1:24" x14ac:dyDescent="0.2">
      <c r="A15" s="6" t="s">
        <v>73</v>
      </c>
      <c r="B15" s="11">
        <v>24164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9268</v>
      </c>
      <c r="M15" s="11">
        <v>1250</v>
      </c>
      <c r="N15" s="11">
        <v>2129</v>
      </c>
      <c r="O15" s="11">
        <v>214</v>
      </c>
      <c r="P15" s="11">
        <v>11303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</row>
    <row r="16" spans="1:24" x14ac:dyDescent="0.2">
      <c r="A16" s="6" t="s">
        <v>74</v>
      </c>
      <c r="B16" s="11">
        <v>4345</v>
      </c>
      <c r="C16" s="11">
        <v>0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775</v>
      </c>
      <c r="M16" s="11">
        <v>0</v>
      </c>
      <c r="N16" s="11">
        <v>875</v>
      </c>
      <c r="O16" s="11">
        <v>1510</v>
      </c>
      <c r="P16" s="11">
        <v>250</v>
      </c>
      <c r="Q16" s="11">
        <v>50</v>
      </c>
      <c r="R16" s="11">
        <v>584</v>
      </c>
      <c r="S16" s="11">
        <v>0</v>
      </c>
      <c r="T16" s="11">
        <v>300</v>
      </c>
      <c r="U16" s="11">
        <v>0</v>
      </c>
      <c r="V16" s="11">
        <v>0</v>
      </c>
      <c r="W16" s="11">
        <v>0</v>
      </c>
      <c r="X16" s="11">
        <v>0</v>
      </c>
    </row>
    <row r="17" spans="1:24" x14ac:dyDescent="0.2">
      <c r="A17" s="6" t="s">
        <v>75</v>
      </c>
      <c r="B17" s="11">
        <v>101254</v>
      </c>
      <c r="C17" s="11">
        <v>3325</v>
      </c>
      <c r="D17" s="11">
        <v>7092</v>
      </c>
      <c r="E17" s="11">
        <v>4829</v>
      </c>
      <c r="F17" s="11">
        <v>4350</v>
      </c>
      <c r="G17" s="11">
        <v>3365</v>
      </c>
      <c r="H17" s="11">
        <v>3687</v>
      </c>
      <c r="I17" s="11">
        <v>2612</v>
      </c>
      <c r="J17" s="11">
        <v>5559</v>
      </c>
      <c r="K17" s="11">
        <v>2657</v>
      </c>
      <c r="L17" s="11">
        <v>6625</v>
      </c>
      <c r="M17" s="11">
        <v>3303</v>
      </c>
      <c r="N17" s="11">
        <v>19180</v>
      </c>
      <c r="O17" s="11">
        <v>9123</v>
      </c>
      <c r="P17" s="11">
        <v>6207</v>
      </c>
      <c r="Q17" s="11">
        <v>7348</v>
      </c>
      <c r="R17" s="11">
        <v>7456</v>
      </c>
      <c r="S17" s="11">
        <v>-1014</v>
      </c>
      <c r="T17" s="11">
        <v>1932</v>
      </c>
      <c r="U17" s="11">
        <v>936</v>
      </c>
      <c r="V17" s="11">
        <v>623</v>
      </c>
      <c r="W17" s="11">
        <v>2059</v>
      </c>
      <c r="X17" s="11">
        <v>0</v>
      </c>
    </row>
    <row r="18" spans="1:24" x14ac:dyDescent="0.2">
      <c r="A18" s="6" t="s">
        <v>76</v>
      </c>
      <c r="B18" s="11">
        <v>68085</v>
      </c>
      <c r="C18" s="11">
        <v>3684</v>
      </c>
      <c r="D18" s="11">
        <v>5183</v>
      </c>
      <c r="E18" s="11">
        <v>3624</v>
      </c>
      <c r="F18" s="11">
        <v>6234</v>
      </c>
      <c r="G18" s="11">
        <v>3795</v>
      </c>
      <c r="H18" s="11">
        <v>5230</v>
      </c>
      <c r="I18" s="11">
        <v>3304</v>
      </c>
      <c r="J18" s="11">
        <v>2647</v>
      </c>
      <c r="K18" s="11">
        <v>2467</v>
      </c>
      <c r="L18" s="11">
        <v>1104</v>
      </c>
      <c r="M18" s="11">
        <v>3745</v>
      </c>
      <c r="N18" s="11">
        <v>8324</v>
      </c>
      <c r="O18" s="11">
        <v>5144</v>
      </c>
      <c r="P18" s="11">
        <v>5197</v>
      </c>
      <c r="Q18" s="11">
        <v>2215</v>
      </c>
      <c r="R18" s="11">
        <v>3257</v>
      </c>
      <c r="S18" s="11">
        <v>280</v>
      </c>
      <c r="T18" s="11">
        <v>912</v>
      </c>
      <c r="U18" s="11">
        <v>0</v>
      </c>
      <c r="V18" s="11">
        <v>1357</v>
      </c>
      <c r="W18" s="11">
        <v>379</v>
      </c>
      <c r="X18" s="11">
        <v>0</v>
      </c>
    </row>
    <row r="19" spans="1:24" x14ac:dyDescent="0.2">
      <c r="A19" s="6" t="s">
        <v>77</v>
      </c>
      <c r="B19" s="11">
        <v>300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50</v>
      </c>
      <c r="K19" s="11">
        <v>50</v>
      </c>
      <c r="L19" s="11">
        <v>50</v>
      </c>
      <c r="M19" s="11">
        <v>50</v>
      </c>
      <c r="N19" s="11">
        <v>50</v>
      </c>
      <c r="O19" s="11">
        <v>0</v>
      </c>
      <c r="P19" s="11">
        <v>50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x14ac:dyDescent="0.2">
      <c r="A20" s="6" t="s">
        <v>78</v>
      </c>
      <c r="B20" s="11">
        <v>54242</v>
      </c>
      <c r="C20" s="11">
        <v>4997</v>
      </c>
      <c r="D20" s="11">
        <v>2456</v>
      </c>
      <c r="E20" s="11">
        <v>2817</v>
      </c>
      <c r="F20" s="11">
        <v>6886</v>
      </c>
      <c r="G20" s="11">
        <v>4103</v>
      </c>
      <c r="H20" s="11">
        <v>1907</v>
      </c>
      <c r="I20" s="11">
        <v>2448</v>
      </c>
      <c r="J20" s="11">
        <v>1585</v>
      </c>
      <c r="K20" s="11">
        <v>988</v>
      </c>
      <c r="L20" s="11">
        <v>5354</v>
      </c>
      <c r="M20" s="11">
        <v>2287</v>
      </c>
      <c r="N20" s="11">
        <v>4999</v>
      </c>
      <c r="O20" s="11">
        <v>2443</v>
      </c>
      <c r="P20" s="11">
        <v>4292</v>
      </c>
      <c r="Q20" s="11">
        <v>2938</v>
      </c>
      <c r="R20" s="11">
        <v>3116</v>
      </c>
      <c r="S20" s="11">
        <v>9</v>
      </c>
      <c r="T20" s="11">
        <v>387</v>
      </c>
      <c r="U20" s="11">
        <v>0</v>
      </c>
      <c r="V20" s="11">
        <v>232</v>
      </c>
      <c r="W20" s="11">
        <v>0</v>
      </c>
      <c r="X20" s="11">
        <v>0</v>
      </c>
    </row>
    <row r="21" spans="1:24" x14ac:dyDescent="0.2">
      <c r="A21" s="6" t="s">
        <v>79</v>
      </c>
      <c r="B21" s="11">
        <v>8743</v>
      </c>
      <c r="C21" s="11">
        <v>880</v>
      </c>
      <c r="D21" s="11">
        <v>929</v>
      </c>
      <c r="E21" s="11">
        <v>210</v>
      </c>
      <c r="F21" s="11">
        <v>615</v>
      </c>
      <c r="G21" s="11">
        <v>831</v>
      </c>
      <c r="H21" s="11">
        <v>0</v>
      </c>
      <c r="I21" s="11">
        <v>310</v>
      </c>
      <c r="J21" s="11">
        <v>501</v>
      </c>
      <c r="K21" s="11">
        <v>103</v>
      </c>
      <c r="L21" s="11">
        <v>619</v>
      </c>
      <c r="M21" s="11">
        <v>415</v>
      </c>
      <c r="N21" s="11">
        <v>925</v>
      </c>
      <c r="O21" s="11">
        <v>308</v>
      </c>
      <c r="P21" s="11">
        <v>411</v>
      </c>
      <c r="Q21" s="11">
        <v>1375</v>
      </c>
      <c r="R21" s="11">
        <v>206</v>
      </c>
      <c r="S21" s="11">
        <v>0</v>
      </c>
      <c r="T21" s="11">
        <v>0</v>
      </c>
      <c r="U21" s="11">
        <v>0</v>
      </c>
      <c r="V21" s="11">
        <v>103</v>
      </c>
      <c r="W21" s="11">
        <v>0</v>
      </c>
      <c r="X21" s="11">
        <v>0</v>
      </c>
    </row>
    <row r="22" spans="1:24" x14ac:dyDescent="0.2">
      <c r="A22" s="6" t="s">
        <v>80</v>
      </c>
      <c r="B22" s="11">
        <v>11992</v>
      </c>
      <c r="C22" s="11">
        <v>556</v>
      </c>
      <c r="D22" s="11">
        <v>1534</v>
      </c>
      <c r="E22" s="11">
        <v>3920</v>
      </c>
      <c r="F22" s="11">
        <v>322</v>
      </c>
      <c r="G22" s="11">
        <v>0</v>
      </c>
      <c r="H22" s="11">
        <v>0</v>
      </c>
      <c r="I22" s="11">
        <v>0</v>
      </c>
      <c r="J22" s="11">
        <v>0</v>
      </c>
      <c r="K22" s="11">
        <v>0</v>
      </c>
      <c r="L22" s="11">
        <v>1348</v>
      </c>
      <c r="M22" s="11">
        <v>1790</v>
      </c>
      <c r="N22" s="11">
        <v>916</v>
      </c>
      <c r="O22" s="11">
        <v>519</v>
      </c>
      <c r="P22" s="11">
        <v>949</v>
      </c>
      <c r="Q22" s="11">
        <v>139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</row>
    <row r="23" spans="1:24" x14ac:dyDescent="0.2">
      <c r="A23" s="6" t="s">
        <v>81</v>
      </c>
      <c r="B23" s="11">
        <v>-1128</v>
      </c>
      <c r="C23" s="11">
        <v>29</v>
      </c>
      <c r="D23" s="11">
        <v>1210</v>
      </c>
      <c r="E23" s="11">
        <v>295</v>
      </c>
      <c r="F23" s="11">
        <v>0</v>
      </c>
      <c r="G23" s="11">
        <v>87</v>
      </c>
      <c r="H23" s="11">
        <v>222</v>
      </c>
      <c r="I23" s="11">
        <v>0</v>
      </c>
      <c r="J23" s="11">
        <v>-3417</v>
      </c>
      <c r="K23" s="11">
        <v>0</v>
      </c>
      <c r="L23" s="11">
        <v>0</v>
      </c>
      <c r="M23" s="11">
        <v>298</v>
      </c>
      <c r="N23" s="11">
        <v>58</v>
      </c>
      <c r="O23" s="11">
        <v>34</v>
      </c>
      <c r="P23" s="11">
        <v>57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</row>
    <row r="24" spans="1:24" x14ac:dyDescent="0.2">
      <c r="A24" s="6" t="s">
        <v>82</v>
      </c>
      <c r="B24" s="11">
        <v>5668</v>
      </c>
      <c r="C24" s="11">
        <v>696</v>
      </c>
      <c r="D24" s="11">
        <v>493</v>
      </c>
      <c r="E24" s="11">
        <v>93</v>
      </c>
      <c r="F24" s="11">
        <v>0</v>
      </c>
      <c r="G24" s="11">
        <v>200</v>
      </c>
      <c r="H24" s="11">
        <v>246</v>
      </c>
      <c r="I24" s="11">
        <v>21</v>
      </c>
      <c r="J24" s="11">
        <v>20</v>
      </c>
      <c r="K24" s="11">
        <v>0</v>
      </c>
      <c r="L24" s="11">
        <v>343</v>
      </c>
      <c r="M24" s="11">
        <v>396</v>
      </c>
      <c r="N24" s="11">
        <v>51</v>
      </c>
      <c r="O24" s="11">
        <v>206</v>
      </c>
      <c r="P24" s="11">
        <v>565</v>
      </c>
      <c r="Q24" s="11">
        <v>1114</v>
      </c>
      <c r="R24" s="11">
        <v>866</v>
      </c>
      <c r="S24" s="11">
        <v>37</v>
      </c>
      <c r="T24" s="11">
        <v>140</v>
      </c>
      <c r="U24" s="11">
        <v>130</v>
      </c>
      <c r="V24" s="11">
        <v>51</v>
      </c>
      <c r="W24" s="11">
        <v>0</v>
      </c>
      <c r="X24" s="11">
        <v>0</v>
      </c>
    </row>
    <row r="25" spans="1:24" x14ac:dyDescent="0.2">
      <c r="A25" s="6" t="s">
        <v>83</v>
      </c>
      <c r="B25" s="11">
        <v>5645</v>
      </c>
      <c r="C25" s="11">
        <v>135</v>
      </c>
      <c r="D25" s="11">
        <v>404</v>
      </c>
      <c r="E25" s="11">
        <v>424</v>
      </c>
      <c r="F25" s="11">
        <v>173</v>
      </c>
      <c r="G25" s="11">
        <v>138</v>
      </c>
      <c r="H25" s="11">
        <v>155</v>
      </c>
      <c r="I25" s="11">
        <v>241</v>
      </c>
      <c r="J25" s="11">
        <v>358</v>
      </c>
      <c r="K25" s="11">
        <v>113</v>
      </c>
      <c r="L25" s="11">
        <v>315</v>
      </c>
      <c r="M25" s="11">
        <v>1065</v>
      </c>
      <c r="N25" s="11">
        <v>0</v>
      </c>
      <c r="O25" s="11">
        <v>759</v>
      </c>
      <c r="P25" s="11">
        <v>385</v>
      </c>
      <c r="Q25" s="11">
        <v>237</v>
      </c>
      <c r="R25" s="11">
        <v>590</v>
      </c>
      <c r="S25" s="11">
        <v>34</v>
      </c>
      <c r="T25" s="11">
        <v>0</v>
      </c>
      <c r="U25" s="11">
        <v>97</v>
      </c>
      <c r="V25" s="11">
        <v>20</v>
      </c>
      <c r="W25" s="11">
        <v>0</v>
      </c>
      <c r="X25" s="11">
        <v>0</v>
      </c>
    </row>
    <row r="26" spans="1:24" x14ac:dyDescent="0.2">
      <c r="A26" s="6" t="s">
        <v>84</v>
      </c>
      <c r="B26" s="11">
        <v>18599</v>
      </c>
      <c r="C26" s="11">
        <v>1325</v>
      </c>
      <c r="D26" s="11">
        <v>1285</v>
      </c>
      <c r="E26" s="11">
        <v>993</v>
      </c>
      <c r="F26" s="11">
        <v>2636</v>
      </c>
      <c r="G26" s="11">
        <v>652</v>
      </c>
      <c r="H26" s="11">
        <v>525</v>
      </c>
      <c r="I26" s="11">
        <v>136</v>
      </c>
      <c r="J26" s="11">
        <v>824</v>
      </c>
      <c r="K26" s="11">
        <v>179</v>
      </c>
      <c r="L26" s="11">
        <v>687</v>
      </c>
      <c r="M26" s="11">
        <v>837</v>
      </c>
      <c r="N26" s="11">
        <v>2233</v>
      </c>
      <c r="O26" s="11">
        <v>709</v>
      </c>
      <c r="P26" s="11">
        <v>2166</v>
      </c>
      <c r="Q26" s="11">
        <v>2365</v>
      </c>
      <c r="R26" s="11">
        <v>1048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  <c r="X26" s="11">
        <v>0</v>
      </c>
    </row>
    <row r="27" spans="1:24" x14ac:dyDescent="0.2">
      <c r="A27" s="6" t="s">
        <v>85</v>
      </c>
      <c r="B27" s="11">
        <v>994</v>
      </c>
      <c r="C27" s="11">
        <v>0</v>
      </c>
      <c r="D27" s="11">
        <v>0</v>
      </c>
      <c r="E27" s="11">
        <v>0</v>
      </c>
      <c r="F27" s="11">
        <v>978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16</v>
      </c>
      <c r="T27" s="11">
        <v>0</v>
      </c>
      <c r="U27" s="11">
        <v>0</v>
      </c>
      <c r="V27" s="11">
        <v>0</v>
      </c>
      <c r="W27" s="11">
        <v>0</v>
      </c>
      <c r="X27" s="11">
        <v>0</v>
      </c>
    </row>
    <row r="28" spans="1:24" x14ac:dyDescent="0.2">
      <c r="A28" s="6" t="s">
        <v>86</v>
      </c>
      <c r="B28" s="11">
        <v>7658</v>
      </c>
      <c r="C28" s="11">
        <v>820</v>
      </c>
      <c r="D28" s="11">
        <v>795</v>
      </c>
      <c r="E28" s="11">
        <v>0</v>
      </c>
      <c r="F28" s="11">
        <v>0</v>
      </c>
      <c r="G28" s="11">
        <v>480</v>
      </c>
      <c r="H28" s="11">
        <v>1055</v>
      </c>
      <c r="I28" s="11">
        <v>170</v>
      </c>
      <c r="J28" s="11">
        <v>109</v>
      </c>
      <c r="K28" s="11">
        <v>0</v>
      </c>
      <c r="L28" s="11">
        <v>0</v>
      </c>
      <c r="M28" s="11">
        <v>1001</v>
      </c>
      <c r="N28" s="11">
        <v>1416</v>
      </c>
      <c r="O28" s="11">
        <v>570</v>
      </c>
      <c r="P28" s="11">
        <v>0</v>
      </c>
      <c r="Q28" s="11">
        <v>832</v>
      </c>
      <c r="R28" s="11">
        <v>410</v>
      </c>
      <c r="S28" s="11">
        <v>0</v>
      </c>
      <c r="T28" s="11">
        <v>0</v>
      </c>
      <c r="U28" s="11">
        <v>0</v>
      </c>
      <c r="V28" s="11">
        <v>0</v>
      </c>
      <c r="W28" s="11">
        <v>0</v>
      </c>
      <c r="X28" s="11">
        <v>0</v>
      </c>
    </row>
    <row r="29" spans="1:24" x14ac:dyDescent="0.2">
      <c r="A29" s="6" t="s">
        <v>87</v>
      </c>
      <c r="B29" s="11">
        <v>6517</v>
      </c>
      <c r="C29" s="11">
        <v>312</v>
      </c>
      <c r="D29" s="11">
        <v>263</v>
      </c>
      <c r="E29" s="11">
        <v>836</v>
      </c>
      <c r="F29" s="11">
        <v>321</v>
      </c>
      <c r="G29" s="11">
        <v>170</v>
      </c>
      <c r="H29" s="11">
        <v>125</v>
      </c>
      <c r="I29" s="11">
        <v>217</v>
      </c>
      <c r="J29" s="11">
        <v>0</v>
      </c>
      <c r="K29" s="11">
        <v>0</v>
      </c>
      <c r="L29" s="11">
        <v>400</v>
      </c>
      <c r="M29" s="11">
        <v>252</v>
      </c>
      <c r="N29" s="11">
        <v>782</v>
      </c>
      <c r="O29" s="11">
        <v>342</v>
      </c>
      <c r="P29" s="11">
        <v>251</v>
      </c>
      <c r="Q29" s="11">
        <v>1230</v>
      </c>
      <c r="R29" s="11">
        <v>583</v>
      </c>
      <c r="S29" s="11">
        <v>0</v>
      </c>
      <c r="T29" s="11">
        <v>101</v>
      </c>
      <c r="U29" s="11">
        <v>176</v>
      </c>
      <c r="V29" s="11">
        <v>157</v>
      </c>
      <c r="W29" s="11">
        <v>0</v>
      </c>
      <c r="X29" s="11">
        <v>0</v>
      </c>
    </row>
    <row r="30" spans="1:24" x14ac:dyDescent="0.2">
      <c r="A30" s="6" t="s">
        <v>88</v>
      </c>
      <c r="B30" s="11">
        <v>517</v>
      </c>
      <c r="C30" s="11">
        <v>0</v>
      </c>
      <c r="D30" s="11">
        <v>0</v>
      </c>
      <c r="E30" s="11">
        <v>0</v>
      </c>
      <c r="F30" s="11">
        <v>516</v>
      </c>
      <c r="G30" s="11">
        <v>0</v>
      </c>
      <c r="H30" s="11">
        <v>0</v>
      </c>
      <c r="I30" s="11">
        <v>0</v>
      </c>
      <c r="J30" s="11">
        <v>0</v>
      </c>
      <c r="K30" s="11">
        <v>0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11">
        <v>0</v>
      </c>
      <c r="X30" s="11">
        <v>0</v>
      </c>
    </row>
    <row r="31" spans="1:24" x14ac:dyDescent="0.2">
      <c r="A31" s="6" t="s">
        <v>89</v>
      </c>
      <c r="B31" s="11">
        <v>269258</v>
      </c>
      <c r="C31" s="11">
        <v>73960</v>
      </c>
      <c r="D31" s="11">
        <v>0</v>
      </c>
      <c r="E31" s="11">
        <v>8078</v>
      </c>
      <c r="F31" s="11">
        <v>20436</v>
      </c>
      <c r="G31" s="11">
        <v>17094</v>
      </c>
      <c r="H31" s="11">
        <v>0</v>
      </c>
      <c r="I31" s="11">
        <v>703</v>
      </c>
      <c r="J31" s="11">
        <v>2932</v>
      </c>
      <c r="K31" s="11">
        <v>2330</v>
      </c>
      <c r="L31" s="11">
        <v>3112</v>
      </c>
      <c r="M31" s="11">
        <v>9873</v>
      </c>
      <c r="N31" s="11">
        <v>22663</v>
      </c>
      <c r="O31" s="11">
        <v>26287</v>
      </c>
      <c r="P31" s="11">
        <v>62861</v>
      </c>
      <c r="Q31" s="11">
        <v>5708</v>
      </c>
      <c r="R31" s="11">
        <v>13222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</row>
    <row r="32" spans="1:24" x14ac:dyDescent="0.2">
      <c r="A32" s="6" t="s">
        <v>90</v>
      </c>
      <c r="B32" s="11">
        <v>250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11">
        <v>50</v>
      </c>
      <c r="M32" s="11">
        <v>0</v>
      </c>
      <c r="N32" s="11">
        <v>0</v>
      </c>
      <c r="O32" s="11">
        <v>200</v>
      </c>
      <c r="P32" s="11">
        <v>0</v>
      </c>
      <c r="Q32" s="11">
        <v>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11">
        <v>0</v>
      </c>
      <c r="X32" s="11">
        <v>0</v>
      </c>
    </row>
    <row r="33" spans="1:24" x14ac:dyDescent="0.2">
      <c r="A33" s="6" t="s">
        <v>91</v>
      </c>
      <c r="B33" s="11">
        <v>257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131</v>
      </c>
      <c r="R33" s="11">
        <v>125</v>
      </c>
      <c r="S33" s="11">
        <v>0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</row>
    <row r="34" spans="1:24" x14ac:dyDescent="0.2">
      <c r="A34" s="6" t="s">
        <v>92</v>
      </c>
      <c r="B34" s="11">
        <v>17775</v>
      </c>
      <c r="C34" s="11">
        <v>1300</v>
      </c>
      <c r="D34" s="11">
        <v>1300</v>
      </c>
      <c r="E34" s="11">
        <v>1000</v>
      </c>
      <c r="F34" s="11">
        <v>300</v>
      </c>
      <c r="G34" s="11">
        <v>1000</v>
      </c>
      <c r="H34" s="11">
        <v>0</v>
      </c>
      <c r="I34" s="11">
        <v>525</v>
      </c>
      <c r="J34" s="11">
        <v>1500</v>
      </c>
      <c r="K34" s="11">
        <v>1500</v>
      </c>
      <c r="L34" s="11">
        <v>850</v>
      </c>
      <c r="M34" s="11">
        <v>1500</v>
      </c>
      <c r="N34" s="11">
        <v>1500</v>
      </c>
      <c r="O34" s="11">
        <v>1500</v>
      </c>
      <c r="P34" s="11">
        <v>1500</v>
      </c>
      <c r="Q34" s="11">
        <v>1500</v>
      </c>
      <c r="R34" s="11">
        <v>1000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</row>
    <row r="35" spans="1:24" x14ac:dyDescent="0.2">
      <c r="A35" s="6" t="s">
        <v>93</v>
      </c>
      <c r="B35" s="11">
        <v>6961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547</v>
      </c>
      <c r="K35" s="11">
        <v>216</v>
      </c>
      <c r="L35" s="11">
        <v>584</v>
      </c>
      <c r="M35" s="11">
        <v>714</v>
      </c>
      <c r="N35" s="11">
        <v>1523</v>
      </c>
      <c r="O35" s="11">
        <v>884</v>
      </c>
      <c r="P35" s="11">
        <v>753</v>
      </c>
      <c r="Q35" s="11">
        <v>712</v>
      </c>
      <c r="R35" s="11">
        <v>620</v>
      </c>
      <c r="S35" s="11">
        <v>0</v>
      </c>
      <c r="T35" s="11">
        <v>0</v>
      </c>
      <c r="U35" s="11">
        <v>0</v>
      </c>
      <c r="V35" s="11">
        <v>300</v>
      </c>
      <c r="W35" s="11">
        <v>108</v>
      </c>
      <c r="X35" s="11">
        <v>0</v>
      </c>
    </row>
    <row r="36" spans="1:24" x14ac:dyDescent="0.2">
      <c r="A36" s="6" t="s">
        <v>94</v>
      </c>
      <c r="B36" s="11">
        <v>121517</v>
      </c>
      <c r="C36" s="11">
        <v>2500</v>
      </c>
      <c r="D36" s="11">
        <v>2500</v>
      </c>
      <c r="E36" s="11">
        <v>2500</v>
      </c>
      <c r="F36" s="11">
        <v>2500</v>
      </c>
      <c r="G36" s="11">
        <v>2500</v>
      </c>
      <c r="H36" s="11">
        <v>2500</v>
      </c>
      <c r="I36" s="11">
        <v>2500</v>
      </c>
      <c r="J36" s="11">
        <v>10519</v>
      </c>
      <c r="K36" s="11">
        <v>12365</v>
      </c>
      <c r="L36" s="11">
        <v>14154</v>
      </c>
      <c r="M36" s="11">
        <v>10519</v>
      </c>
      <c r="N36" s="11">
        <v>10519</v>
      </c>
      <c r="O36" s="11">
        <v>11298</v>
      </c>
      <c r="P36" s="11">
        <v>28643</v>
      </c>
      <c r="Q36" s="11">
        <v>3000</v>
      </c>
      <c r="R36" s="11">
        <v>3000</v>
      </c>
      <c r="S36" s="11">
        <v>0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</row>
    <row r="37" spans="1:24" x14ac:dyDescent="0.2">
      <c r="A37" s="6" t="s">
        <v>95</v>
      </c>
      <c r="B37" s="11">
        <v>5244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1938</v>
      </c>
      <c r="K37" s="11">
        <v>1140</v>
      </c>
      <c r="L37" s="11">
        <v>0</v>
      </c>
      <c r="M37" s="11">
        <v>0</v>
      </c>
      <c r="N37" s="11">
        <v>0</v>
      </c>
      <c r="O37" s="11">
        <v>2166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  <c r="X37" s="11">
        <v>0</v>
      </c>
    </row>
    <row r="38" spans="1:24" x14ac:dyDescent="0.2">
      <c r="A38" s="6" t="s">
        <v>96</v>
      </c>
      <c r="B38" s="11">
        <v>77010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11325</v>
      </c>
      <c r="K38" s="11">
        <v>11325</v>
      </c>
      <c r="L38" s="11">
        <v>11325</v>
      </c>
      <c r="M38" s="11">
        <v>11325</v>
      </c>
      <c r="N38" s="11">
        <v>9060</v>
      </c>
      <c r="O38" s="11">
        <v>11325</v>
      </c>
      <c r="P38" s="11">
        <v>11325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1">
        <v>0</v>
      </c>
      <c r="X38" s="11">
        <v>0</v>
      </c>
    </row>
    <row r="39" spans="1:24" x14ac:dyDescent="0.2">
      <c r="A39" s="6" t="s">
        <v>97</v>
      </c>
      <c r="B39" s="11">
        <v>341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131</v>
      </c>
      <c r="R39" s="11">
        <v>209</v>
      </c>
      <c r="S39" s="11">
        <v>0</v>
      </c>
      <c r="T39" s="11">
        <v>0</v>
      </c>
      <c r="U39" s="11">
        <v>0</v>
      </c>
      <c r="V39" s="11">
        <v>0</v>
      </c>
      <c r="W39" s="11">
        <v>0</v>
      </c>
      <c r="X39" s="11">
        <v>0</v>
      </c>
    </row>
    <row r="40" spans="1:24" x14ac:dyDescent="0.2">
      <c r="A40" s="6" t="s">
        <v>98</v>
      </c>
      <c r="B40" s="13">
        <v>3330991</v>
      </c>
      <c r="C40" s="13">
        <v>226491</v>
      </c>
      <c r="D40" s="13">
        <v>145776</v>
      </c>
      <c r="E40" s="13">
        <v>153275</v>
      </c>
      <c r="F40" s="13">
        <v>170134</v>
      </c>
      <c r="G40" s="13">
        <v>152364</v>
      </c>
      <c r="H40" s="13">
        <v>111164</v>
      </c>
      <c r="I40" s="13">
        <v>91648</v>
      </c>
      <c r="J40" s="13">
        <v>153785</v>
      </c>
      <c r="K40" s="13">
        <v>125811</v>
      </c>
      <c r="L40" s="13">
        <v>214139</v>
      </c>
      <c r="M40" s="13">
        <v>213668</v>
      </c>
      <c r="N40" s="13">
        <v>396397</v>
      </c>
      <c r="O40" s="13">
        <v>246107</v>
      </c>
      <c r="P40" s="13">
        <v>352031</v>
      </c>
      <c r="Q40" s="13">
        <v>216978</v>
      </c>
      <c r="R40" s="13">
        <v>196529</v>
      </c>
      <c r="S40" s="13">
        <v>42802</v>
      </c>
      <c r="T40" s="13">
        <v>40159</v>
      </c>
      <c r="U40" s="13">
        <v>26906</v>
      </c>
      <c r="V40" s="13">
        <v>40320</v>
      </c>
      <c r="W40" s="13">
        <v>14505</v>
      </c>
      <c r="X40" s="13">
        <v>0</v>
      </c>
    </row>
    <row r="41" spans="1:24" x14ac:dyDescent="0.2">
      <c r="A41" s="6" t="s">
        <v>39</v>
      </c>
      <c r="B41" s="15" t="s">
        <v>70</v>
      </c>
      <c r="C41" s="15" t="s">
        <v>70</v>
      </c>
      <c r="D41" s="15" t="s">
        <v>70</v>
      </c>
      <c r="E41" s="15" t="s">
        <v>70</v>
      </c>
      <c r="F41" s="15" t="s">
        <v>70</v>
      </c>
      <c r="G41" s="15" t="s">
        <v>70</v>
      </c>
      <c r="H41" s="15" t="s">
        <v>70</v>
      </c>
      <c r="I41" s="15" t="s">
        <v>70</v>
      </c>
      <c r="J41" s="15" t="s">
        <v>70</v>
      </c>
      <c r="K41" s="15" t="s">
        <v>70</v>
      </c>
      <c r="L41" s="15" t="s">
        <v>70</v>
      </c>
      <c r="M41" s="15" t="s">
        <v>70</v>
      </c>
      <c r="N41" s="15" t="s">
        <v>70</v>
      </c>
      <c r="O41" s="15" t="s">
        <v>70</v>
      </c>
      <c r="P41" s="15" t="s">
        <v>70</v>
      </c>
      <c r="Q41" s="15" t="s">
        <v>70</v>
      </c>
      <c r="R41" s="15" t="s">
        <v>70</v>
      </c>
      <c r="S41" s="15" t="s">
        <v>70</v>
      </c>
      <c r="T41" s="15" t="s">
        <v>70</v>
      </c>
      <c r="U41" s="15" t="s">
        <v>70</v>
      </c>
      <c r="V41" s="15" t="s">
        <v>70</v>
      </c>
      <c r="W41" s="15" t="s">
        <v>70</v>
      </c>
      <c r="X41" s="15" t="s">
        <v>70</v>
      </c>
    </row>
    <row r="42" spans="1:24" x14ac:dyDescent="0.2">
      <c r="A42" s="6" t="s">
        <v>71</v>
      </c>
      <c r="B42" s="11">
        <v>208427</v>
      </c>
      <c r="C42" s="11">
        <v>12878</v>
      </c>
      <c r="D42" s="11">
        <v>13601</v>
      </c>
      <c r="E42" s="11">
        <v>11044</v>
      </c>
      <c r="F42" s="11">
        <v>12166</v>
      </c>
      <c r="G42" s="11">
        <v>11610</v>
      </c>
      <c r="H42" s="11">
        <v>11633</v>
      </c>
      <c r="I42" s="11">
        <v>8278</v>
      </c>
      <c r="J42" s="11">
        <v>7882</v>
      </c>
      <c r="K42" s="11">
        <v>6915</v>
      </c>
      <c r="L42" s="11">
        <v>10244</v>
      </c>
      <c r="M42" s="11">
        <v>11388</v>
      </c>
      <c r="N42" s="11">
        <v>30651</v>
      </c>
      <c r="O42" s="11">
        <v>10526</v>
      </c>
      <c r="P42" s="11">
        <v>13469</v>
      </c>
      <c r="Q42" s="11">
        <v>13661</v>
      </c>
      <c r="R42" s="11">
        <v>18327</v>
      </c>
      <c r="S42" s="11">
        <v>1499</v>
      </c>
      <c r="T42" s="11">
        <v>101</v>
      </c>
      <c r="U42" s="11">
        <v>1253</v>
      </c>
      <c r="V42" s="11">
        <v>0</v>
      </c>
      <c r="W42" s="11">
        <v>1304</v>
      </c>
      <c r="X42" s="11">
        <v>0</v>
      </c>
    </row>
    <row r="43" spans="1:24" x14ac:dyDescent="0.2">
      <c r="A43" s="6" t="s">
        <v>72</v>
      </c>
      <c r="B43" s="11">
        <v>4532</v>
      </c>
      <c r="C43" s="11">
        <v>910</v>
      </c>
      <c r="D43" s="11">
        <v>89</v>
      </c>
      <c r="E43" s="11">
        <v>344</v>
      </c>
      <c r="F43" s="11">
        <v>283</v>
      </c>
      <c r="G43" s="11">
        <v>314</v>
      </c>
      <c r="H43" s="11">
        <v>0</v>
      </c>
      <c r="I43" s="11">
        <v>128</v>
      </c>
      <c r="J43" s="11">
        <v>4</v>
      </c>
      <c r="K43" s="11">
        <v>760</v>
      </c>
      <c r="L43" s="11">
        <v>208</v>
      </c>
      <c r="M43" s="11">
        <v>1129</v>
      </c>
      <c r="N43" s="11">
        <v>228</v>
      </c>
      <c r="O43" s="11">
        <v>0</v>
      </c>
      <c r="P43" s="11">
        <v>129</v>
      </c>
      <c r="Q43" s="11">
        <v>6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</row>
    <row r="44" spans="1:24" x14ac:dyDescent="0.2">
      <c r="A44" s="6" t="s">
        <v>75</v>
      </c>
      <c r="B44" s="11">
        <v>9516</v>
      </c>
      <c r="C44" s="11">
        <v>-456</v>
      </c>
      <c r="D44" s="11">
        <v>785</v>
      </c>
      <c r="E44" s="11">
        <v>-83</v>
      </c>
      <c r="F44" s="11">
        <v>98</v>
      </c>
      <c r="G44" s="11">
        <v>161</v>
      </c>
      <c r="H44" s="11">
        <v>50</v>
      </c>
      <c r="I44" s="11">
        <v>262</v>
      </c>
      <c r="J44" s="11">
        <v>175</v>
      </c>
      <c r="K44" s="11">
        <v>690</v>
      </c>
      <c r="L44" s="11">
        <v>322</v>
      </c>
      <c r="M44" s="11">
        <v>587</v>
      </c>
      <c r="N44" s="11">
        <v>2167</v>
      </c>
      <c r="O44" s="11">
        <v>735</v>
      </c>
      <c r="P44" s="11">
        <v>2018</v>
      </c>
      <c r="Q44" s="11">
        <v>1020</v>
      </c>
      <c r="R44" s="11">
        <v>1047</v>
      </c>
      <c r="S44" s="11">
        <v>4</v>
      </c>
      <c r="T44" s="11">
        <v>-109</v>
      </c>
      <c r="U44" s="11">
        <v>43</v>
      </c>
      <c r="V44" s="11">
        <v>0</v>
      </c>
      <c r="W44" s="11">
        <v>0</v>
      </c>
      <c r="X44" s="11">
        <v>0</v>
      </c>
    </row>
    <row r="45" spans="1:24" x14ac:dyDescent="0.2">
      <c r="A45" s="6" t="s">
        <v>76</v>
      </c>
      <c r="B45" s="11">
        <v>6531</v>
      </c>
      <c r="C45" s="11">
        <v>428</v>
      </c>
      <c r="D45" s="11">
        <v>612</v>
      </c>
      <c r="E45" s="11">
        <v>364</v>
      </c>
      <c r="F45" s="11">
        <v>611</v>
      </c>
      <c r="G45" s="11">
        <v>316</v>
      </c>
      <c r="H45" s="11">
        <v>598</v>
      </c>
      <c r="I45" s="11">
        <v>120</v>
      </c>
      <c r="J45" s="11">
        <v>165</v>
      </c>
      <c r="K45" s="11">
        <v>204</v>
      </c>
      <c r="L45" s="11">
        <v>0</v>
      </c>
      <c r="M45" s="11">
        <v>406</v>
      </c>
      <c r="N45" s="11">
        <v>878</v>
      </c>
      <c r="O45" s="11">
        <v>330</v>
      </c>
      <c r="P45" s="11">
        <v>535</v>
      </c>
      <c r="Q45" s="11">
        <v>251</v>
      </c>
      <c r="R45" s="11">
        <v>465</v>
      </c>
      <c r="S45" s="11">
        <v>120</v>
      </c>
      <c r="T45" s="11">
        <v>0</v>
      </c>
      <c r="U45" s="11">
        <v>0</v>
      </c>
      <c r="V45" s="11">
        <v>0</v>
      </c>
      <c r="W45" s="11">
        <v>128</v>
      </c>
      <c r="X45" s="11">
        <v>0</v>
      </c>
    </row>
    <row r="46" spans="1:24" x14ac:dyDescent="0.2">
      <c r="A46" s="6" t="s">
        <v>99</v>
      </c>
      <c r="B46" s="11">
        <v>22591</v>
      </c>
      <c r="C46" s="11">
        <v>1091</v>
      </c>
      <c r="D46" s="11">
        <v>1212</v>
      </c>
      <c r="E46" s="11">
        <v>1250</v>
      </c>
      <c r="F46" s="11">
        <v>973</v>
      </c>
      <c r="G46" s="11">
        <v>932</v>
      </c>
      <c r="H46" s="11">
        <v>819</v>
      </c>
      <c r="I46" s="11">
        <v>353</v>
      </c>
      <c r="J46" s="11">
        <v>1388</v>
      </c>
      <c r="K46" s="11">
        <v>340</v>
      </c>
      <c r="L46" s="11">
        <v>1394</v>
      </c>
      <c r="M46" s="11">
        <v>1862</v>
      </c>
      <c r="N46" s="11">
        <v>3434</v>
      </c>
      <c r="O46" s="11">
        <v>1507</v>
      </c>
      <c r="P46" s="11">
        <v>1296</v>
      </c>
      <c r="Q46" s="11">
        <v>1357</v>
      </c>
      <c r="R46" s="11">
        <v>1307</v>
      </c>
      <c r="S46" s="11">
        <v>319</v>
      </c>
      <c r="T46" s="11">
        <v>277</v>
      </c>
      <c r="U46" s="11">
        <v>429</v>
      </c>
      <c r="V46" s="11">
        <v>666</v>
      </c>
      <c r="W46" s="11">
        <v>385</v>
      </c>
      <c r="X46" s="11">
        <v>0</v>
      </c>
    </row>
    <row r="47" spans="1:24" x14ac:dyDescent="0.2">
      <c r="A47" s="6" t="s">
        <v>100</v>
      </c>
      <c r="B47" s="13">
        <v>251597</v>
      </c>
      <c r="C47" s="13">
        <v>14851</v>
      </c>
      <c r="D47" s="13">
        <v>16299</v>
      </c>
      <c r="E47" s="13">
        <v>12919</v>
      </c>
      <c r="F47" s="13">
        <v>14131</v>
      </c>
      <c r="G47" s="13">
        <v>13333</v>
      </c>
      <c r="H47" s="13">
        <v>13100</v>
      </c>
      <c r="I47" s="13">
        <v>9141</v>
      </c>
      <c r="J47" s="13">
        <v>9614</v>
      </c>
      <c r="K47" s="13">
        <v>8909</v>
      </c>
      <c r="L47" s="13">
        <v>12168</v>
      </c>
      <c r="M47" s="13">
        <v>15372</v>
      </c>
      <c r="N47" s="13">
        <v>37358</v>
      </c>
      <c r="O47" s="13">
        <v>13098</v>
      </c>
      <c r="P47" s="13">
        <v>17447</v>
      </c>
      <c r="Q47" s="13">
        <v>16295</v>
      </c>
      <c r="R47" s="13">
        <v>21146</v>
      </c>
      <c r="S47" s="13">
        <v>1942</v>
      </c>
      <c r="T47" s="13">
        <v>269</v>
      </c>
      <c r="U47" s="13">
        <v>1725</v>
      </c>
      <c r="V47" s="13">
        <v>666</v>
      </c>
      <c r="W47" s="13">
        <v>1817</v>
      </c>
      <c r="X47" s="13">
        <v>0</v>
      </c>
    </row>
    <row r="48" spans="1:24" x14ac:dyDescent="0.2">
      <c r="A48" s="6" t="s">
        <v>40</v>
      </c>
      <c r="B48" s="15" t="s">
        <v>70</v>
      </c>
      <c r="C48" s="15" t="s">
        <v>70</v>
      </c>
      <c r="D48" s="15" t="s">
        <v>70</v>
      </c>
      <c r="E48" s="15" t="s">
        <v>70</v>
      </c>
      <c r="F48" s="15" t="s">
        <v>70</v>
      </c>
      <c r="G48" s="15" t="s">
        <v>70</v>
      </c>
      <c r="H48" s="15" t="s">
        <v>70</v>
      </c>
      <c r="I48" s="15" t="s">
        <v>70</v>
      </c>
      <c r="J48" s="15" t="s">
        <v>70</v>
      </c>
      <c r="K48" s="15" t="s">
        <v>70</v>
      </c>
      <c r="L48" s="15" t="s">
        <v>70</v>
      </c>
      <c r="M48" s="15" t="s">
        <v>70</v>
      </c>
      <c r="N48" s="15" t="s">
        <v>70</v>
      </c>
      <c r="O48" s="15" t="s">
        <v>70</v>
      </c>
      <c r="P48" s="15" t="s">
        <v>70</v>
      </c>
      <c r="Q48" s="15" t="s">
        <v>70</v>
      </c>
      <c r="R48" s="15" t="s">
        <v>70</v>
      </c>
      <c r="S48" s="15" t="s">
        <v>70</v>
      </c>
      <c r="T48" s="15" t="s">
        <v>70</v>
      </c>
      <c r="U48" s="15" t="s">
        <v>70</v>
      </c>
      <c r="V48" s="15" t="s">
        <v>70</v>
      </c>
      <c r="W48" s="15" t="s">
        <v>70</v>
      </c>
      <c r="X48" s="15" t="s">
        <v>70</v>
      </c>
    </row>
    <row r="49" spans="1:24" x14ac:dyDescent="0.2">
      <c r="A49" s="6" t="s">
        <v>71</v>
      </c>
      <c r="B49" s="11">
        <v>76036</v>
      </c>
      <c r="C49" s="11">
        <v>2997</v>
      </c>
      <c r="D49" s="11">
        <v>3064</v>
      </c>
      <c r="E49" s="11">
        <v>3778</v>
      </c>
      <c r="F49" s="11">
        <v>2143</v>
      </c>
      <c r="G49" s="11">
        <v>3352</v>
      </c>
      <c r="H49" s="11">
        <v>3686</v>
      </c>
      <c r="I49" s="11">
        <v>3561</v>
      </c>
      <c r="J49" s="11">
        <v>179</v>
      </c>
      <c r="K49" s="11">
        <v>3908</v>
      </c>
      <c r="L49" s="11">
        <v>4060</v>
      </c>
      <c r="M49" s="11">
        <v>3413</v>
      </c>
      <c r="N49" s="11">
        <v>5458</v>
      </c>
      <c r="O49" s="11">
        <v>7034</v>
      </c>
      <c r="P49" s="11">
        <v>7153</v>
      </c>
      <c r="Q49" s="11">
        <v>6165</v>
      </c>
      <c r="R49" s="11">
        <v>4228</v>
      </c>
      <c r="S49" s="11">
        <v>3585</v>
      </c>
      <c r="T49" s="11">
        <v>2897</v>
      </c>
      <c r="U49" s="11">
        <v>1489</v>
      </c>
      <c r="V49" s="11">
        <v>3884</v>
      </c>
      <c r="W49" s="11">
        <v>0</v>
      </c>
      <c r="X49" s="11">
        <v>0</v>
      </c>
    </row>
    <row r="50" spans="1:24" x14ac:dyDescent="0.2">
      <c r="A50" s="6" t="s">
        <v>72</v>
      </c>
      <c r="B50" s="11">
        <v>2814</v>
      </c>
      <c r="C50" s="11">
        <v>20</v>
      </c>
      <c r="D50" s="11">
        <v>2</v>
      </c>
      <c r="E50" s="11">
        <v>329</v>
      </c>
      <c r="F50" s="11">
        <v>0</v>
      </c>
      <c r="G50" s="11">
        <v>105</v>
      </c>
      <c r="H50" s="11">
        <v>50</v>
      </c>
      <c r="I50" s="11">
        <v>94</v>
      </c>
      <c r="J50" s="11">
        <v>0</v>
      </c>
      <c r="K50" s="11">
        <v>26</v>
      </c>
      <c r="L50" s="11">
        <v>0</v>
      </c>
      <c r="M50" s="11">
        <v>1330</v>
      </c>
      <c r="N50" s="11">
        <v>0</v>
      </c>
      <c r="O50" s="11">
        <v>89</v>
      </c>
      <c r="P50" s="11">
        <v>435</v>
      </c>
      <c r="Q50" s="11">
        <v>0</v>
      </c>
      <c r="R50" s="11">
        <v>0</v>
      </c>
      <c r="S50" s="11">
        <v>78</v>
      </c>
      <c r="T50" s="11">
        <v>134</v>
      </c>
      <c r="U50" s="11">
        <v>0</v>
      </c>
      <c r="V50" s="11">
        <v>124</v>
      </c>
      <c r="W50" s="11">
        <v>0</v>
      </c>
      <c r="X50" s="11">
        <v>0</v>
      </c>
    </row>
    <row r="51" spans="1:24" x14ac:dyDescent="0.2">
      <c r="A51" s="6" t="s">
        <v>74</v>
      </c>
      <c r="B51" s="11">
        <v>1032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32</v>
      </c>
      <c r="P51" s="11">
        <v>1000</v>
      </c>
      <c r="Q51" s="11">
        <v>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</row>
    <row r="52" spans="1:24" x14ac:dyDescent="0.2">
      <c r="A52" s="6" t="s">
        <v>75</v>
      </c>
      <c r="B52" s="11">
        <v>3135</v>
      </c>
      <c r="C52" s="11">
        <v>-176</v>
      </c>
      <c r="D52" s="11">
        <v>168</v>
      </c>
      <c r="E52" s="11">
        <v>280</v>
      </c>
      <c r="F52" s="11">
        <v>0</v>
      </c>
      <c r="G52" s="11">
        <v>0</v>
      </c>
      <c r="H52" s="11">
        <v>99</v>
      </c>
      <c r="I52" s="11">
        <v>0</v>
      </c>
      <c r="J52" s="11">
        <v>-179</v>
      </c>
      <c r="K52" s="11">
        <v>216</v>
      </c>
      <c r="L52" s="11">
        <v>204</v>
      </c>
      <c r="M52" s="11">
        <v>222</v>
      </c>
      <c r="N52" s="11">
        <v>317</v>
      </c>
      <c r="O52" s="11">
        <v>463</v>
      </c>
      <c r="P52" s="11">
        <v>692</v>
      </c>
      <c r="Q52" s="11">
        <v>154</v>
      </c>
      <c r="R52" s="11">
        <v>154</v>
      </c>
      <c r="S52" s="11">
        <v>157</v>
      </c>
      <c r="T52" s="11">
        <v>144</v>
      </c>
      <c r="U52" s="11">
        <v>86</v>
      </c>
      <c r="V52" s="11">
        <v>132</v>
      </c>
      <c r="W52" s="11">
        <v>0</v>
      </c>
      <c r="X52" s="11">
        <v>0</v>
      </c>
    </row>
    <row r="53" spans="1:24" x14ac:dyDescent="0.2">
      <c r="A53" s="6" t="s">
        <v>76</v>
      </c>
      <c r="B53" s="11">
        <v>2233</v>
      </c>
      <c r="C53" s="11">
        <v>144</v>
      </c>
      <c r="D53" s="11">
        <v>151</v>
      </c>
      <c r="E53" s="11">
        <v>176</v>
      </c>
      <c r="F53" s="11">
        <v>0</v>
      </c>
      <c r="G53" s="11">
        <v>0</v>
      </c>
      <c r="H53" s="11">
        <v>176</v>
      </c>
      <c r="I53" s="11">
        <v>0</v>
      </c>
      <c r="J53" s="11">
        <v>0</v>
      </c>
      <c r="K53" s="11">
        <v>0</v>
      </c>
      <c r="L53" s="11">
        <v>192</v>
      </c>
      <c r="M53" s="11">
        <v>75</v>
      </c>
      <c r="N53" s="11">
        <v>162</v>
      </c>
      <c r="O53" s="11">
        <v>284</v>
      </c>
      <c r="P53" s="11">
        <v>368</v>
      </c>
      <c r="Q53" s="11">
        <v>0</v>
      </c>
      <c r="R53" s="11">
        <v>200</v>
      </c>
      <c r="S53" s="11">
        <v>128</v>
      </c>
      <c r="T53" s="11">
        <v>0</v>
      </c>
      <c r="U53" s="11">
        <v>0</v>
      </c>
      <c r="V53" s="11">
        <v>176</v>
      </c>
      <c r="W53" s="11">
        <v>0</v>
      </c>
      <c r="X53" s="11">
        <v>0</v>
      </c>
    </row>
    <row r="54" spans="1:24" x14ac:dyDescent="0.2">
      <c r="A54" s="6" t="s">
        <v>101</v>
      </c>
      <c r="B54" s="11">
        <v>2194</v>
      </c>
      <c r="C54" s="11">
        <v>0</v>
      </c>
      <c r="D54" s="11">
        <v>44</v>
      </c>
      <c r="E54" s="11">
        <v>0</v>
      </c>
      <c r="F54" s="11">
        <v>0</v>
      </c>
      <c r="G54" s="11">
        <v>35</v>
      </c>
      <c r="H54" s="11">
        <v>0</v>
      </c>
      <c r="I54" s="11">
        <v>0</v>
      </c>
      <c r="J54" s="11">
        <v>0</v>
      </c>
      <c r="K54" s="11">
        <v>1500</v>
      </c>
      <c r="L54" s="11">
        <v>90</v>
      </c>
      <c r="M54" s="11">
        <v>195</v>
      </c>
      <c r="N54" s="11">
        <v>0</v>
      </c>
      <c r="O54" s="11">
        <v>0</v>
      </c>
      <c r="P54" s="11">
        <v>28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1">
        <v>303</v>
      </c>
      <c r="X54" s="11">
        <v>0</v>
      </c>
    </row>
    <row r="55" spans="1:24" x14ac:dyDescent="0.2">
      <c r="A55" s="6" t="s">
        <v>102</v>
      </c>
      <c r="B55" s="11">
        <v>8502</v>
      </c>
      <c r="C55" s="11">
        <v>0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3145</v>
      </c>
      <c r="K55" s="11">
        <v>0</v>
      </c>
      <c r="L55" s="11">
        <v>250</v>
      </c>
      <c r="M55" s="11">
        <v>820</v>
      </c>
      <c r="N55" s="11">
        <v>1625</v>
      </c>
      <c r="O55" s="11">
        <v>0</v>
      </c>
      <c r="P55" s="11">
        <v>0</v>
      </c>
      <c r="Q55" s="11">
        <v>610</v>
      </c>
      <c r="R55" s="11">
        <v>847</v>
      </c>
      <c r="S55" s="11">
        <v>500</v>
      </c>
      <c r="T55" s="11">
        <v>0</v>
      </c>
      <c r="U55" s="11">
        <v>0</v>
      </c>
      <c r="V55" s="11">
        <v>0</v>
      </c>
      <c r="W55" s="11">
        <v>580</v>
      </c>
      <c r="X55" s="11">
        <v>125</v>
      </c>
    </row>
    <row r="56" spans="1:24" x14ac:dyDescent="0.2">
      <c r="A56" s="6" t="s">
        <v>103</v>
      </c>
      <c r="B56" s="11">
        <v>659</v>
      </c>
      <c r="C56" s="11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30</v>
      </c>
      <c r="J56" s="11">
        <v>0</v>
      </c>
      <c r="K56" s="11">
        <v>0</v>
      </c>
      <c r="L56" s="11">
        <v>0</v>
      </c>
      <c r="M56" s="11">
        <v>0</v>
      </c>
      <c r="N56" s="11">
        <v>0</v>
      </c>
      <c r="O56" s="11">
        <v>316</v>
      </c>
      <c r="P56" s="11">
        <v>184</v>
      </c>
      <c r="Q56" s="11">
        <v>130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1">
        <v>0</v>
      </c>
      <c r="X56" s="11">
        <v>0</v>
      </c>
    </row>
    <row r="57" spans="1:24" x14ac:dyDescent="0.2">
      <c r="A57" s="6" t="s">
        <v>104</v>
      </c>
      <c r="B57" s="11">
        <v>7210</v>
      </c>
      <c r="C57" s="11">
        <v>0</v>
      </c>
      <c r="D57" s="11">
        <v>0</v>
      </c>
      <c r="E57" s="11">
        <v>0</v>
      </c>
      <c r="F57" s="11">
        <v>925</v>
      </c>
      <c r="G57" s="11">
        <v>0</v>
      </c>
      <c r="H57" s="11">
        <v>450</v>
      </c>
      <c r="I57" s="11">
        <v>0</v>
      </c>
      <c r="J57" s="11">
        <v>112</v>
      </c>
      <c r="K57" s="11">
        <v>175</v>
      </c>
      <c r="L57" s="11">
        <v>1497</v>
      </c>
      <c r="M57" s="11">
        <v>1113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1135</v>
      </c>
      <c r="U57" s="11">
        <v>250</v>
      </c>
      <c r="V57" s="11">
        <v>0</v>
      </c>
      <c r="W57" s="11">
        <v>1552</v>
      </c>
      <c r="X57" s="11">
        <v>0</v>
      </c>
    </row>
    <row r="58" spans="1:24" x14ac:dyDescent="0.2">
      <c r="A58" s="6" t="s">
        <v>105</v>
      </c>
      <c r="B58" s="11">
        <v>19951</v>
      </c>
      <c r="C58" s="11">
        <v>1995</v>
      </c>
      <c r="D58" s="11">
        <v>101</v>
      </c>
      <c r="E58" s="11">
        <v>279</v>
      </c>
      <c r="F58" s="11">
        <v>0</v>
      </c>
      <c r="G58" s="11">
        <v>226</v>
      </c>
      <c r="H58" s="11">
        <v>50</v>
      </c>
      <c r="I58" s="11">
        <v>120</v>
      </c>
      <c r="J58" s="11">
        <v>3785</v>
      </c>
      <c r="K58" s="11">
        <v>260</v>
      </c>
      <c r="L58" s="11">
        <v>522</v>
      </c>
      <c r="M58" s="11">
        <v>1481</v>
      </c>
      <c r="N58" s="11">
        <v>346</v>
      </c>
      <c r="O58" s="11">
        <v>1473</v>
      </c>
      <c r="P58" s="11">
        <v>664</v>
      </c>
      <c r="Q58" s="11">
        <v>1266</v>
      </c>
      <c r="R58" s="11">
        <v>4588</v>
      </c>
      <c r="S58" s="11">
        <v>289</v>
      </c>
      <c r="T58" s="11">
        <v>2002</v>
      </c>
      <c r="U58" s="11">
        <v>85</v>
      </c>
      <c r="V58" s="11">
        <v>195</v>
      </c>
      <c r="W58" s="11">
        <v>225</v>
      </c>
      <c r="X58" s="11">
        <v>0</v>
      </c>
    </row>
    <row r="59" spans="1:24" x14ac:dyDescent="0.2">
      <c r="A59" s="6" t="s">
        <v>106</v>
      </c>
      <c r="B59" s="11">
        <v>388</v>
      </c>
      <c r="C59" s="11">
        <v>0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388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</row>
    <row r="60" spans="1:24" x14ac:dyDescent="0.2">
      <c r="A60" s="6" t="s">
        <v>107</v>
      </c>
      <c r="B60" s="11">
        <v>37626</v>
      </c>
      <c r="C60" s="11">
        <v>1875</v>
      </c>
      <c r="D60" s="11">
        <v>2258</v>
      </c>
      <c r="E60" s="11">
        <v>225</v>
      </c>
      <c r="F60" s="11">
        <v>405</v>
      </c>
      <c r="G60" s="11">
        <v>524</v>
      </c>
      <c r="H60" s="11">
        <v>451</v>
      </c>
      <c r="I60" s="11">
        <v>972</v>
      </c>
      <c r="J60" s="11">
        <v>122</v>
      </c>
      <c r="K60" s="11">
        <v>0</v>
      </c>
      <c r="L60" s="11">
        <v>6833</v>
      </c>
      <c r="M60" s="11">
        <v>4837</v>
      </c>
      <c r="N60" s="11">
        <v>3123</v>
      </c>
      <c r="O60" s="11">
        <v>4164</v>
      </c>
      <c r="P60" s="11">
        <v>4492</v>
      </c>
      <c r="Q60" s="11">
        <v>5173</v>
      </c>
      <c r="R60" s="11">
        <v>1403</v>
      </c>
      <c r="S60" s="11">
        <v>57</v>
      </c>
      <c r="T60" s="11">
        <v>521</v>
      </c>
      <c r="U60" s="11">
        <v>-303</v>
      </c>
      <c r="V60" s="11">
        <v>477</v>
      </c>
      <c r="W60" s="11">
        <v>17</v>
      </c>
      <c r="X60" s="11">
        <v>0</v>
      </c>
    </row>
    <row r="61" spans="1:24" x14ac:dyDescent="0.2">
      <c r="A61" s="6" t="s">
        <v>108</v>
      </c>
      <c r="B61" s="11">
        <v>375</v>
      </c>
      <c r="C61" s="11">
        <v>105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271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11">
        <v>0</v>
      </c>
      <c r="X61" s="11">
        <v>0</v>
      </c>
    </row>
    <row r="62" spans="1:24" x14ac:dyDescent="0.2">
      <c r="A62" s="6" t="s">
        <v>109</v>
      </c>
      <c r="B62" s="11">
        <v>47600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7000</v>
      </c>
      <c r="K62" s="11">
        <v>7000</v>
      </c>
      <c r="L62" s="11">
        <v>7000</v>
      </c>
      <c r="M62" s="11">
        <v>7000</v>
      </c>
      <c r="N62" s="11">
        <v>5600</v>
      </c>
      <c r="O62" s="11">
        <v>7000</v>
      </c>
      <c r="P62" s="11">
        <v>7000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11">
        <v>0</v>
      </c>
      <c r="X62" s="11">
        <v>0</v>
      </c>
    </row>
    <row r="63" spans="1:24" x14ac:dyDescent="0.2">
      <c r="A63" s="6" t="s">
        <v>110</v>
      </c>
      <c r="B63" s="11">
        <v>1400</v>
      </c>
      <c r="C63" s="11">
        <v>0</v>
      </c>
      <c r="D63" s="11">
        <v>0</v>
      </c>
      <c r="E63" s="11">
        <v>0</v>
      </c>
      <c r="F63" s="11">
        <v>500</v>
      </c>
      <c r="G63" s="11">
        <v>0</v>
      </c>
      <c r="H63" s="11">
        <v>0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900</v>
      </c>
      <c r="T63" s="11">
        <v>0</v>
      </c>
      <c r="U63" s="11">
        <v>0</v>
      </c>
      <c r="V63" s="11">
        <v>0</v>
      </c>
      <c r="W63" s="11">
        <v>0</v>
      </c>
      <c r="X63" s="11">
        <v>0</v>
      </c>
    </row>
    <row r="64" spans="1:24" x14ac:dyDescent="0.2">
      <c r="A64" s="6" t="s">
        <v>111</v>
      </c>
      <c r="B64" s="11">
        <v>4016</v>
      </c>
      <c r="C64" s="11">
        <v>290</v>
      </c>
      <c r="D64" s="11">
        <v>290</v>
      </c>
      <c r="E64" s="11">
        <v>134</v>
      </c>
      <c r="F64" s="11">
        <v>264</v>
      </c>
      <c r="G64" s="11">
        <v>358</v>
      </c>
      <c r="H64" s="11">
        <v>290</v>
      </c>
      <c r="I64" s="11">
        <v>290</v>
      </c>
      <c r="J64" s="11">
        <v>150</v>
      </c>
      <c r="K64" s="11">
        <v>150</v>
      </c>
      <c r="L64" s="11">
        <v>150</v>
      </c>
      <c r="M64" s="11">
        <v>150</v>
      </c>
      <c r="N64" s="11">
        <v>150</v>
      </c>
      <c r="O64" s="11">
        <v>150</v>
      </c>
      <c r="P64" s="11">
        <v>150</v>
      </c>
      <c r="Q64" s="11">
        <v>150</v>
      </c>
      <c r="R64" s="11">
        <v>0</v>
      </c>
      <c r="S64" s="11">
        <v>150</v>
      </c>
      <c r="T64" s="11">
        <v>300</v>
      </c>
      <c r="U64" s="11">
        <v>150</v>
      </c>
      <c r="V64" s="11">
        <v>150</v>
      </c>
      <c r="W64" s="11">
        <v>150</v>
      </c>
      <c r="X64" s="11">
        <v>0</v>
      </c>
    </row>
    <row r="65" spans="1:24" x14ac:dyDescent="0.2">
      <c r="A65" s="6" t="s">
        <v>112</v>
      </c>
      <c r="B65" s="11">
        <v>31277</v>
      </c>
      <c r="C65" s="11">
        <v>855</v>
      </c>
      <c r="D65" s="11">
        <v>0</v>
      </c>
      <c r="E65" s="11">
        <v>2294</v>
      </c>
      <c r="F65" s="11">
        <v>0</v>
      </c>
      <c r="G65" s="11">
        <v>2279</v>
      </c>
      <c r="H65" s="11">
        <v>244</v>
      </c>
      <c r="I65" s="11">
        <v>3053</v>
      </c>
      <c r="J65" s="11">
        <v>2070</v>
      </c>
      <c r="K65" s="11">
        <v>1961</v>
      </c>
      <c r="L65" s="11">
        <v>112</v>
      </c>
      <c r="M65" s="11">
        <v>2599</v>
      </c>
      <c r="N65" s="11">
        <v>113</v>
      </c>
      <c r="O65" s="11">
        <v>5230</v>
      </c>
      <c r="P65" s="11">
        <v>912</v>
      </c>
      <c r="Q65" s="11">
        <v>3804</v>
      </c>
      <c r="R65" s="11">
        <v>113</v>
      </c>
      <c r="S65" s="11">
        <v>720</v>
      </c>
      <c r="T65" s="11">
        <v>0</v>
      </c>
      <c r="U65" s="11">
        <v>0</v>
      </c>
      <c r="V65" s="11">
        <v>0</v>
      </c>
      <c r="W65" s="11">
        <v>4918</v>
      </c>
      <c r="X65" s="11">
        <v>0</v>
      </c>
    </row>
    <row r="66" spans="1:24" x14ac:dyDescent="0.2">
      <c r="A66" s="6" t="s">
        <v>113</v>
      </c>
      <c r="B66" s="11">
        <v>12996</v>
      </c>
      <c r="C66" s="11">
        <v>410</v>
      </c>
      <c r="D66" s="11">
        <v>514</v>
      </c>
      <c r="E66" s="11">
        <v>735</v>
      </c>
      <c r="F66" s="11">
        <v>565</v>
      </c>
      <c r="G66" s="11">
        <v>683</v>
      </c>
      <c r="H66" s="11">
        <v>800</v>
      </c>
      <c r="I66" s="11">
        <v>525</v>
      </c>
      <c r="J66" s="11">
        <v>743</v>
      </c>
      <c r="K66" s="11">
        <v>565</v>
      </c>
      <c r="L66" s="11">
        <v>695</v>
      </c>
      <c r="M66" s="11">
        <v>675</v>
      </c>
      <c r="N66" s="11">
        <v>1195</v>
      </c>
      <c r="O66" s="11">
        <v>885</v>
      </c>
      <c r="P66" s="11">
        <v>760</v>
      </c>
      <c r="Q66" s="11">
        <v>735</v>
      </c>
      <c r="R66" s="11">
        <v>520</v>
      </c>
      <c r="S66" s="11">
        <v>310</v>
      </c>
      <c r="T66" s="11">
        <v>574</v>
      </c>
      <c r="U66" s="11">
        <v>400</v>
      </c>
      <c r="V66" s="11">
        <v>396</v>
      </c>
      <c r="W66" s="11">
        <v>310</v>
      </c>
      <c r="X66" s="11">
        <v>0</v>
      </c>
    </row>
    <row r="67" spans="1:24" x14ac:dyDescent="0.2">
      <c r="A67" s="6" t="s">
        <v>114</v>
      </c>
      <c r="B67" s="11">
        <v>600</v>
      </c>
      <c r="C67" s="11">
        <v>0</v>
      </c>
      <c r="D67" s="11">
        <v>75</v>
      </c>
      <c r="E67" s="11">
        <v>0</v>
      </c>
      <c r="F67" s="11">
        <v>75</v>
      </c>
      <c r="G67" s="11">
        <v>0</v>
      </c>
      <c r="H67" s="11">
        <v>0</v>
      </c>
      <c r="I67" s="11">
        <v>75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150</v>
      </c>
      <c r="Q67" s="11">
        <v>75</v>
      </c>
      <c r="R67" s="11">
        <v>75</v>
      </c>
      <c r="S67" s="11">
        <v>0</v>
      </c>
      <c r="T67" s="11">
        <v>0</v>
      </c>
      <c r="U67" s="11">
        <v>75</v>
      </c>
      <c r="V67" s="11">
        <v>0</v>
      </c>
      <c r="W67" s="11">
        <v>0</v>
      </c>
      <c r="X67" s="11">
        <v>0</v>
      </c>
    </row>
    <row r="68" spans="1:24" x14ac:dyDescent="0.2">
      <c r="A68" s="6" t="s">
        <v>115</v>
      </c>
      <c r="B68" s="11">
        <v>1012</v>
      </c>
      <c r="C68" s="11">
        <v>113</v>
      </c>
      <c r="D68" s="11">
        <v>112</v>
      </c>
      <c r="E68" s="11">
        <v>112</v>
      </c>
      <c r="F68" s="11">
        <v>113</v>
      </c>
      <c r="G68" s="11">
        <v>0</v>
      </c>
      <c r="H68" s="11">
        <v>113</v>
      </c>
      <c r="I68" s="11">
        <v>112</v>
      </c>
      <c r="J68" s="11">
        <v>0</v>
      </c>
      <c r="K68" s="11">
        <v>112</v>
      </c>
      <c r="L68" s="11">
        <v>0</v>
      </c>
      <c r="M68" s="11">
        <v>0</v>
      </c>
      <c r="N68" s="11">
        <v>0</v>
      </c>
      <c r="O68" s="11">
        <v>0</v>
      </c>
      <c r="P68" s="11">
        <v>0</v>
      </c>
      <c r="Q68" s="11">
        <v>112</v>
      </c>
      <c r="R68" s="11">
        <v>0</v>
      </c>
      <c r="S68" s="11">
        <v>112</v>
      </c>
      <c r="T68" s="11">
        <v>0</v>
      </c>
      <c r="U68" s="11">
        <v>0</v>
      </c>
      <c r="V68" s="11">
        <v>0</v>
      </c>
      <c r="W68" s="11">
        <v>0</v>
      </c>
      <c r="X68" s="11">
        <v>0</v>
      </c>
    </row>
    <row r="69" spans="1:24" x14ac:dyDescent="0.2">
      <c r="A69" s="6" t="s">
        <v>116</v>
      </c>
      <c r="B69" s="11">
        <v>73654</v>
      </c>
      <c r="C69" s="11">
        <v>4728</v>
      </c>
      <c r="D69" s="11">
        <v>3426</v>
      </c>
      <c r="E69" s="11">
        <v>2792</v>
      </c>
      <c r="F69" s="11">
        <v>2747</v>
      </c>
      <c r="G69" s="11">
        <v>2429</v>
      </c>
      <c r="H69" s="11">
        <v>2179</v>
      </c>
      <c r="I69" s="11">
        <v>1336</v>
      </c>
      <c r="J69" s="11">
        <v>1797</v>
      </c>
      <c r="K69" s="11">
        <v>686</v>
      </c>
      <c r="L69" s="11">
        <v>2717</v>
      </c>
      <c r="M69" s="11">
        <v>6146</v>
      </c>
      <c r="N69" s="11">
        <v>8011</v>
      </c>
      <c r="O69" s="11">
        <v>4774</v>
      </c>
      <c r="P69" s="11">
        <v>9306</v>
      </c>
      <c r="Q69" s="11">
        <v>5783</v>
      </c>
      <c r="R69" s="11">
        <v>3805</v>
      </c>
      <c r="S69" s="11">
        <v>774</v>
      </c>
      <c r="T69" s="11">
        <v>1987</v>
      </c>
      <c r="U69" s="11">
        <v>2539</v>
      </c>
      <c r="V69" s="11">
        <v>4725</v>
      </c>
      <c r="W69" s="11">
        <v>969</v>
      </c>
      <c r="X69" s="11">
        <v>0</v>
      </c>
    </row>
    <row r="70" spans="1:24" x14ac:dyDescent="0.2">
      <c r="A70" s="6" t="s">
        <v>117</v>
      </c>
      <c r="B70" s="11">
        <v>18880</v>
      </c>
      <c r="C70" s="11">
        <v>530</v>
      </c>
      <c r="D70" s="11">
        <v>840</v>
      </c>
      <c r="E70" s="11">
        <v>368</v>
      </c>
      <c r="F70" s="11">
        <v>1904</v>
      </c>
      <c r="G70" s="11">
        <v>814</v>
      </c>
      <c r="H70" s="11">
        <v>514</v>
      </c>
      <c r="I70" s="11">
        <v>961</v>
      </c>
      <c r="J70" s="11">
        <v>789</v>
      </c>
      <c r="K70" s="11">
        <v>701</v>
      </c>
      <c r="L70" s="11">
        <v>334</v>
      </c>
      <c r="M70" s="11">
        <v>3145</v>
      </c>
      <c r="N70" s="11">
        <v>2774</v>
      </c>
      <c r="O70" s="11">
        <v>1482</v>
      </c>
      <c r="P70" s="11">
        <v>438</v>
      </c>
      <c r="Q70" s="11">
        <v>637</v>
      </c>
      <c r="R70" s="11">
        <v>963</v>
      </c>
      <c r="S70" s="11">
        <v>428</v>
      </c>
      <c r="T70" s="11">
        <v>228</v>
      </c>
      <c r="U70" s="11">
        <v>455</v>
      </c>
      <c r="V70" s="11">
        <v>390</v>
      </c>
      <c r="W70" s="11">
        <v>183</v>
      </c>
      <c r="X70" s="11">
        <v>0</v>
      </c>
    </row>
    <row r="71" spans="1:24" x14ac:dyDescent="0.2">
      <c r="A71" s="6" t="s">
        <v>118</v>
      </c>
      <c r="B71" s="11">
        <v>43540</v>
      </c>
      <c r="C71" s="11">
        <v>3240</v>
      </c>
      <c r="D71" s="11">
        <v>2872</v>
      </c>
      <c r="E71" s="11">
        <v>1309</v>
      </c>
      <c r="F71" s="11">
        <v>4716</v>
      </c>
      <c r="G71" s="11">
        <v>2903</v>
      </c>
      <c r="H71" s="11">
        <v>2008</v>
      </c>
      <c r="I71" s="11">
        <v>1549</v>
      </c>
      <c r="J71" s="11">
        <v>1057</v>
      </c>
      <c r="K71" s="11">
        <v>2011</v>
      </c>
      <c r="L71" s="11">
        <v>802</v>
      </c>
      <c r="M71" s="11">
        <v>2014</v>
      </c>
      <c r="N71" s="11">
        <v>6105</v>
      </c>
      <c r="O71" s="11">
        <v>203</v>
      </c>
      <c r="P71" s="11">
        <v>5673</v>
      </c>
      <c r="Q71" s="11">
        <v>2335</v>
      </c>
      <c r="R71" s="11">
        <v>1041</v>
      </c>
      <c r="S71" s="11">
        <v>188</v>
      </c>
      <c r="T71" s="11">
        <v>432</v>
      </c>
      <c r="U71" s="11">
        <v>763</v>
      </c>
      <c r="V71" s="11">
        <v>1306</v>
      </c>
      <c r="W71" s="11">
        <v>1015</v>
      </c>
      <c r="X71" s="11">
        <v>0</v>
      </c>
    </row>
    <row r="72" spans="1:24" x14ac:dyDescent="0.2">
      <c r="A72" s="6" t="s">
        <v>119</v>
      </c>
      <c r="B72" s="13">
        <v>397130</v>
      </c>
      <c r="C72" s="13">
        <v>17126</v>
      </c>
      <c r="D72" s="13">
        <v>13917</v>
      </c>
      <c r="E72" s="13">
        <v>12811</v>
      </c>
      <c r="F72" s="13">
        <v>14357</v>
      </c>
      <c r="G72" s="13">
        <v>13708</v>
      </c>
      <c r="H72" s="13">
        <v>11110</v>
      </c>
      <c r="I72" s="13">
        <v>12678</v>
      </c>
      <c r="J72" s="13">
        <v>20770</v>
      </c>
      <c r="K72" s="13">
        <v>19271</v>
      </c>
      <c r="L72" s="13">
        <v>25458</v>
      </c>
      <c r="M72" s="13">
        <v>35215</v>
      </c>
      <c r="N72" s="13">
        <v>34979</v>
      </c>
      <c r="O72" s="13">
        <v>33579</v>
      </c>
      <c r="P72" s="13">
        <v>39405</v>
      </c>
      <c r="Q72" s="13">
        <v>27788</v>
      </c>
      <c r="R72" s="13">
        <v>17937</v>
      </c>
      <c r="S72" s="13">
        <v>8376</v>
      </c>
      <c r="T72" s="13">
        <v>10354</v>
      </c>
      <c r="U72" s="13">
        <v>5989</v>
      </c>
      <c r="V72" s="13">
        <v>11955</v>
      </c>
      <c r="W72" s="13">
        <v>10222</v>
      </c>
      <c r="X72" s="13">
        <v>125</v>
      </c>
    </row>
    <row r="73" spans="1:24" x14ac:dyDescent="0.2">
      <c r="A73" s="6" t="s">
        <v>41</v>
      </c>
      <c r="B73" s="15" t="s">
        <v>70</v>
      </c>
      <c r="C73" s="15" t="s">
        <v>70</v>
      </c>
      <c r="D73" s="15" t="s">
        <v>70</v>
      </c>
      <c r="E73" s="15" t="s">
        <v>70</v>
      </c>
      <c r="F73" s="15" t="s">
        <v>70</v>
      </c>
      <c r="G73" s="15" t="s">
        <v>70</v>
      </c>
      <c r="H73" s="15" t="s">
        <v>70</v>
      </c>
      <c r="I73" s="15" t="s">
        <v>70</v>
      </c>
      <c r="J73" s="15" t="s">
        <v>70</v>
      </c>
      <c r="K73" s="15" t="s">
        <v>70</v>
      </c>
      <c r="L73" s="15" t="s">
        <v>70</v>
      </c>
      <c r="M73" s="15" t="s">
        <v>70</v>
      </c>
      <c r="N73" s="15" t="s">
        <v>70</v>
      </c>
      <c r="O73" s="15" t="s">
        <v>70</v>
      </c>
      <c r="P73" s="15" t="s">
        <v>70</v>
      </c>
      <c r="Q73" s="15" t="s">
        <v>70</v>
      </c>
      <c r="R73" s="15" t="s">
        <v>70</v>
      </c>
      <c r="S73" s="15" t="s">
        <v>70</v>
      </c>
      <c r="T73" s="15" t="s">
        <v>70</v>
      </c>
      <c r="U73" s="15" t="s">
        <v>70</v>
      </c>
      <c r="V73" s="15" t="s">
        <v>70</v>
      </c>
      <c r="W73" s="15" t="s">
        <v>70</v>
      </c>
      <c r="X73" s="15" t="s">
        <v>70</v>
      </c>
    </row>
    <row r="74" spans="1:24" x14ac:dyDescent="0.2">
      <c r="A74" s="6" t="s">
        <v>71</v>
      </c>
      <c r="B74" s="11">
        <v>314496</v>
      </c>
      <c r="C74" s="11">
        <v>14643</v>
      </c>
      <c r="D74" s="11">
        <v>17375</v>
      </c>
      <c r="E74" s="11">
        <v>14067</v>
      </c>
      <c r="F74" s="11">
        <v>16490</v>
      </c>
      <c r="G74" s="11">
        <v>19347</v>
      </c>
      <c r="H74" s="11">
        <v>14291</v>
      </c>
      <c r="I74" s="11">
        <v>12366</v>
      </c>
      <c r="J74" s="11">
        <v>16499</v>
      </c>
      <c r="K74" s="11">
        <v>12818</v>
      </c>
      <c r="L74" s="11">
        <v>18495</v>
      </c>
      <c r="M74" s="11">
        <v>19247</v>
      </c>
      <c r="N74" s="11">
        <v>32258</v>
      </c>
      <c r="O74" s="11">
        <v>19767</v>
      </c>
      <c r="P74" s="11">
        <v>19834</v>
      </c>
      <c r="Q74" s="11">
        <v>16183</v>
      </c>
      <c r="R74" s="11">
        <v>18044</v>
      </c>
      <c r="S74" s="11">
        <v>0</v>
      </c>
      <c r="T74" s="11">
        <v>10181</v>
      </c>
      <c r="U74" s="11">
        <v>6499</v>
      </c>
      <c r="V74" s="11">
        <v>9843</v>
      </c>
      <c r="W74" s="11">
        <v>6249</v>
      </c>
      <c r="X74" s="11">
        <v>0</v>
      </c>
    </row>
    <row r="75" spans="1:24" x14ac:dyDescent="0.2">
      <c r="A75" s="6" t="s">
        <v>72</v>
      </c>
      <c r="B75" s="11">
        <v>13256</v>
      </c>
      <c r="C75" s="11">
        <v>1275</v>
      </c>
      <c r="D75" s="11">
        <v>115</v>
      </c>
      <c r="E75" s="11">
        <v>1079</v>
      </c>
      <c r="F75" s="11">
        <v>140</v>
      </c>
      <c r="G75" s="11">
        <v>2061</v>
      </c>
      <c r="H75" s="11">
        <v>78</v>
      </c>
      <c r="I75" s="11">
        <v>909</v>
      </c>
      <c r="J75" s="11">
        <v>0</v>
      </c>
      <c r="K75" s="11">
        <v>253</v>
      </c>
      <c r="L75" s="11">
        <v>488</v>
      </c>
      <c r="M75" s="11">
        <v>2168</v>
      </c>
      <c r="N75" s="11">
        <v>489</v>
      </c>
      <c r="O75" s="11">
        <v>281</v>
      </c>
      <c r="P75" s="11">
        <v>651</v>
      </c>
      <c r="Q75" s="11">
        <v>924</v>
      </c>
      <c r="R75" s="11">
        <v>63</v>
      </c>
      <c r="S75" s="11">
        <v>0</v>
      </c>
      <c r="T75" s="11">
        <v>1508</v>
      </c>
      <c r="U75" s="11">
        <v>0</v>
      </c>
      <c r="V75" s="11">
        <v>772</v>
      </c>
      <c r="W75" s="11">
        <v>0</v>
      </c>
      <c r="X75" s="11">
        <v>0</v>
      </c>
    </row>
    <row r="76" spans="1:24" x14ac:dyDescent="0.2">
      <c r="A76" s="6" t="s">
        <v>74</v>
      </c>
      <c r="B76" s="11">
        <v>10</v>
      </c>
      <c r="C76" s="11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</v>
      </c>
      <c r="Q76" s="11">
        <v>0</v>
      </c>
      <c r="R76" s="11">
        <v>0</v>
      </c>
      <c r="S76" s="11">
        <v>0</v>
      </c>
      <c r="T76" s="11">
        <v>0</v>
      </c>
      <c r="U76" s="11">
        <v>0</v>
      </c>
      <c r="V76" s="11">
        <v>10</v>
      </c>
      <c r="W76" s="11">
        <v>0</v>
      </c>
      <c r="X76" s="11">
        <v>0</v>
      </c>
    </row>
    <row r="77" spans="1:24" x14ac:dyDescent="0.2">
      <c r="A77" s="6" t="s">
        <v>75</v>
      </c>
      <c r="B77" s="11">
        <v>11344</v>
      </c>
      <c r="C77" s="11">
        <v>0</v>
      </c>
      <c r="D77" s="11">
        <v>683</v>
      </c>
      <c r="E77" s="11">
        <v>55</v>
      </c>
      <c r="F77" s="11">
        <v>589</v>
      </c>
      <c r="G77" s="11">
        <v>-22</v>
      </c>
      <c r="H77" s="11">
        <v>708</v>
      </c>
      <c r="I77" s="11">
        <v>447</v>
      </c>
      <c r="J77" s="11">
        <v>517</v>
      </c>
      <c r="K77" s="11">
        <v>631</v>
      </c>
      <c r="L77" s="11">
        <v>1227</v>
      </c>
      <c r="M77" s="11">
        <v>506</v>
      </c>
      <c r="N77" s="11">
        <v>2655</v>
      </c>
      <c r="O77" s="11">
        <v>1405</v>
      </c>
      <c r="P77" s="11">
        <v>697</v>
      </c>
      <c r="Q77" s="11">
        <v>229</v>
      </c>
      <c r="R77" s="11">
        <v>804</v>
      </c>
      <c r="S77" s="11">
        <v>0</v>
      </c>
      <c r="T77" s="11">
        <v>-202</v>
      </c>
      <c r="U77" s="11">
        <v>-334</v>
      </c>
      <c r="V77" s="11">
        <v>452</v>
      </c>
      <c r="W77" s="11">
        <v>295</v>
      </c>
      <c r="X77" s="11">
        <v>0</v>
      </c>
    </row>
    <row r="78" spans="1:24" x14ac:dyDescent="0.2">
      <c r="A78" s="6" t="s">
        <v>76</v>
      </c>
      <c r="B78" s="11">
        <v>9693</v>
      </c>
      <c r="C78" s="11">
        <v>632</v>
      </c>
      <c r="D78" s="11">
        <v>1056</v>
      </c>
      <c r="E78" s="11">
        <v>296</v>
      </c>
      <c r="F78" s="11">
        <v>405</v>
      </c>
      <c r="G78" s="11">
        <v>460</v>
      </c>
      <c r="H78" s="11">
        <v>736</v>
      </c>
      <c r="I78" s="11">
        <v>384</v>
      </c>
      <c r="J78" s="11">
        <v>507</v>
      </c>
      <c r="K78" s="11">
        <v>297</v>
      </c>
      <c r="L78" s="11">
        <v>184</v>
      </c>
      <c r="M78" s="11">
        <v>612</v>
      </c>
      <c r="N78" s="11">
        <v>1050</v>
      </c>
      <c r="O78" s="11">
        <v>764</v>
      </c>
      <c r="P78" s="11">
        <v>543</v>
      </c>
      <c r="Q78" s="11">
        <v>265</v>
      </c>
      <c r="R78" s="11">
        <v>642</v>
      </c>
      <c r="S78" s="11">
        <v>0</v>
      </c>
      <c r="T78" s="11">
        <v>319</v>
      </c>
      <c r="U78" s="11">
        <v>0</v>
      </c>
      <c r="V78" s="11">
        <v>341</v>
      </c>
      <c r="W78" s="11">
        <v>202</v>
      </c>
      <c r="X78" s="11">
        <v>0</v>
      </c>
    </row>
    <row r="79" spans="1:24" x14ac:dyDescent="0.2">
      <c r="A79" s="6" t="s">
        <v>120</v>
      </c>
      <c r="B79" s="11">
        <v>219878</v>
      </c>
      <c r="C79" s="11">
        <v>17047</v>
      </c>
      <c r="D79" s="11">
        <v>10470</v>
      </c>
      <c r="E79" s="11">
        <v>14464</v>
      </c>
      <c r="F79" s="11">
        <v>11154</v>
      </c>
      <c r="G79" s="11">
        <v>9416</v>
      </c>
      <c r="H79" s="11">
        <v>7125</v>
      </c>
      <c r="I79" s="11">
        <v>6082</v>
      </c>
      <c r="J79" s="11">
        <v>11128</v>
      </c>
      <c r="K79" s="11">
        <v>4223</v>
      </c>
      <c r="L79" s="11">
        <v>12024</v>
      </c>
      <c r="M79" s="11">
        <v>14261</v>
      </c>
      <c r="N79" s="11">
        <v>33323</v>
      </c>
      <c r="O79" s="11">
        <v>11139</v>
      </c>
      <c r="P79" s="11">
        <v>14673</v>
      </c>
      <c r="Q79" s="11">
        <v>10032</v>
      </c>
      <c r="R79" s="11">
        <v>11442</v>
      </c>
      <c r="S79" s="11">
        <v>37</v>
      </c>
      <c r="T79" s="11">
        <v>6442</v>
      </c>
      <c r="U79" s="11">
        <v>3619</v>
      </c>
      <c r="V79" s="11">
        <v>5185</v>
      </c>
      <c r="W79" s="11">
        <v>6593</v>
      </c>
      <c r="X79" s="11">
        <v>0</v>
      </c>
    </row>
    <row r="80" spans="1:24" x14ac:dyDescent="0.2">
      <c r="A80" s="6" t="s">
        <v>121</v>
      </c>
      <c r="B80" s="11">
        <v>13962</v>
      </c>
      <c r="C80" s="11">
        <v>2014</v>
      </c>
      <c r="D80" s="11">
        <v>1046</v>
      </c>
      <c r="E80" s="11">
        <v>458</v>
      </c>
      <c r="F80" s="11">
        <v>692</v>
      </c>
      <c r="G80" s="11">
        <v>457</v>
      </c>
      <c r="H80" s="11">
        <v>478</v>
      </c>
      <c r="I80" s="11">
        <v>717</v>
      </c>
      <c r="J80" s="11">
        <v>402</v>
      </c>
      <c r="K80" s="11">
        <v>320</v>
      </c>
      <c r="L80" s="11">
        <v>840</v>
      </c>
      <c r="M80" s="11">
        <v>590</v>
      </c>
      <c r="N80" s="11">
        <v>2500</v>
      </c>
      <c r="O80" s="11">
        <v>1165</v>
      </c>
      <c r="P80" s="11">
        <v>311</v>
      </c>
      <c r="Q80" s="11">
        <v>429</v>
      </c>
      <c r="R80" s="11">
        <v>1470</v>
      </c>
      <c r="S80" s="11">
        <v>0</v>
      </c>
      <c r="T80" s="11">
        <v>37</v>
      </c>
      <c r="U80" s="11">
        <v>0</v>
      </c>
      <c r="V80" s="11">
        <v>0</v>
      </c>
      <c r="W80" s="11">
        <v>37</v>
      </c>
      <c r="X80" s="11">
        <v>0</v>
      </c>
    </row>
    <row r="81" spans="1:24" x14ac:dyDescent="0.2">
      <c r="A81" s="6" t="s">
        <v>122</v>
      </c>
      <c r="B81" s="11">
        <v>385</v>
      </c>
      <c r="C81" s="11">
        <v>0</v>
      </c>
      <c r="D81" s="11">
        <v>0</v>
      </c>
      <c r="E81" s="11">
        <v>0</v>
      </c>
      <c r="F81" s="11">
        <v>16</v>
      </c>
      <c r="G81" s="11">
        <v>0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321</v>
      </c>
      <c r="O81" s="11">
        <v>0</v>
      </c>
      <c r="P81" s="11">
        <v>0</v>
      </c>
      <c r="Q81" s="11">
        <v>0</v>
      </c>
      <c r="R81" s="11">
        <v>48</v>
      </c>
      <c r="S81" s="11">
        <v>0</v>
      </c>
      <c r="T81" s="11">
        <v>0</v>
      </c>
      <c r="U81" s="11">
        <v>0</v>
      </c>
      <c r="V81" s="11">
        <v>0</v>
      </c>
      <c r="W81" s="11">
        <v>0</v>
      </c>
      <c r="X81" s="11">
        <v>0</v>
      </c>
    </row>
    <row r="82" spans="1:24" x14ac:dyDescent="0.2">
      <c r="A82" s="6" t="s">
        <v>123</v>
      </c>
      <c r="B82" s="11">
        <v>18058</v>
      </c>
      <c r="C82" s="11">
        <v>1564</v>
      </c>
      <c r="D82" s="11">
        <v>493</v>
      </c>
      <c r="E82" s="11">
        <v>3043</v>
      </c>
      <c r="F82" s="11">
        <v>453</v>
      </c>
      <c r="G82" s="11">
        <v>447</v>
      </c>
      <c r="H82" s="11">
        <v>418</v>
      </c>
      <c r="I82" s="11">
        <v>486</v>
      </c>
      <c r="J82" s="11">
        <v>544</v>
      </c>
      <c r="K82" s="11">
        <v>350</v>
      </c>
      <c r="L82" s="11">
        <v>857</v>
      </c>
      <c r="M82" s="11">
        <v>1503</v>
      </c>
      <c r="N82" s="11">
        <v>2516</v>
      </c>
      <c r="O82" s="11">
        <v>775</v>
      </c>
      <c r="P82" s="11">
        <v>1931</v>
      </c>
      <c r="Q82" s="11">
        <v>773</v>
      </c>
      <c r="R82" s="11">
        <v>427</v>
      </c>
      <c r="S82" s="11">
        <v>0</v>
      </c>
      <c r="T82" s="11">
        <v>229</v>
      </c>
      <c r="U82" s="11">
        <v>430</v>
      </c>
      <c r="V82" s="11">
        <v>333</v>
      </c>
      <c r="W82" s="11">
        <v>487</v>
      </c>
      <c r="X82" s="11">
        <v>0</v>
      </c>
    </row>
    <row r="83" spans="1:24" x14ac:dyDescent="0.2">
      <c r="A83" s="6" t="s">
        <v>124</v>
      </c>
      <c r="B83" s="11">
        <v>541</v>
      </c>
      <c r="C83" s="11">
        <v>0</v>
      </c>
      <c r="D83" s="11">
        <v>0</v>
      </c>
      <c r="E83" s="11">
        <v>6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>
        <v>0</v>
      </c>
      <c r="L83" s="11">
        <v>0</v>
      </c>
      <c r="M83" s="11">
        <v>51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36</v>
      </c>
      <c r="U83" s="11">
        <v>448</v>
      </c>
      <c r="V83" s="11">
        <v>0</v>
      </c>
      <c r="W83" s="11">
        <v>0</v>
      </c>
      <c r="X83" s="11">
        <v>0</v>
      </c>
    </row>
    <row r="84" spans="1:24" x14ac:dyDescent="0.2">
      <c r="A84" s="6" t="s">
        <v>125</v>
      </c>
      <c r="B84" s="11">
        <v>7185</v>
      </c>
      <c r="C84" s="11">
        <v>350</v>
      </c>
      <c r="D84" s="11">
        <v>307</v>
      </c>
      <c r="E84" s="11">
        <v>428</v>
      </c>
      <c r="F84" s="11">
        <v>338</v>
      </c>
      <c r="G84" s="11">
        <v>0</v>
      </c>
      <c r="H84" s="11">
        <v>264</v>
      </c>
      <c r="I84" s="11">
        <v>379</v>
      </c>
      <c r="J84" s="11">
        <v>460</v>
      </c>
      <c r="K84" s="11">
        <v>43</v>
      </c>
      <c r="L84" s="11">
        <v>575</v>
      </c>
      <c r="M84" s="11">
        <v>635</v>
      </c>
      <c r="N84" s="11">
        <v>518</v>
      </c>
      <c r="O84" s="11">
        <v>1109</v>
      </c>
      <c r="P84" s="11">
        <v>511</v>
      </c>
      <c r="Q84" s="11">
        <v>462</v>
      </c>
      <c r="R84" s="11">
        <v>117</v>
      </c>
      <c r="S84" s="11">
        <v>35</v>
      </c>
      <c r="T84" s="11">
        <v>470</v>
      </c>
      <c r="U84" s="11">
        <v>181</v>
      </c>
      <c r="V84" s="11">
        <v>0</v>
      </c>
      <c r="W84" s="11">
        <v>0</v>
      </c>
      <c r="X84" s="11">
        <v>0</v>
      </c>
    </row>
    <row r="85" spans="1:24" x14ac:dyDescent="0.2">
      <c r="A85" s="6" t="s">
        <v>126</v>
      </c>
      <c r="B85" s="11">
        <v>1712</v>
      </c>
      <c r="C85" s="11">
        <v>0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757</v>
      </c>
      <c r="R85" s="11">
        <v>956</v>
      </c>
      <c r="S85" s="11">
        <v>0</v>
      </c>
      <c r="T85" s="11">
        <v>0</v>
      </c>
      <c r="U85" s="11">
        <v>0</v>
      </c>
      <c r="V85" s="11">
        <v>0</v>
      </c>
      <c r="W85" s="11">
        <v>0</v>
      </c>
      <c r="X85" s="11">
        <v>0</v>
      </c>
    </row>
    <row r="86" spans="1:24" x14ac:dyDescent="0.2">
      <c r="A86" s="6" t="s">
        <v>127</v>
      </c>
      <c r="B86" s="11">
        <v>488</v>
      </c>
      <c r="C86" s="11">
        <v>0</v>
      </c>
      <c r="D86" s="11">
        <v>0</v>
      </c>
      <c r="E86" s="11">
        <v>488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11">
        <v>0</v>
      </c>
      <c r="X86" s="11">
        <v>0</v>
      </c>
    </row>
    <row r="87" spans="1:24" x14ac:dyDescent="0.2">
      <c r="A87" s="6" t="s">
        <v>128</v>
      </c>
      <c r="B87" s="11">
        <v>109562</v>
      </c>
      <c r="C87" s="11">
        <v>690</v>
      </c>
      <c r="D87" s="11">
        <v>557</v>
      </c>
      <c r="E87" s="11">
        <v>674</v>
      </c>
      <c r="F87" s="11">
        <v>642</v>
      </c>
      <c r="G87" s="11">
        <v>1662</v>
      </c>
      <c r="H87" s="11">
        <v>528</v>
      </c>
      <c r="I87" s="11">
        <v>539</v>
      </c>
      <c r="J87" s="11">
        <v>15000</v>
      </c>
      <c r="K87" s="11">
        <v>15000</v>
      </c>
      <c r="L87" s="11">
        <v>15000</v>
      </c>
      <c r="M87" s="11">
        <v>15000</v>
      </c>
      <c r="N87" s="11">
        <v>12000</v>
      </c>
      <c r="O87" s="11">
        <v>15000</v>
      </c>
      <c r="P87" s="11">
        <v>15000</v>
      </c>
      <c r="Q87" s="11">
        <v>1518</v>
      </c>
      <c r="R87" s="11">
        <v>752</v>
      </c>
      <c r="S87" s="11">
        <v>0</v>
      </c>
      <c r="T87" s="11">
        <v>0</v>
      </c>
      <c r="U87" s="11">
        <v>0</v>
      </c>
      <c r="V87" s="11">
        <v>0</v>
      </c>
      <c r="W87" s="11">
        <v>0</v>
      </c>
      <c r="X87" s="11">
        <v>0</v>
      </c>
    </row>
    <row r="88" spans="1:24" x14ac:dyDescent="0.2">
      <c r="A88" s="6" t="s">
        <v>129</v>
      </c>
      <c r="B88" s="13">
        <v>720570</v>
      </c>
      <c r="C88" s="13">
        <v>38215</v>
      </c>
      <c r="D88" s="13">
        <v>32102</v>
      </c>
      <c r="E88" s="13">
        <v>35058</v>
      </c>
      <c r="F88" s="13">
        <v>30919</v>
      </c>
      <c r="G88" s="13">
        <v>33828</v>
      </c>
      <c r="H88" s="13">
        <v>24626</v>
      </c>
      <c r="I88" s="13">
        <v>22309</v>
      </c>
      <c r="J88" s="13">
        <v>45057</v>
      </c>
      <c r="K88" s="13">
        <v>33935</v>
      </c>
      <c r="L88" s="13">
        <v>49690</v>
      </c>
      <c r="M88" s="13">
        <v>54573</v>
      </c>
      <c r="N88" s="13">
        <v>87630</v>
      </c>
      <c r="O88" s="13">
        <v>51405</v>
      </c>
      <c r="P88" s="13">
        <v>54151</v>
      </c>
      <c r="Q88" s="13">
        <v>31572</v>
      </c>
      <c r="R88" s="13">
        <v>34765</v>
      </c>
      <c r="S88" s="13">
        <v>72</v>
      </c>
      <c r="T88" s="13">
        <v>19020</v>
      </c>
      <c r="U88" s="13">
        <v>10843</v>
      </c>
      <c r="V88" s="13">
        <v>16936</v>
      </c>
      <c r="W88" s="13">
        <v>13863</v>
      </c>
      <c r="X88" s="13">
        <v>0</v>
      </c>
    </row>
    <row r="89" spans="1:24" x14ac:dyDescent="0.2">
      <c r="A89" s="6" t="s">
        <v>42</v>
      </c>
      <c r="B89" s="15" t="s">
        <v>70</v>
      </c>
      <c r="C89" s="15" t="s">
        <v>70</v>
      </c>
      <c r="D89" s="15" t="s">
        <v>70</v>
      </c>
      <c r="E89" s="15" t="s">
        <v>70</v>
      </c>
      <c r="F89" s="15" t="s">
        <v>70</v>
      </c>
      <c r="G89" s="15" t="s">
        <v>70</v>
      </c>
      <c r="H89" s="15" t="s">
        <v>70</v>
      </c>
      <c r="I89" s="15" t="s">
        <v>70</v>
      </c>
      <c r="J89" s="15" t="s">
        <v>70</v>
      </c>
      <c r="K89" s="15" t="s">
        <v>70</v>
      </c>
      <c r="L89" s="15" t="s">
        <v>70</v>
      </c>
      <c r="M89" s="15" t="s">
        <v>70</v>
      </c>
      <c r="N89" s="15" t="s">
        <v>70</v>
      </c>
      <c r="O89" s="15" t="s">
        <v>70</v>
      </c>
      <c r="P89" s="15" t="s">
        <v>70</v>
      </c>
      <c r="Q89" s="15" t="s">
        <v>70</v>
      </c>
      <c r="R89" s="15" t="s">
        <v>70</v>
      </c>
      <c r="S89" s="15" t="s">
        <v>70</v>
      </c>
      <c r="T89" s="15" t="s">
        <v>70</v>
      </c>
      <c r="U89" s="15" t="s">
        <v>70</v>
      </c>
      <c r="V89" s="15" t="s">
        <v>70</v>
      </c>
      <c r="W89" s="15" t="s">
        <v>70</v>
      </c>
      <c r="X89" s="15" t="s">
        <v>70</v>
      </c>
    </row>
    <row r="90" spans="1:24" x14ac:dyDescent="0.2">
      <c r="A90" s="6" t="s">
        <v>130</v>
      </c>
      <c r="B90" s="11">
        <v>273390</v>
      </c>
      <c r="C90" s="11">
        <v>13775</v>
      </c>
      <c r="D90" s="11">
        <v>13410</v>
      </c>
      <c r="E90" s="11">
        <v>13212</v>
      </c>
      <c r="F90" s="11">
        <v>13754</v>
      </c>
      <c r="G90" s="11">
        <v>13656</v>
      </c>
      <c r="H90" s="11">
        <v>11511</v>
      </c>
      <c r="I90" s="11">
        <v>9039</v>
      </c>
      <c r="J90" s="11">
        <v>12434</v>
      </c>
      <c r="K90" s="11">
        <v>9599</v>
      </c>
      <c r="L90" s="11">
        <v>17090</v>
      </c>
      <c r="M90" s="11">
        <v>16832</v>
      </c>
      <c r="N90" s="11">
        <v>32706</v>
      </c>
      <c r="O90" s="11">
        <v>18342</v>
      </c>
      <c r="P90" s="11">
        <v>22882</v>
      </c>
      <c r="Q90" s="11">
        <v>19998</v>
      </c>
      <c r="R90" s="11">
        <v>16995</v>
      </c>
      <c r="S90" s="11">
        <v>4556</v>
      </c>
      <c r="T90" s="11">
        <v>4290</v>
      </c>
      <c r="U90" s="11">
        <v>2956</v>
      </c>
      <c r="V90" s="11">
        <v>4783</v>
      </c>
      <c r="W90" s="11">
        <v>1571</v>
      </c>
      <c r="X90" s="11">
        <v>0</v>
      </c>
    </row>
    <row r="91" spans="1:24" x14ac:dyDescent="0.2">
      <c r="A91" s="6" t="s">
        <v>131</v>
      </c>
      <c r="B91" s="11">
        <v>52134</v>
      </c>
      <c r="C91" s="11">
        <v>3200</v>
      </c>
      <c r="D91" s="11">
        <v>2230</v>
      </c>
      <c r="E91" s="11">
        <v>2947</v>
      </c>
      <c r="F91" s="11">
        <v>608</v>
      </c>
      <c r="G91" s="11">
        <v>3643</v>
      </c>
      <c r="H91" s="11">
        <v>2557</v>
      </c>
      <c r="I91" s="11">
        <v>1736</v>
      </c>
      <c r="J91" s="11">
        <v>2699</v>
      </c>
      <c r="K91" s="11">
        <v>2275</v>
      </c>
      <c r="L91" s="11">
        <v>3886</v>
      </c>
      <c r="M91" s="11">
        <v>3558</v>
      </c>
      <c r="N91" s="11">
        <v>5973</v>
      </c>
      <c r="O91" s="11">
        <v>3068</v>
      </c>
      <c r="P91" s="11">
        <v>3837</v>
      </c>
      <c r="Q91" s="11">
        <v>5944</v>
      </c>
      <c r="R91" s="11">
        <v>3401</v>
      </c>
      <c r="S91" s="11">
        <v>239</v>
      </c>
      <c r="T91" s="11">
        <v>239</v>
      </c>
      <c r="U91" s="11">
        <v>879</v>
      </c>
      <c r="V91" s="11">
        <v>793</v>
      </c>
      <c r="W91" s="11">
        <v>-1579</v>
      </c>
      <c r="X91" s="11">
        <v>0</v>
      </c>
    </row>
    <row r="92" spans="1:24" x14ac:dyDescent="0.2">
      <c r="A92" s="6" t="s">
        <v>132</v>
      </c>
      <c r="B92" s="11">
        <v>3872</v>
      </c>
      <c r="C92" s="11">
        <v>294</v>
      </c>
      <c r="D92" s="11">
        <v>107</v>
      </c>
      <c r="E92" s="11">
        <v>210</v>
      </c>
      <c r="F92" s="11">
        <v>197</v>
      </c>
      <c r="G92" s="11">
        <v>241</v>
      </c>
      <c r="H92" s="11">
        <v>142</v>
      </c>
      <c r="I92" s="11">
        <v>126</v>
      </c>
      <c r="J92" s="11">
        <v>108</v>
      </c>
      <c r="K92" s="11">
        <v>228</v>
      </c>
      <c r="L92" s="11">
        <v>299</v>
      </c>
      <c r="M92" s="11">
        <v>164</v>
      </c>
      <c r="N92" s="11">
        <v>356</v>
      </c>
      <c r="O92" s="11">
        <v>120</v>
      </c>
      <c r="P92" s="11">
        <v>259</v>
      </c>
      <c r="Q92" s="11">
        <v>454</v>
      </c>
      <c r="R92" s="11">
        <v>264</v>
      </c>
      <c r="S92" s="11">
        <v>45</v>
      </c>
      <c r="T92" s="11">
        <v>92</v>
      </c>
      <c r="U92" s="11">
        <v>59</v>
      </c>
      <c r="V92" s="11">
        <v>65</v>
      </c>
      <c r="W92" s="11">
        <v>42</v>
      </c>
      <c r="X92" s="11">
        <v>0</v>
      </c>
    </row>
    <row r="93" spans="1:24" x14ac:dyDescent="0.2">
      <c r="A93" s="6" t="s">
        <v>133</v>
      </c>
      <c r="B93" s="11">
        <v>27342</v>
      </c>
      <c r="C93" s="11">
        <v>1270</v>
      </c>
      <c r="D93" s="11">
        <v>757</v>
      </c>
      <c r="E93" s="11">
        <v>1055</v>
      </c>
      <c r="F93" s="11">
        <v>779</v>
      </c>
      <c r="G93" s="11">
        <v>713</v>
      </c>
      <c r="H93" s="11">
        <v>580</v>
      </c>
      <c r="I93" s="11">
        <v>192</v>
      </c>
      <c r="J93" s="11">
        <v>4911</v>
      </c>
      <c r="K93" s="11">
        <v>749</v>
      </c>
      <c r="L93" s="11">
        <v>1350</v>
      </c>
      <c r="M93" s="11">
        <v>1109</v>
      </c>
      <c r="N93" s="11">
        <v>2293</v>
      </c>
      <c r="O93" s="11">
        <v>1590</v>
      </c>
      <c r="P93" s="11">
        <v>2858</v>
      </c>
      <c r="Q93" s="11">
        <v>1830</v>
      </c>
      <c r="R93" s="11">
        <v>1063</v>
      </c>
      <c r="S93" s="11">
        <v>916</v>
      </c>
      <c r="T93" s="11">
        <v>1013</v>
      </c>
      <c r="U93" s="11">
        <v>748</v>
      </c>
      <c r="V93" s="11">
        <v>1206</v>
      </c>
      <c r="W93" s="11">
        <v>360</v>
      </c>
      <c r="X93" s="11">
        <v>0</v>
      </c>
    </row>
    <row r="94" spans="1:24" x14ac:dyDescent="0.2">
      <c r="A94" s="6" t="s">
        <v>134</v>
      </c>
      <c r="B94" s="11">
        <v>26166</v>
      </c>
      <c r="C94" s="11">
        <v>6329</v>
      </c>
      <c r="D94" s="11">
        <v>-1504</v>
      </c>
      <c r="E94" s="11">
        <v>3826</v>
      </c>
      <c r="F94" s="11">
        <v>-2646</v>
      </c>
      <c r="G94" s="11">
        <v>2597</v>
      </c>
      <c r="H94" s="11">
        <v>1412</v>
      </c>
      <c r="I94" s="11">
        <v>-7625</v>
      </c>
      <c r="J94" s="11">
        <v>1940</v>
      </c>
      <c r="K94" s="11">
        <v>1165</v>
      </c>
      <c r="L94" s="11">
        <v>5226</v>
      </c>
      <c r="M94" s="11">
        <v>2092</v>
      </c>
      <c r="N94" s="11">
        <v>-2732</v>
      </c>
      <c r="O94" s="11">
        <v>9108</v>
      </c>
      <c r="P94" s="11">
        <v>-192</v>
      </c>
      <c r="Q94" s="11">
        <v>3188</v>
      </c>
      <c r="R94" s="11">
        <v>2182</v>
      </c>
      <c r="S94" s="11">
        <v>-189</v>
      </c>
      <c r="T94" s="11">
        <v>1806</v>
      </c>
      <c r="U94" s="11">
        <v>571</v>
      </c>
      <c r="V94" s="11">
        <v>-212</v>
      </c>
      <c r="W94" s="11">
        <v>-178</v>
      </c>
      <c r="X94" s="11">
        <v>0</v>
      </c>
    </row>
    <row r="95" spans="1:24" x14ac:dyDescent="0.2">
      <c r="A95" s="6" t="s">
        <v>135</v>
      </c>
      <c r="B95" s="11">
        <v>794</v>
      </c>
      <c r="C95" s="11">
        <v>0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73</v>
      </c>
      <c r="K95" s="11">
        <v>0</v>
      </c>
      <c r="L95" s="11">
        <v>91</v>
      </c>
      <c r="M95" s="11">
        <v>80</v>
      </c>
      <c r="N95" s="11">
        <v>172</v>
      </c>
      <c r="O95" s="11">
        <v>250</v>
      </c>
      <c r="P95" s="11">
        <v>88</v>
      </c>
      <c r="Q95" s="11">
        <v>0</v>
      </c>
      <c r="R95" s="11">
        <v>0</v>
      </c>
      <c r="S95" s="11">
        <v>2</v>
      </c>
      <c r="T95" s="11">
        <v>0</v>
      </c>
      <c r="U95" s="11">
        <v>7</v>
      </c>
      <c r="V95" s="11">
        <v>29</v>
      </c>
      <c r="W95" s="11">
        <v>4</v>
      </c>
      <c r="X95" s="11">
        <v>0</v>
      </c>
    </row>
    <row r="96" spans="1:24" x14ac:dyDescent="0.2">
      <c r="A96" s="6" t="s">
        <v>136</v>
      </c>
      <c r="B96" s="11">
        <v>1481</v>
      </c>
      <c r="C96" s="11">
        <v>45</v>
      </c>
      <c r="D96" s="11">
        <v>0</v>
      </c>
      <c r="E96" s="11">
        <v>134</v>
      </c>
      <c r="F96" s="11">
        <v>0</v>
      </c>
      <c r="G96" s="11">
        <v>90</v>
      </c>
      <c r="H96" s="11">
        <v>0</v>
      </c>
      <c r="I96" s="11">
        <v>90</v>
      </c>
      <c r="J96" s="11">
        <v>292</v>
      </c>
      <c r="K96" s="11">
        <v>0</v>
      </c>
      <c r="L96" s="11">
        <v>381</v>
      </c>
      <c r="M96" s="11">
        <v>134</v>
      </c>
      <c r="N96" s="11">
        <v>0</v>
      </c>
      <c r="O96" s="11">
        <v>140</v>
      </c>
      <c r="P96" s="11">
        <v>130</v>
      </c>
      <c r="Q96" s="11">
        <v>0</v>
      </c>
      <c r="R96" s="11">
        <v>45</v>
      </c>
      <c r="S96" s="11">
        <v>0</v>
      </c>
      <c r="T96" s="11">
        <v>0</v>
      </c>
      <c r="U96" s="11">
        <v>0</v>
      </c>
      <c r="V96" s="11">
        <v>0</v>
      </c>
      <c r="W96" s="11">
        <v>0</v>
      </c>
      <c r="X96" s="11">
        <v>0</v>
      </c>
    </row>
    <row r="97" spans="1:24" x14ac:dyDescent="0.2">
      <c r="A97" s="6" t="s">
        <v>137</v>
      </c>
      <c r="B97" s="11">
        <v>302</v>
      </c>
      <c r="C97" s="11">
        <v>0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202</v>
      </c>
      <c r="R97" s="11">
        <v>100</v>
      </c>
      <c r="S97" s="11">
        <v>0</v>
      </c>
      <c r="T97" s="11">
        <v>0</v>
      </c>
      <c r="U97" s="11">
        <v>0</v>
      </c>
      <c r="V97" s="11">
        <v>0</v>
      </c>
      <c r="W97" s="11">
        <v>0</v>
      </c>
      <c r="X97" s="11">
        <v>0</v>
      </c>
    </row>
    <row r="98" spans="1:24" x14ac:dyDescent="0.2">
      <c r="A98" s="6" t="s">
        <v>138</v>
      </c>
      <c r="B98" s="11">
        <v>4287</v>
      </c>
      <c r="C98" s="11">
        <v>100</v>
      </c>
      <c r="D98" s="11">
        <v>0</v>
      </c>
      <c r="E98" s="11">
        <v>100</v>
      </c>
      <c r="F98" s="11">
        <v>0</v>
      </c>
      <c r="G98" s="11">
        <v>407</v>
      </c>
      <c r="H98" s="11">
        <v>0</v>
      </c>
      <c r="I98" s="11">
        <v>0</v>
      </c>
      <c r="J98" s="11">
        <v>0</v>
      </c>
      <c r="K98" s="11">
        <v>0</v>
      </c>
      <c r="L98" s="11">
        <v>383</v>
      </c>
      <c r="M98" s="11">
        <v>0</v>
      </c>
      <c r="N98" s="11">
        <v>0</v>
      </c>
      <c r="O98" s="11">
        <v>0</v>
      </c>
      <c r="P98" s="11">
        <v>0</v>
      </c>
      <c r="Q98" s="11">
        <v>2763</v>
      </c>
      <c r="R98" s="11">
        <v>300</v>
      </c>
      <c r="S98" s="11">
        <v>0</v>
      </c>
      <c r="T98" s="11">
        <v>0</v>
      </c>
      <c r="U98" s="11">
        <v>173</v>
      </c>
      <c r="V98" s="11">
        <v>60</v>
      </c>
      <c r="W98" s="11">
        <v>0</v>
      </c>
      <c r="X98" s="11">
        <v>0</v>
      </c>
    </row>
    <row r="99" spans="1:24" x14ac:dyDescent="0.2">
      <c r="A99" s="6" t="s">
        <v>139</v>
      </c>
      <c r="B99" s="11">
        <v>2278</v>
      </c>
      <c r="C99" s="11">
        <v>0</v>
      </c>
      <c r="D99" s="11">
        <v>25</v>
      </c>
      <c r="E99" s="11">
        <v>163</v>
      </c>
      <c r="F99" s="11">
        <v>0</v>
      </c>
      <c r="G99" s="11">
        <v>0</v>
      </c>
      <c r="H99" s="11">
        <v>0</v>
      </c>
      <c r="I99" s="11">
        <v>0</v>
      </c>
      <c r="J99" s="11">
        <v>165</v>
      </c>
      <c r="K99" s="11">
        <v>65</v>
      </c>
      <c r="L99" s="11">
        <v>0</v>
      </c>
      <c r="M99" s="11">
        <v>190</v>
      </c>
      <c r="N99" s="11">
        <v>183</v>
      </c>
      <c r="O99" s="11">
        <v>178</v>
      </c>
      <c r="P99" s="11">
        <v>169</v>
      </c>
      <c r="Q99" s="11">
        <v>191</v>
      </c>
      <c r="R99" s="11">
        <v>282</v>
      </c>
      <c r="S99" s="11">
        <v>168</v>
      </c>
      <c r="T99" s="11">
        <v>71</v>
      </c>
      <c r="U99" s="11">
        <v>41</v>
      </c>
      <c r="V99" s="11">
        <v>331</v>
      </c>
      <c r="W99" s="11">
        <v>55</v>
      </c>
      <c r="X99" s="11">
        <v>0</v>
      </c>
    </row>
    <row r="100" spans="1:24" x14ac:dyDescent="0.2">
      <c r="A100" s="6" t="s">
        <v>140</v>
      </c>
      <c r="B100" s="13">
        <v>392046</v>
      </c>
      <c r="C100" s="13">
        <v>25013</v>
      </c>
      <c r="D100" s="13">
        <v>15025</v>
      </c>
      <c r="E100" s="13">
        <v>21647</v>
      </c>
      <c r="F100" s="13">
        <v>12692</v>
      </c>
      <c r="G100" s="13">
        <v>21347</v>
      </c>
      <c r="H100" s="13">
        <v>16202</v>
      </c>
      <c r="I100" s="13">
        <v>3558</v>
      </c>
      <c r="J100" s="13">
        <v>22622</v>
      </c>
      <c r="K100" s="13">
        <v>14081</v>
      </c>
      <c r="L100" s="13">
        <v>28706</v>
      </c>
      <c r="M100" s="13">
        <v>24159</v>
      </c>
      <c r="N100" s="13">
        <v>38951</v>
      </c>
      <c r="O100" s="13">
        <v>32796</v>
      </c>
      <c r="P100" s="13">
        <v>30031</v>
      </c>
      <c r="Q100" s="13">
        <v>34570</v>
      </c>
      <c r="R100" s="13">
        <v>24632</v>
      </c>
      <c r="S100" s="13">
        <v>5737</v>
      </c>
      <c r="T100" s="13">
        <v>7511</v>
      </c>
      <c r="U100" s="13">
        <v>5434</v>
      </c>
      <c r="V100" s="13">
        <v>7055</v>
      </c>
      <c r="W100" s="13">
        <v>275</v>
      </c>
      <c r="X100" s="13">
        <v>0</v>
      </c>
    </row>
    <row r="101" spans="1:24" x14ac:dyDescent="0.2">
      <c r="A101" s="6" t="s">
        <v>43</v>
      </c>
      <c r="B101" s="15" t="s">
        <v>70</v>
      </c>
      <c r="C101" s="15" t="s">
        <v>70</v>
      </c>
      <c r="D101" s="15" t="s">
        <v>70</v>
      </c>
      <c r="E101" s="15" t="s">
        <v>70</v>
      </c>
      <c r="F101" s="15" t="s">
        <v>70</v>
      </c>
      <c r="G101" s="15" t="s">
        <v>70</v>
      </c>
      <c r="H101" s="15" t="s">
        <v>70</v>
      </c>
      <c r="I101" s="15" t="s">
        <v>70</v>
      </c>
      <c r="J101" s="15" t="s">
        <v>70</v>
      </c>
      <c r="K101" s="15" t="s">
        <v>70</v>
      </c>
      <c r="L101" s="15" t="s">
        <v>70</v>
      </c>
      <c r="M101" s="15" t="s">
        <v>70</v>
      </c>
      <c r="N101" s="15" t="s">
        <v>70</v>
      </c>
      <c r="O101" s="15" t="s">
        <v>70</v>
      </c>
      <c r="P101" s="15" t="s">
        <v>70</v>
      </c>
      <c r="Q101" s="15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  <c r="X101" s="15" t="s">
        <v>70</v>
      </c>
    </row>
    <row r="102" spans="1:24" x14ac:dyDescent="0.2">
      <c r="A102" s="6" t="s">
        <v>71</v>
      </c>
      <c r="B102" s="11">
        <v>41347</v>
      </c>
      <c r="C102" s="11">
        <v>0</v>
      </c>
      <c r="D102" s="11">
        <v>0</v>
      </c>
      <c r="E102" s="11">
        <v>4075</v>
      </c>
      <c r="F102" s="11">
        <v>0</v>
      </c>
      <c r="G102" s="11">
        <v>1767</v>
      </c>
      <c r="H102" s="11">
        <v>1432</v>
      </c>
      <c r="I102" s="11">
        <v>0</v>
      </c>
      <c r="J102" s="11">
        <v>5995</v>
      </c>
      <c r="K102" s="11">
        <v>1149</v>
      </c>
      <c r="L102" s="11">
        <v>3868</v>
      </c>
      <c r="M102" s="11">
        <v>3766</v>
      </c>
      <c r="N102" s="11">
        <v>6081</v>
      </c>
      <c r="O102" s="11">
        <v>6962</v>
      </c>
      <c r="P102" s="11">
        <v>1421</v>
      </c>
      <c r="Q102" s="11">
        <v>4832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</row>
    <row r="103" spans="1:24" x14ac:dyDescent="0.2">
      <c r="A103" s="6" t="s">
        <v>72</v>
      </c>
      <c r="B103" s="11">
        <v>248</v>
      </c>
      <c r="C103" s="11">
        <v>0</v>
      </c>
      <c r="D103" s="11">
        <v>0</v>
      </c>
      <c r="E103" s="11">
        <v>20</v>
      </c>
      <c r="F103" s="11">
        <v>0</v>
      </c>
      <c r="G103" s="11">
        <v>6</v>
      </c>
      <c r="H103" s="11">
        <v>0</v>
      </c>
      <c r="I103" s="11">
        <v>0</v>
      </c>
      <c r="J103" s="11">
        <v>0</v>
      </c>
      <c r="K103" s="11">
        <v>0</v>
      </c>
      <c r="L103" s="11">
        <v>0</v>
      </c>
      <c r="M103" s="11">
        <v>90</v>
      </c>
      <c r="N103" s="11">
        <v>0</v>
      </c>
      <c r="O103" s="11">
        <v>132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1">
        <v>0</v>
      </c>
      <c r="X103" s="11">
        <v>0</v>
      </c>
    </row>
    <row r="104" spans="1:24" x14ac:dyDescent="0.2">
      <c r="A104" s="6" t="s">
        <v>75</v>
      </c>
      <c r="B104" s="11">
        <v>1537</v>
      </c>
      <c r="C104" s="11">
        <v>0</v>
      </c>
      <c r="D104" s="11">
        <v>0</v>
      </c>
      <c r="E104" s="11">
        <v>104</v>
      </c>
      <c r="F104" s="11">
        <v>0</v>
      </c>
      <c r="G104" s="11">
        <v>224</v>
      </c>
      <c r="H104" s="11">
        <v>51</v>
      </c>
      <c r="I104" s="11">
        <v>0</v>
      </c>
      <c r="J104" s="11">
        <v>-277</v>
      </c>
      <c r="K104" s="11">
        <v>180</v>
      </c>
      <c r="L104" s="11">
        <v>558</v>
      </c>
      <c r="M104" s="11">
        <v>130</v>
      </c>
      <c r="N104" s="11">
        <v>1</v>
      </c>
      <c r="O104" s="11">
        <v>401</v>
      </c>
      <c r="P104" s="11">
        <v>26</v>
      </c>
      <c r="Q104" s="11">
        <v>140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1">
        <v>0</v>
      </c>
      <c r="X104" s="11">
        <v>0</v>
      </c>
    </row>
    <row r="105" spans="1:24" x14ac:dyDescent="0.2">
      <c r="A105" s="6" t="s">
        <v>76</v>
      </c>
      <c r="B105" s="11">
        <v>1146</v>
      </c>
      <c r="C105" s="11">
        <v>0</v>
      </c>
      <c r="D105" s="11">
        <v>0</v>
      </c>
      <c r="E105" s="11">
        <v>0</v>
      </c>
      <c r="F105" s="11">
        <v>0</v>
      </c>
      <c r="G105" s="11">
        <v>60</v>
      </c>
      <c r="H105" s="11">
        <v>60</v>
      </c>
      <c r="I105" s="11">
        <v>0</v>
      </c>
      <c r="J105" s="11">
        <v>214</v>
      </c>
      <c r="K105" s="11">
        <v>71</v>
      </c>
      <c r="L105" s="11">
        <v>0</v>
      </c>
      <c r="M105" s="11">
        <v>113</v>
      </c>
      <c r="N105" s="11">
        <v>327</v>
      </c>
      <c r="O105" s="11">
        <v>247</v>
      </c>
      <c r="P105" s="11">
        <v>0</v>
      </c>
      <c r="Q105" s="11">
        <v>55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11">
        <v>0</v>
      </c>
      <c r="X105" s="11">
        <v>0</v>
      </c>
    </row>
    <row r="106" spans="1:24" x14ac:dyDescent="0.2">
      <c r="A106" s="6" t="s">
        <v>141</v>
      </c>
      <c r="B106" s="11">
        <v>5918</v>
      </c>
      <c r="C106" s="11">
        <v>130</v>
      </c>
      <c r="D106" s="11">
        <v>256</v>
      </c>
      <c r="E106" s="11">
        <v>340</v>
      </c>
      <c r="F106" s="11">
        <v>600</v>
      </c>
      <c r="G106" s="11">
        <v>256</v>
      </c>
      <c r="H106" s="11">
        <v>0</v>
      </c>
      <c r="I106" s="11">
        <v>316</v>
      </c>
      <c r="J106" s="11">
        <v>428</v>
      </c>
      <c r="K106" s="11">
        <v>217</v>
      </c>
      <c r="L106" s="11">
        <v>523</v>
      </c>
      <c r="M106" s="11">
        <v>503</v>
      </c>
      <c r="N106" s="11">
        <v>462</v>
      </c>
      <c r="O106" s="11">
        <v>673</v>
      </c>
      <c r="P106" s="11">
        <v>255</v>
      </c>
      <c r="Q106" s="11">
        <v>285</v>
      </c>
      <c r="R106" s="11">
        <v>424</v>
      </c>
      <c r="S106" s="11">
        <v>63</v>
      </c>
      <c r="T106" s="11">
        <v>0</v>
      </c>
      <c r="U106" s="11">
        <v>131</v>
      </c>
      <c r="V106" s="11">
        <v>0</v>
      </c>
      <c r="W106" s="11">
        <v>58</v>
      </c>
      <c r="X106" s="11">
        <v>0</v>
      </c>
    </row>
    <row r="107" spans="1:24" x14ac:dyDescent="0.2">
      <c r="A107" s="6" t="s">
        <v>142</v>
      </c>
      <c r="B107" s="11">
        <v>3455</v>
      </c>
      <c r="C107" s="11">
        <v>0</v>
      </c>
      <c r="D107" s="11">
        <v>342</v>
      </c>
      <c r="E107" s="11">
        <v>72</v>
      </c>
      <c r="F107" s="11">
        <v>273</v>
      </c>
      <c r="G107" s="11">
        <v>96</v>
      </c>
      <c r="H107" s="11">
        <v>224</v>
      </c>
      <c r="I107" s="11">
        <v>0</v>
      </c>
      <c r="J107" s="11">
        <v>263</v>
      </c>
      <c r="K107" s="11">
        <v>651</v>
      </c>
      <c r="L107" s="11">
        <v>0</v>
      </c>
      <c r="M107" s="11">
        <v>249</v>
      </c>
      <c r="N107" s="11">
        <v>56</v>
      </c>
      <c r="O107" s="11">
        <v>0</v>
      </c>
      <c r="P107" s="11">
        <v>0</v>
      </c>
      <c r="Q107" s="11">
        <v>354</v>
      </c>
      <c r="R107" s="11">
        <v>874</v>
      </c>
      <c r="S107" s="11">
        <v>0</v>
      </c>
      <c r="T107" s="11">
        <v>0</v>
      </c>
      <c r="U107" s="11">
        <v>0</v>
      </c>
      <c r="V107" s="11">
        <v>0</v>
      </c>
      <c r="W107" s="11">
        <v>0</v>
      </c>
      <c r="X107" s="11">
        <v>0</v>
      </c>
    </row>
    <row r="108" spans="1:24" x14ac:dyDescent="0.2">
      <c r="A108" s="6" t="s">
        <v>143</v>
      </c>
      <c r="B108" s="13">
        <v>53651</v>
      </c>
      <c r="C108" s="13">
        <v>130</v>
      </c>
      <c r="D108" s="13">
        <v>598</v>
      </c>
      <c r="E108" s="13">
        <v>4611</v>
      </c>
      <c r="F108" s="13">
        <v>873</v>
      </c>
      <c r="G108" s="13">
        <v>2409</v>
      </c>
      <c r="H108" s="13">
        <v>1767</v>
      </c>
      <c r="I108" s="13">
        <v>316</v>
      </c>
      <c r="J108" s="13">
        <v>6623</v>
      </c>
      <c r="K108" s="13">
        <v>2268</v>
      </c>
      <c r="L108" s="13">
        <v>4949</v>
      </c>
      <c r="M108" s="13">
        <v>4851</v>
      </c>
      <c r="N108" s="13">
        <v>6927</v>
      </c>
      <c r="O108" s="13">
        <v>8415</v>
      </c>
      <c r="P108" s="13">
        <v>1702</v>
      </c>
      <c r="Q108" s="13">
        <v>5666</v>
      </c>
      <c r="R108" s="13">
        <v>1298</v>
      </c>
      <c r="S108" s="13">
        <v>63</v>
      </c>
      <c r="T108" s="13">
        <v>0</v>
      </c>
      <c r="U108" s="13">
        <v>131</v>
      </c>
      <c r="V108" s="13">
        <v>0</v>
      </c>
      <c r="W108" s="13">
        <v>58</v>
      </c>
      <c r="X108" s="13">
        <v>0</v>
      </c>
    </row>
    <row r="109" spans="1:24" x14ac:dyDescent="0.2">
      <c r="A109" s="6" t="s">
        <v>44</v>
      </c>
      <c r="B109" s="14">
        <v>5145985</v>
      </c>
      <c r="C109" s="14">
        <v>321826</v>
      </c>
      <c r="D109" s="14">
        <v>223717</v>
      </c>
      <c r="E109" s="14">
        <v>240321</v>
      </c>
      <c r="F109" s="14">
        <v>243106</v>
      </c>
      <c r="G109" s="14">
        <v>236989</v>
      </c>
      <c r="H109" s="14">
        <v>177969</v>
      </c>
      <c r="I109" s="14">
        <v>139650</v>
      </c>
      <c r="J109" s="14">
        <v>258471</v>
      </c>
      <c r="K109" s="14">
        <v>204275</v>
      </c>
      <c r="L109" s="14">
        <v>335110</v>
      </c>
      <c r="M109" s="14">
        <v>347838</v>
      </c>
      <c r="N109" s="14">
        <v>602242</v>
      </c>
      <c r="O109" s="14">
        <v>385400</v>
      </c>
      <c r="P109" s="14">
        <v>494767</v>
      </c>
      <c r="Q109" s="14">
        <v>332869</v>
      </c>
      <c r="R109" s="14">
        <v>296307</v>
      </c>
      <c r="S109" s="14">
        <v>58992</v>
      </c>
      <c r="T109" s="14">
        <v>77313</v>
      </c>
      <c r="U109" s="14">
        <v>51028</v>
      </c>
      <c r="V109" s="14">
        <v>76932</v>
      </c>
      <c r="W109" s="14">
        <v>40740</v>
      </c>
      <c r="X109" s="14">
        <v>125</v>
      </c>
    </row>
    <row r="110" spans="1:24" x14ac:dyDescent="0.2">
      <c r="A110" s="4" t="s">
        <v>6</v>
      </c>
    </row>
    <row r="111" spans="1:24" x14ac:dyDescent="0.2">
      <c r="A111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56"/>
  <sheetViews>
    <sheetView topLeftCell="J19" workbookViewId="0">
      <selection activeCell="B53" sqref="B53:X53"/>
    </sheetView>
  </sheetViews>
  <sheetFormatPr defaultColWidth="9.140625" defaultRowHeight="12.75" x14ac:dyDescent="0.2"/>
  <cols>
    <col min="1" max="1" width="47.710937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14.5703125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0</v>
      </c>
    </row>
    <row r="2" spans="1:24" ht="18" x14ac:dyDescent="0.25">
      <c r="A2" s="5" t="s">
        <v>144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  <c r="X7" s="7" t="s">
        <v>28</v>
      </c>
    </row>
    <row r="8" spans="1:24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46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145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  <c r="X12" s="6" t="s">
        <v>70</v>
      </c>
    </row>
    <row r="13" spans="1:24" x14ac:dyDescent="0.2">
      <c r="A13" s="6" t="s">
        <v>146</v>
      </c>
      <c r="B13" s="11">
        <v>2356</v>
      </c>
      <c r="C13" s="11">
        <v>0</v>
      </c>
      <c r="D13" s="11">
        <v>0</v>
      </c>
      <c r="E13" s="11">
        <v>0</v>
      </c>
      <c r="F13" s="11">
        <v>123</v>
      </c>
      <c r="G13" s="11">
        <v>0</v>
      </c>
      <c r="H13" s="11">
        <v>0</v>
      </c>
      <c r="I13" s="11">
        <v>266</v>
      </c>
      <c r="J13" s="11">
        <v>42</v>
      </c>
      <c r="K13" s="11">
        <v>0</v>
      </c>
      <c r="L13" s="11">
        <v>143</v>
      </c>
      <c r="M13" s="11">
        <v>660</v>
      </c>
      <c r="N13" s="11">
        <v>18</v>
      </c>
      <c r="O13" s="11">
        <v>42</v>
      </c>
      <c r="P13" s="11">
        <v>365</v>
      </c>
      <c r="Q13" s="11">
        <v>11</v>
      </c>
      <c r="R13" s="11">
        <v>14</v>
      </c>
      <c r="S13" s="11">
        <v>178</v>
      </c>
      <c r="T13" s="11">
        <v>169</v>
      </c>
      <c r="U13" s="11">
        <v>0</v>
      </c>
      <c r="V13" s="11">
        <v>81</v>
      </c>
      <c r="W13" s="11">
        <v>243</v>
      </c>
      <c r="X13" s="11">
        <v>0</v>
      </c>
    </row>
    <row r="14" spans="1:24" x14ac:dyDescent="0.2">
      <c r="A14" s="6" t="s">
        <v>147</v>
      </c>
      <c r="B14" s="11">
        <v>2267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165</v>
      </c>
      <c r="K14" s="11">
        <v>161</v>
      </c>
      <c r="L14" s="11">
        <v>1019</v>
      </c>
      <c r="M14" s="11">
        <v>275</v>
      </c>
      <c r="N14" s="11">
        <v>384</v>
      </c>
      <c r="O14" s="11">
        <v>0</v>
      </c>
      <c r="P14" s="11">
        <v>0</v>
      </c>
      <c r="Q14" s="11">
        <v>3</v>
      </c>
      <c r="R14" s="11">
        <v>0</v>
      </c>
      <c r="S14" s="11">
        <v>0</v>
      </c>
      <c r="T14" s="11">
        <v>8</v>
      </c>
      <c r="U14" s="11">
        <v>0</v>
      </c>
      <c r="V14" s="11">
        <v>0</v>
      </c>
      <c r="W14" s="11">
        <v>251</v>
      </c>
      <c r="X14" s="11">
        <v>0</v>
      </c>
    </row>
    <row r="15" spans="1:24" x14ac:dyDescent="0.2">
      <c r="A15" s="6" t="s">
        <v>148</v>
      </c>
      <c r="B15" s="13">
        <v>4623</v>
      </c>
      <c r="C15" s="13">
        <v>0</v>
      </c>
      <c r="D15" s="13">
        <v>0</v>
      </c>
      <c r="E15" s="13">
        <v>0</v>
      </c>
      <c r="F15" s="13">
        <v>123</v>
      </c>
      <c r="G15" s="13">
        <v>0</v>
      </c>
      <c r="H15" s="13">
        <v>0</v>
      </c>
      <c r="I15" s="13">
        <v>266</v>
      </c>
      <c r="J15" s="13">
        <v>207</v>
      </c>
      <c r="K15" s="13">
        <v>161</v>
      </c>
      <c r="L15" s="13">
        <v>1162</v>
      </c>
      <c r="M15" s="13">
        <v>935</v>
      </c>
      <c r="N15" s="13">
        <v>402</v>
      </c>
      <c r="O15" s="13">
        <v>42</v>
      </c>
      <c r="P15" s="13">
        <v>365</v>
      </c>
      <c r="Q15" s="13">
        <v>14</v>
      </c>
      <c r="R15" s="13">
        <v>14</v>
      </c>
      <c r="S15" s="13">
        <v>178</v>
      </c>
      <c r="T15" s="13">
        <v>177</v>
      </c>
      <c r="U15" s="13">
        <v>0</v>
      </c>
      <c r="V15" s="13">
        <v>81</v>
      </c>
      <c r="W15" s="13">
        <v>494</v>
      </c>
      <c r="X15" s="13">
        <v>0</v>
      </c>
    </row>
    <row r="16" spans="1:24" x14ac:dyDescent="0.2">
      <c r="A16" s="6" t="s">
        <v>149</v>
      </c>
      <c r="B16" s="15" t="s">
        <v>70</v>
      </c>
      <c r="C16" s="15" t="s">
        <v>70</v>
      </c>
      <c r="D16" s="15" t="s">
        <v>70</v>
      </c>
      <c r="E16" s="15" t="s">
        <v>70</v>
      </c>
      <c r="F16" s="15" t="s">
        <v>70</v>
      </c>
      <c r="G16" s="15" t="s">
        <v>70</v>
      </c>
      <c r="H16" s="15" t="s">
        <v>70</v>
      </c>
      <c r="I16" s="15" t="s">
        <v>70</v>
      </c>
      <c r="J16" s="15" t="s">
        <v>70</v>
      </c>
      <c r="K16" s="15" t="s">
        <v>70</v>
      </c>
      <c r="L16" s="15" t="s">
        <v>70</v>
      </c>
      <c r="M16" s="15" t="s">
        <v>70</v>
      </c>
      <c r="N16" s="15" t="s">
        <v>70</v>
      </c>
      <c r="O16" s="15" t="s">
        <v>70</v>
      </c>
      <c r="P16" s="15" t="s">
        <v>70</v>
      </c>
      <c r="Q16" s="15" t="s">
        <v>70</v>
      </c>
      <c r="R16" s="15" t="s">
        <v>70</v>
      </c>
      <c r="S16" s="15" t="s">
        <v>70</v>
      </c>
      <c r="T16" s="15" t="s">
        <v>70</v>
      </c>
      <c r="U16" s="15" t="s">
        <v>70</v>
      </c>
      <c r="V16" s="15" t="s">
        <v>70</v>
      </c>
      <c r="W16" s="15" t="s">
        <v>70</v>
      </c>
      <c r="X16" s="15" t="s">
        <v>70</v>
      </c>
    </row>
    <row r="17" spans="1:24" x14ac:dyDescent="0.2">
      <c r="A17" s="6" t="s">
        <v>71</v>
      </c>
      <c r="B17" s="11">
        <v>221681</v>
      </c>
      <c r="C17" s="11">
        <v>10529</v>
      </c>
      <c r="D17" s="11">
        <v>8210</v>
      </c>
      <c r="E17" s="11">
        <v>7559</v>
      </c>
      <c r="F17" s="11">
        <v>11639</v>
      </c>
      <c r="G17" s="11">
        <v>13762</v>
      </c>
      <c r="H17" s="11">
        <v>11320</v>
      </c>
      <c r="I17" s="11">
        <v>9403</v>
      </c>
      <c r="J17" s="11">
        <v>9885</v>
      </c>
      <c r="K17" s="11">
        <v>2856</v>
      </c>
      <c r="L17" s="11">
        <v>13216</v>
      </c>
      <c r="M17" s="11">
        <v>9048</v>
      </c>
      <c r="N17" s="11">
        <v>21700</v>
      </c>
      <c r="O17" s="11">
        <v>14294</v>
      </c>
      <c r="P17" s="11">
        <v>20100</v>
      </c>
      <c r="Q17" s="11">
        <v>21722</v>
      </c>
      <c r="R17" s="11">
        <v>12626</v>
      </c>
      <c r="S17" s="11">
        <v>10122</v>
      </c>
      <c r="T17" s="11">
        <v>3145</v>
      </c>
      <c r="U17" s="11">
        <v>173</v>
      </c>
      <c r="V17" s="11">
        <v>10373</v>
      </c>
      <c r="W17" s="11">
        <v>0</v>
      </c>
      <c r="X17" s="11">
        <v>0</v>
      </c>
    </row>
    <row r="18" spans="1:24" x14ac:dyDescent="0.2">
      <c r="A18" s="6" t="s">
        <v>72</v>
      </c>
      <c r="B18" s="11">
        <v>1646</v>
      </c>
      <c r="C18" s="11">
        <v>206</v>
      </c>
      <c r="D18" s="11">
        <v>0</v>
      </c>
      <c r="E18" s="11">
        <v>0</v>
      </c>
      <c r="F18" s="11">
        <v>5</v>
      </c>
      <c r="G18" s="11">
        <v>14</v>
      </c>
      <c r="H18" s="11">
        <v>168</v>
      </c>
      <c r="I18" s="11">
        <v>71</v>
      </c>
      <c r="J18" s="11">
        <v>417</v>
      </c>
      <c r="K18" s="11">
        <v>9</v>
      </c>
      <c r="L18" s="11">
        <v>0</v>
      </c>
      <c r="M18" s="11">
        <v>0</v>
      </c>
      <c r="N18" s="11">
        <v>715</v>
      </c>
      <c r="O18" s="11">
        <v>0</v>
      </c>
      <c r="P18" s="11">
        <v>0</v>
      </c>
      <c r="Q18" s="11">
        <v>41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</row>
    <row r="19" spans="1:24" x14ac:dyDescent="0.2">
      <c r="A19" s="6" t="s">
        <v>73</v>
      </c>
      <c r="B19" s="11">
        <v>161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160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</row>
    <row r="20" spans="1:24" x14ac:dyDescent="0.2">
      <c r="A20" s="6" t="s">
        <v>74</v>
      </c>
      <c r="B20" s="11">
        <v>500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300</v>
      </c>
      <c r="M20" s="11">
        <v>0</v>
      </c>
      <c r="N20" s="11">
        <v>0</v>
      </c>
      <c r="O20" s="11">
        <v>0</v>
      </c>
      <c r="P20" s="11">
        <v>200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</row>
    <row r="21" spans="1:24" x14ac:dyDescent="0.2">
      <c r="A21" s="6" t="s">
        <v>75</v>
      </c>
      <c r="B21" s="11">
        <v>10154</v>
      </c>
      <c r="C21" s="11">
        <v>1686</v>
      </c>
      <c r="D21" s="11">
        <v>316</v>
      </c>
      <c r="E21" s="11">
        <v>158</v>
      </c>
      <c r="F21" s="11">
        <v>286</v>
      </c>
      <c r="G21" s="11">
        <v>19</v>
      </c>
      <c r="H21" s="11">
        <v>403</v>
      </c>
      <c r="I21" s="11">
        <v>-40</v>
      </c>
      <c r="J21" s="11">
        <v>253</v>
      </c>
      <c r="K21" s="11">
        <v>1019</v>
      </c>
      <c r="L21" s="11">
        <v>442</v>
      </c>
      <c r="M21" s="11">
        <v>437</v>
      </c>
      <c r="N21" s="11">
        <v>2033</v>
      </c>
      <c r="O21" s="11">
        <v>185</v>
      </c>
      <c r="P21" s="11">
        <v>-523</v>
      </c>
      <c r="Q21" s="11">
        <v>1003</v>
      </c>
      <c r="R21" s="11">
        <v>479</v>
      </c>
      <c r="S21" s="11">
        <v>631</v>
      </c>
      <c r="T21" s="11">
        <v>160</v>
      </c>
      <c r="U21" s="11">
        <v>834</v>
      </c>
      <c r="V21" s="11">
        <v>377</v>
      </c>
      <c r="W21" s="11">
        <v>0</v>
      </c>
      <c r="X21" s="11">
        <v>0</v>
      </c>
    </row>
    <row r="22" spans="1:24" x14ac:dyDescent="0.2">
      <c r="A22" s="6" t="s">
        <v>76</v>
      </c>
      <c r="B22" s="11">
        <v>8396</v>
      </c>
      <c r="C22" s="11">
        <v>317</v>
      </c>
      <c r="D22" s="11">
        <v>405</v>
      </c>
      <c r="E22" s="11">
        <v>269</v>
      </c>
      <c r="F22" s="11">
        <v>526</v>
      </c>
      <c r="G22" s="11">
        <v>680</v>
      </c>
      <c r="H22" s="11">
        <v>584</v>
      </c>
      <c r="I22" s="11">
        <v>467</v>
      </c>
      <c r="J22" s="11">
        <v>449</v>
      </c>
      <c r="K22" s="11">
        <v>176</v>
      </c>
      <c r="L22" s="11">
        <v>558</v>
      </c>
      <c r="M22" s="11">
        <v>449</v>
      </c>
      <c r="N22" s="11">
        <v>830</v>
      </c>
      <c r="O22" s="11">
        <v>160</v>
      </c>
      <c r="P22" s="11">
        <v>930</v>
      </c>
      <c r="Q22" s="11">
        <v>544</v>
      </c>
      <c r="R22" s="11">
        <v>559</v>
      </c>
      <c r="S22" s="11">
        <v>0</v>
      </c>
      <c r="T22" s="11">
        <v>0</v>
      </c>
      <c r="U22" s="11">
        <v>0</v>
      </c>
      <c r="V22" s="11">
        <v>490</v>
      </c>
      <c r="W22" s="11">
        <v>0</v>
      </c>
      <c r="X22" s="11">
        <v>0</v>
      </c>
    </row>
    <row r="23" spans="1:24" x14ac:dyDescent="0.2">
      <c r="A23" s="6" t="s">
        <v>77</v>
      </c>
      <c r="B23" s="11">
        <v>250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50</v>
      </c>
      <c r="K23" s="11">
        <v>0</v>
      </c>
      <c r="L23" s="11">
        <v>50</v>
      </c>
      <c r="M23" s="11">
        <v>50</v>
      </c>
      <c r="N23" s="11">
        <v>50</v>
      </c>
      <c r="O23" s="11">
        <v>0</v>
      </c>
      <c r="P23" s="11">
        <v>50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  <c r="X23" s="11">
        <v>0</v>
      </c>
    </row>
    <row r="24" spans="1:24" x14ac:dyDescent="0.2">
      <c r="A24" s="6" t="s">
        <v>150</v>
      </c>
      <c r="B24" s="11">
        <v>48770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24922</v>
      </c>
      <c r="K24" s="11">
        <v>16348</v>
      </c>
      <c r="L24" s="11">
        <v>0</v>
      </c>
      <c r="M24" s="11">
        <v>0</v>
      </c>
      <c r="N24" s="11">
        <v>0</v>
      </c>
      <c r="O24" s="11">
        <v>577</v>
      </c>
      <c r="P24" s="11">
        <v>6923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0</v>
      </c>
    </row>
    <row r="25" spans="1:24" x14ac:dyDescent="0.2">
      <c r="A25" s="6" t="s">
        <v>151</v>
      </c>
      <c r="B25" s="11">
        <v>7000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>
        <v>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3500</v>
      </c>
      <c r="R25" s="11">
        <v>3500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  <c r="X25" s="11">
        <v>0</v>
      </c>
    </row>
    <row r="26" spans="1:24" x14ac:dyDescent="0.2">
      <c r="A26" s="6" t="s">
        <v>152</v>
      </c>
      <c r="B26" s="11">
        <v>3611</v>
      </c>
      <c r="C26" s="11">
        <v>0</v>
      </c>
      <c r="D26" s="11">
        <v>122</v>
      </c>
      <c r="E26" s="11">
        <v>600</v>
      </c>
      <c r="F26" s="11">
        <v>0</v>
      </c>
      <c r="G26" s="11">
        <v>0</v>
      </c>
      <c r="H26" s="11">
        <v>73</v>
      </c>
      <c r="I26" s="11">
        <v>3</v>
      </c>
      <c r="J26" s="11">
        <v>286</v>
      </c>
      <c r="K26" s="11">
        <v>1953</v>
      </c>
      <c r="L26" s="11">
        <v>0</v>
      </c>
      <c r="M26" s="11">
        <v>65</v>
      </c>
      <c r="N26" s="11">
        <v>84</v>
      </c>
      <c r="O26" s="11">
        <v>134</v>
      </c>
      <c r="P26" s="11">
        <v>0</v>
      </c>
      <c r="Q26" s="11">
        <v>117</v>
      </c>
      <c r="R26" s="11">
        <v>0</v>
      </c>
      <c r="S26" s="11">
        <v>0</v>
      </c>
      <c r="T26" s="11">
        <v>0</v>
      </c>
      <c r="U26" s="11">
        <v>94</v>
      </c>
      <c r="V26" s="11">
        <v>82</v>
      </c>
      <c r="W26" s="11">
        <v>0</v>
      </c>
      <c r="X26" s="11">
        <v>0</v>
      </c>
    </row>
    <row r="27" spans="1:24" x14ac:dyDescent="0.2">
      <c r="A27" s="6" t="s">
        <v>153</v>
      </c>
      <c r="B27" s="11">
        <v>19976</v>
      </c>
      <c r="C27" s="11">
        <v>628</v>
      </c>
      <c r="D27" s="11">
        <v>640</v>
      </c>
      <c r="E27" s="11">
        <v>625</v>
      </c>
      <c r="F27" s="11">
        <v>1643</v>
      </c>
      <c r="G27" s="11">
        <v>1152</v>
      </c>
      <c r="H27" s="11">
        <v>668</v>
      </c>
      <c r="I27" s="11">
        <v>846</v>
      </c>
      <c r="J27" s="11">
        <v>568</v>
      </c>
      <c r="K27" s="11">
        <v>1204</v>
      </c>
      <c r="L27" s="11">
        <v>1552</v>
      </c>
      <c r="M27" s="11">
        <v>2093</v>
      </c>
      <c r="N27" s="11">
        <v>1844</v>
      </c>
      <c r="O27" s="11">
        <v>2040</v>
      </c>
      <c r="P27" s="11">
        <v>1785</v>
      </c>
      <c r="Q27" s="11">
        <v>662</v>
      </c>
      <c r="R27" s="11">
        <v>1446</v>
      </c>
      <c r="S27" s="11">
        <v>106</v>
      </c>
      <c r="T27" s="11">
        <v>114</v>
      </c>
      <c r="U27" s="11">
        <v>98</v>
      </c>
      <c r="V27" s="11">
        <v>119</v>
      </c>
      <c r="W27" s="11">
        <v>112</v>
      </c>
      <c r="X27" s="11">
        <v>29</v>
      </c>
    </row>
    <row r="28" spans="1:24" x14ac:dyDescent="0.2">
      <c r="A28" s="6" t="s">
        <v>154</v>
      </c>
      <c r="B28" s="11">
        <v>13069</v>
      </c>
      <c r="C28" s="11">
        <v>77</v>
      </c>
      <c r="D28" s="11">
        <v>949</v>
      </c>
      <c r="E28" s="11">
        <v>549</v>
      </c>
      <c r="F28" s="11">
        <v>2096</v>
      </c>
      <c r="G28" s="11">
        <v>170</v>
      </c>
      <c r="H28" s="11">
        <v>106</v>
      </c>
      <c r="I28" s="11">
        <v>318</v>
      </c>
      <c r="J28" s="11">
        <v>320</v>
      </c>
      <c r="K28" s="11">
        <v>138</v>
      </c>
      <c r="L28" s="11">
        <v>2118</v>
      </c>
      <c r="M28" s="11">
        <v>1249</v>
      </c>
      <c r="N28" s="11">
        <v>112</v>
      </c>
      <c r="O28" s="11">
        <v>1374</v>
      </c>
      <c r="P28" s="11">
        <v>1099</v>
      </c>
      <c r="Q28" s="11">
        <v>343</v>
      </c>
      <c r="R28" s="11">
        <v>330</v>
      </c>
      <c r="S28" s="11">
        <v>145</v>
      </c>
      <c r="T28" s="11">
        <v>146</v>
      </c>
      <c r="U28" s="11">
        <v>570</v>
      </c>
      <c r="V28" s="11">
        <v>462</v>
      </c>
      <c r="W28" s="11">
        <v>257</v>
      </c>
      <c r="X28" s="11">
        <v>141</v>
      </c>
    </row>
    <row r="29" spans="1:24" x14ac:dyDescent="0.2">
      <c r="A29" s="6" t="s">
        <v>155</v>
      </c>
      <c r="B29" s="11">
        <v>128068</v>
      </c>
      <c r="C29" s="11">
        <v>4928</v>
      </c>
      <c r="D29" s="11">
        <v>4318</v>
      </c>
      <c r="E29" s="11">
        <v>6526</v>
      </c>
      <c r="F29" s="11">
        <v>5414</v>
      </c>
      <c r="G29" s="11">
        <v>4605</v>
      </c>
      <c r="H29" s="11">
        <v>3763</v>
      </c>
      <c r="I29" s="11">
        <v>5356</v>
      </c>
      <c r="J29" s="11">
        <v>7224</v>
      </c>
      <c r="K29" s="11">
        <v>6390</v>
      </c>
      <c r="L29" s="11">
        <v>7983</v>
      </c>
      <c r="M29" s="11">
        <v>13746</v>
      </c>
      <c r="N29" s="11">
        <v>12771</v>
      </c>
      <c r="O29" s="11">
        <v>9076</v>
      </c>
      <c r="P29" s="11">
        <v>9035</v>
      </c>
      <c r="Q29" s="11">
        <v>9386</v>
      </c>
      <c r="R29" s="11">
        <v>7937</v>
      </c>
      <c r="S29" s="11">
        <v>1537</v>
      </c>
      <c r="T29" s="11">
        <v>2013</v>
      </c>
      <c r="U29" s="11">
        <v>1680</v>
      </c>
      <c r="V29" s="11">
        <v>2056</v>
      </c>
      <c r="W29" s="11">
        <v>1908</v>
      </c>
      <c r="X29" s="11">
        <v>416</v>
      </c>
    </row>
    <row r="30" spans="1:24" x14ac:dyDescent="0.2">
      <c r="A30" s="6" t="s">
        <v>156</v>
      </c>
      <c r="B30" s="11">
        <v>9400</v>
      </c>
      <c r="C30" s="11">
        <v>696</v>
      </c>
      <c r="D30" s="11">
        <v>632</v>
      </c>
      <c r="E30" s="11">
        <v>497</v>
      </c>
      <c r="F30" s="11">
        <v>353</v>
      </c>
      <c r="G30" s="11">
        <v>461</v>
      </c>
      <c r="H30" s="11">
        <v>0</v>
      </c>
      <c r="I30" s="11">
        <v>419</v>
      </c>
      <c r="J30" s="11">
        <v>626</v>
      </c>
      <c r="K30" s="11">
        <v>437</v>
      </c>
      <c r="L30" s="11">
        <v>461</v>
      </c>
      <c r="M30" s="11">
        <v>334</v>
      </c>
      <c r="N30" s="11">
        <v>650</v>
      </c>
      <c r="O30" s="11">
        <v>602</v>
      </c>
      <c r="P30" s="11">
        <v>484</v>
      </c>
      <c r="Q30" s="11">
        <v>474</v>
      </c>
      <c r="R30" s="11">
        <v>474</v>
      </c>
      <c r="S30" s="11">
        <v>339</v>
      </c>
      <c r="T30" s="11">
        <v>476</v>
      </c>
      <c r="U30" s="11">
        <v>19</v>
      </c>
      <c r="V30" s="11">
        <v>447</v>
      </c>
      <c r="W30" s="11">
        <v>518</v>
      </c>
      <c r="X30" s="11">
        <v>0</v>
      </c>
    </row>
    <row r="31" spans="1:24" x14ac:dyDescent="0.2">
      <c r="A31" s="6" t="s">
        <v>157</v>
      </c>
      <c r="B31" s="11">
        <v>1943</v>
      </c>
      <c r="C31" s="11">
        <v>5</v>
      </c>
      <c r="D31" s="11">
        <v>5</v>
      </c>
      <c r="E31" s="11">
        <v>5</v>
      </c>
      <c r="F31" s="11">
        <v>5</v>
      </c>
      <c r="G31" s="11">
        <v>5</v>
      </c>
      <c r="H31" s="11">
        <v>5</v>
      </c>
      <c r="I31" s="11">
        <v>5</v>
      </c>
      <c r="J31" s="11">
        <v>5</v>
      </c>
      <c r="K31" s="11">
        <v>5</v>
      </c>
      <c r="L31" s="11">
        <v>0</v>
      </c>
      <c r="M31" s="11">
        <v>5</v>
      </c>
      <c r="N31" s="11">
        <v>5</v>
      </c>
      <c r="O31" s="11">
        <v>5</v>
      </c>
      <c r="P31" s="11">
        <v>5</v>
      </c>
      <c r="Q31" s="11">
        <v>936</v>
      </c>
      <c r="R31" s="11">
        <v>945</v>
      </c>
      <c r="S31" s="11">
        <v>0</v>
      </c>
      <c r="T31" s="11">
        <v>0</v>
      </c>
      <c r="U31" s="11">
        <v>0</v>
      </c>
      <c r="V31" s="11">
        <v>0</v>
      </c>
      <c r="W31" s="11">
        <v>0</v>
      </c>
      <c r="X31" s="11">
        <v>0</v>
      </c>
    </row>
    <row r="32" spans="1:24" x14ac:dyDescent="0.2">
      <c r="A32" s="6" t="s">
        <v>158</v>
      </c>
      <c r="B32" s="11">
        <v>1482</v>
      </c>
      <c r="C32" s="11">
        <v>0</v>
      </c>
      <c r="D32" s="11">
        <v>0</v>
      </c>
      <c r="E32" s="11">
        <v>0</v>
      </c>
      <c r="F32" s="11">
        <v>0</v>
      </c>
      <c r="G32" s="11">
        <v>429</v>
      </c>
      <c r="H32" s="11">
        <v>412</v>
      </c>
      <c r="I32" s="11">
        <v>281</v>
      </c>
      <c r="J32" s="11">
        <v>0</v>
      </c>
      <c r="K32" s="11">
        <v>0</v>
      </c>
      <c r="L32" s="11">
        <v>0</v>
      </c>
      <c r="M32" s="11">
        <v>0</v>
      </c>
      <c r="N32" s="11">
        <v>0</v>
      </c>
      <c r="O32" s="11">
        <v>216</v>
      </c>
      <c r="P32" s="11">
        <v>0</v>
      </c>
      <c r="Q32" s="11">
        <v>0</v>
      </c>
      <c r="R32" s="11">
        <v>0</v>
      </c>
      <c r="S32" s="11">
        <v>0</v>
      </c>
      <c r="T32" s="11">
        <v>144</v>
      </c>
      <c r="U32" s="11">
        <v>0</v>
      </c>
      <c r="V32" s="11">
        <v>0</v>
      </c>
      <c r="W32" s="11">
        <v>0</v>
      </c>
      <c r="X32" s="11">
        <v>0</v>
      </c>
    </row>
    <row r="33" spans="1:24" x14ac:dyDescent="0.2">
      <c r="A33" s="6" t="s">
        <v>159</v>
      </c>
      <c r="B33" s="11">
        <v>542</v>
      </c>
      <c r="C33" s="11">
        <v>0</v>
      </c>
      <c r="D33" s="11">
        <v>0</v>
      </c>
      <c r="E33" s="11">
        <v>40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11">
        <v>265</v>
      </c>
      <c r="M33" s="11">
        <v>0</v>
      </c>
      <c r="N33" s="11">
        <v>0</v>
      </c>
      <c r="O33" s="11">
        <v>222</v>
      </c>
      <c r="P33" s="11">
        <v>0</v>
      </c>
      <c r="Q33" s="11">
        <v>0</v>
      </c>
      <c r="R33" s="11">
        <v>0</v>
      </c>
      <c r="S33" s="11">
        <v>15</v>
      </c>
      <c r="T33" s="11">
        <v>0</v>
      </c>
      <c r="U33" s="11">
        <v>0</v>
      </c>
      <c r="V33" s="11">
        <v>0</v>
      </c>
      <c r="W33" s="11">
        <v>0</v>
      </c>
      <c r="X33" s="11">
        <v>0</v>
      </c>
    </row>
    <row r="34" spans="1:24" x14ac:dyDescent="0.2">
      <c r="A34" s="6" t="s">
        <v>160</v>
      </c>
      <c r="B34" s="11">
        <v>1159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141</v>
      </c>
      <c r="I34" s="11">
        <v>0</v>
      </c>
      <c r="J34" s="11">
        <v>0</v>
      </c>
      <c r="K34" s="11">
        <v>46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972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  <c r="X34" s="11">
        <v>0</v>
      </c>
    </row>
    <row r="35" spans="1:24" x14ac:dyDescent="0.2">
      <c r="A35" s="6" t="s">
        <v>161</v>
      </c>
      <c r="B35" s="11">
        <v>2395</v>
      </c>
      <c r="C35" s="11">
        <v>238</v>
      </c>
      <c r="D35" s="11">
        <v>134</v>
      </c>
      <c r="E35" s="11">
        <v>33</v>
      </c>
      <c r="F35" s="11">
        <v>0</v>
      </c>
      <c r="G35" s="11">
        <v>42</v>
      </c>
      <c r="H35" s="11">
        <v>0</v>
      </c>
      <c r="I35" s="11">
        <v>118</v>
      </c>
      <c r="J35" s="11">
        <v>0</v>
      </c>
      <c r="K35" s="11">
        <v>247</v>
      </c>
      <c r="L35" s="11">
        <v>0</v>
      </c>
      <c r="M35" s="11">
        <v>180</v>
      </c>
      <c r="N35" s="11">
        <v>942</v>
      </c>
      <c r="O35" s="11">
        <v>0</v>
      </c>
      <c r="P35" s="11">
        <v>0</v>
      </c>
      <c r="Q35" s="11">
        <v>297</v>
      </c>
      <c r="R35" s="11">
        <v>119</v>
      </c>
      <c r="S35" s="11">
        <v>0</v>
      </c>
      <c r="T35" s="11">
        <v>45</v>
      </c>
      <c r="U35" s="11">
        <v>0</v>
      </c>
      <c r="V35" s="11">
        <v>0</v>
      </c>
      <c r="W35" s="11">
        <v>0</v>
      </c>
      <c r="X35" s="11">
        <v>0</v>
      </c>
    </row>
    <row r="36" spans="1:24" x14ac:dyDescent="0.2">
      <c r="A36" s="6" t="s">
        <v>162</v>
      </c>
      <c r="B36" s="11">
        <v>80577</v>
      </c>
      <c r="C36" s="11">
        <v>4610</v>
      </c>
      <c r="D36" s="11">
        <v>3756</v>
      </c>
      <c r="E36" s="11">
        <v>3943</v>
      </c>
      <c r="F36" s="11">
        <v>3939</v>
      </c>
      <c r="G36" s="11">
        <v>3261</v>
      </c>
      <c r="H36" s="11">
        <v>2502</v>
      </c>
      <c r="I36" s="11">
        <v>3064</v>
      </c>
      <c r="J36" s="11">
        <v>4004</v>
      </c>
      <c r="K36" s="11">
        <v>2714</v>
      </c>
      <c r="L36" s="11">
        <v>4003</v>
      </c>
      <c r="M36" s="11">
        <v>3406</v>
      </c>
      <c r="N36" s="11">
        <v>7834</v>
      </c>
      <c r="O36" s="11">
        <v>5910</v>
      </c>
      <c r="P36" s="11">
        <v>5329</v>
      </c>
      <c r="Q36" s="11">
        <v>5626</v>
      </c>
      <c r="R36" s="11">
        <v>3277</v>
      </c>
      <c r="S36" s="11">
        <v>2200</v>
      </c>
      <c r="T36" s="11">
        <v>2464</v>
      </c>
      <c r="U36" s="11">
        <v>2453</v>
      </c>
      <c r="V36" s="11">
        <v>3381</v>
      </c>
      <c r="W36" s="11">
        <v>2899</v>
      </c>
      <c r="X36" s="11">
        <v>0</v>
      </c>
    </row>
    <row r="37" spans="1:24" x14ac:dyDescent="0.2">
      <c r="A37" s="6" t="s">
        <v>163</v>
      </c>
      <c r="B37" s="11">
        <v>167000</v>
      </c>
      <c r="C37" s="11">
        <v>11000</v>
      </c>
      <c r="D37" s="11">
        <v>11000</v>
      </c>
      <c r="E37" s="11">
        <v>11000</v>
      </c>
      <c r="F37" s="11">
        <v>11000</v>
      </c>
      <c r="G37" s="11">
        <v>11000</v>
      </c>
      <c r="H37" s="11">
        <v>11000</v>
      </c>
      <c r="I37" s="11">
        <v>11000</v>
      </c>
      <c r="J37" s="11">
        <v>8000</v>
      </c>
      <c r="K37" s="11">
        <v>8000</v>
      </c>
      <c r="L37" s="11">
        <v>8000</v>
      </c>
      <c r="M37" s="11">
        <v>8000</v>
      </c>
      <c r="N37" s="11">
        <v>8000</v>
      </c>
      <c r="O37" s="11">
        <v>8000</v>
      </c>
      <c r="P37" s="11">
        <v>8000</v>
      </c>
      <c r="Q37" s="11">
        <v>11000</v>
      </c>
      <c r="R37" s="11">
        <v>11000</v>
      </c>
      <c r="S37" s="11">
        <v>2000</v>
      </c>
      <c r="T37" s="11">
        <v>2000</v>
      </c>
      <c r="U37" s="11">
        <v>2000</v>
      </c>
      <c r="V37" s="11">
        <v>2000</v>
      </c>
      <c r="W37" s="11">
        <v>2000</v>
      </c>
      <c r="X37" s="11">
        <v>2000</v>
      </c>
    </row>
    <row r="38" spans="1:24" x14ac:dyDescent="0.2">
      <c r="A38" s="6" t="s">
        <v>164</v>
      </c>
      <c r="B38" s="11">
        <v>7884</v>
      </c>
      <c r="C38" s="11">
        <v>744</v>
      </c>
      <c r="D38" s="11">
        <v>214</v>
      </c>
      <c r="E38" s="11">
        <v>797</v>
      </c>
      <c r="F38" s="11">
        <v>275</v>
      </c>
      <c r="G38" s="11">
        <v>701</v>
      </c>
      <c r="H38" s="11">
        <v>136</v>
      </c>
      <c r="I38" s="11">
        <v>275</v>
      </c>
      <c r="J38" s="11">
        <v>275</v>
      </c>
      <c r="K38" s="11">
        <v>633</v>
      </c>
      <c r="L38" s="11">
        <v>364</v>
      </c>
      <c r="M38" s="11">
        <v>131</v>
      </c>
      <c r="N38" s="11">
        <v>131</v>
      </c>
      <c r="O38" s="11">
        <v>275</v>
      </c>
      <c r="P38" s="11">
        <v>843</v>
      </c>
      <c r="Q38" s="11">
        <v>131</v>
      </c>
      <c r="R38" s="11">
        <v>858</v>
      </c>
      <c r="S38" s="11">
        <v>131</v>
      </c>
      <c r="T38" s="11">
        <v>144</v>
      </c>
      <c r="U38" s="11">
        <v>275</v>
      </c>
      <c r="V38" s="11">
        <v>421</v>
      </c>
      <c r="W38" s="11">
        <v>131</v>
      </c>
      <c r="X38" s="11">
        <v>0</v>
      </c>
    </row>
    <row r="39" spans="1:24" x14ac:dyDescent="0.2">
      <c r="A39" s="6" t="s">
        <v>165</v>
      </c>
      <c r="B39" s="11">
        <v>1694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-752</v>
      </c>
      <c r="I39" s="11">
        <v>730</v>
      </c>
      <c r="J39" s="11">
        <v>0</v>
      </c>
      <c r="K39" s="11">
        <v>0</v>
      </c>
      <c r="L39" s="11">
        <v>0</v>
      </c>
      <c r="M39" s="11">
        <v>730</v>
      </c>
      <c r="N39" s="11">
        <v>730</v>
      </c>
      <c r="O39" s="11">
        <v>8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1">
        <v>248</v>
      </c>
      <c r="X39" s="11">
        <v>0</v>
      </c>
    </row>
    <row r="40" spans="1:24" x14ac:dyDescent="0.2">
      <c r="A40" s="6" t="s">
        <v>166</v>
      </c>
      <c r="B40" s="11">
        <v>11413</v>
      </c>
      <c r="C40" s="11">
        <v>214</v>
      </c>
      <c r="D40" s="11">
        <v>391</v>
      </c>
      <c r="E40" s="11">
        <v>228</v>
      </c>
      <c r="F40" s="11">
        <v>434</v>
      </c>
      <c r="G40" s="11">
        <v>513</v>
      </c>
      <c r="H40" s="11">
        <v>252</v>
      </c>
      <c r="I40" s="11">
        <v>248</v>
      </c>
      <c r="J40" s="11">
        <v>75</v>
      </c>
      <c r="K40" s="11">
        <v>207</v>
      </c>
      <c r="L40" s="11">
        <v>620</v>
      </c>
      <c r="M40" s="11">
        <v>591</v>
      </c>
      <c r="N40" s="11">
        <v>2199</v>
      </c>
      <c r="O40" s="11">
        <v>851</v>
      </c>
      <c r="P40" s="11">
        <v>773</v>
      </c>
      <c r="Q40" s="11">
        <v>1564</v>
      </c>
      <c r="R40" s="11">
        <v>1183</v>
      </c>
      <c r="S40" s="11">
        <v>399</v>
      </c>
      <c r="T40" s="11">
        <v>281</v>
      </c>
      <c r="U40" s="11">
        <v>84</v>
      </c>
      <c r="V40" s="11">
        <v>189</v>
      </c>
      <c r="W40" s="11">
        <v>115</v>
      </c>
      <c r="X40" s="11">
        <v>0</v>
      </c>
    </row>
    <row r="41" spans="1:24" x14ac:dyDescent="0.2">
      <c r="A41" s="6" t="s">
        <v>167</v>
      </c>
      <c r="B41" s="11">
        <v>4335</v>
      </c>
      <c r="C41" s="11">
        <v>157</v>
      </c>
      <c r="D41" s="11">
        <v>198</v>
      </c>
      <c r="E41" s="11">
        <v>358</v>
      </c>
      <c r="F41" s="11">
        <v>246</v>
      </c>
      <c r="G41" s="11">
        <v>199</v>
      </c>
      <c r="H41" s="11">
        <v>199</v>
      </c>
      <c r="I41" s="11">
        <v>159</v>
      </c>
      <c r="J41" s="11">
        <v>155</v>
      </c>
      <c r="K41" s="11">
        <v>193</v>
      </c>
      <c r="L41" s="11">
        <v>315</v>
      </c>
      <c r="M41" s="11">
        <v>160</v>
      </c>
      <c r="N41" s="11">
        <v>388</v>
      </c>
      <c r="O41" s="11">
        <v>156</v>
      </c>
      <c r="P41" s="11">
        <v>-14</v>
      </c>
      <c r="Q41" s="11">
        <v>479</v>
      </c>
      <c r="R41" s="11">
        <v>213</v>
      </c>
      <c r="S41" s="11">
        <v>212</v>
      </c>
      <c r="T41" s="11">
        <v>0</v>
      </c>
      <c r="U41" s="11">
        <v>146</v>
      </c>
      <c r="V41" s="11">
        <v>208</v>
      </c>
      <c r="W41" s="11">
        <v>212</v>
      </c>
      <c r="X41" s="11">
        <v>0</v>
      </c>
    </row>
    <row r="42" spans="1:24" x14ac:dyDescent="0.2">
      <c r="A42" s="6" t="s">
        <v>168</v>
      </c>
      <c r="B42" s="11">
        <v>55</v>
      </c>
      <c r="C42" s="11">
        <v>0</v>
      </c>
      <c r="D42" s="11">
        <v>0</v>
      </c>
      <c r="E42" s="11">
        <v>55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1">
        <v>0</v>
      </c>
      <c r="X42" s="11">
        <v>0</v>
      </c>
    </row>
    <row r="43" spans="1:24" x14ac:dyDescent="0.2">
      <c r="A43" s="6" t="s">
        <v>169</v>
      </c>
      <c r="B43" s="11">
        <v>312</v>
      </c>
      <c r="C43" s="11">
        <v>0</v>
      </c>
      <c r="D43" s="11">
        <v>0</v>
      </c>
      <c r="E43" s="11">
        <v>312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  <c r="X43" s="11">
        <v>0</v>
      </c>
    </row>
    <row r="44" spans="1:24" x14ac:dyDescent="0.2">
      <c r="A44" s="6" t="s">
        <v>170</v>
      </c>
      <c r="B44" s="11">
        <v>16376</v>
      </c>
      <c r="C44" s="11">
        <v>959</v>
      </c>
      <c r="D44" s="11">
        <v>1017</v>
      </c>
      <c r="E44" s="11">
        <v>1087</v>
      </c>
      <c r="F44" s="11">
        <v>964</v>
      </c>
      <c r="G44" s="11">
        <v>929</v>
      </c>
      <c r="H44" s="11">
        <v>-2516</v>
      </c>
      <c r="I44" s="11">
        <v>596</v>
      </c>
      <c r="J44" s="11">
        <v>953</v>
      </c>
      <c r="K44" s="11">
        <v>943</v>
      </c>
      <c r="L44" s="11">
        <v>1092</v>
      </c>
      <c r="M44" s="11">
        <v>1244</v>
      </c>
      <c r="N44" s="11">
        <v>2251</v>
      </c>
      <c r="O44" s="11">
        <v>1108</v>
      </c>
      <c r="P44" s="11">
        <v>1214</v>
      </c>
      <c r="Q44" s="11">
        <v>1224</v>
      </c>
      <c r="R44" s="11">
        <v>1108</v>
      </c>
      <c r="S44" s="11">
        <v>511</v>
      </c>
      <c r="T44" s="11">
        <v>512</v>
      </c>
      <c r="U44" s="11">
        <v>409</v>
      </c>
      <c r="V44" s="11">
        <v>477</v>
      </c>
      <c r="W44" s="11">
        <v>273</v>
      </c>
      <c r="X44" s="11">
        <v>21</v>
      </c>
    </row>
    <row r="45" spans="1:24" x14ac:dyDescent="0.2">
      <c r="A45" s="6" t="s">
        <v>171</v>
      </c>
      <c r="B45" s="11">
        <v>4880</v>
      </c>
      <c r="C45" s="11">
        <v>102</v>
      </c>
      <c r="D45" s="11">
        <v>265</v>
      </c>
      <c r="E45" s="11">
        <v>95</v>
      </c>
      <c r="F45" s="11">
        <v>330</v>
      </c>
      <c r="G45" s="11">
        <v>162</v>
      </c>
      <c r="H45" s="11">
        <v>197</v>
      </c>
      <c r="I45" s="11">
        <v>187</v>
      </c>
      <c r="J45" s="11">
        <v>95</v>
      </c>
      <c r="K45" s="11">
        <v>243</v>
      </c>
      <c r="L45" s="11">
        <v>141</v>
      </c>
      <c r="M45" s="11">
        <v>1362</v>
      </c>
      <c r="N45" s="11">
        <v>183</v>
      </c>
      <c r="O45" s="11">
        <v>367</v>
      </c>
      <c r="P45" s="11">
        <v>201</v>
      </c>
      <c r="Q45" s="11">
        <v>240</v>
      </c>
      <c r="R45" s="11">
        <v>91</v>
      </c>
      <c r="S45" s="11">
        <v>7</v>
      </c>
      <c r="T45" s="11">
        <v>229</v>
      </c>
      <c r="U45" s="11">
        <v>124</v>
      </c>
      <c r="V45" s="11">
        <v>171</v>
      </c>
      <c r="W45" s="11">
        <v>77</v>
      </c>
      <c r="X45" s="11">
        <v>7</v>
      </c>
    </row>
    <row r="46" spans="1:24" x14ac:dyDescent="0.2">
      <c r="A46" s="6" t="s">
        <v>172</v>
      </c>
      <c r="B46" s="11">
        <v>295</v>
      </c>
      <c r="C46" s="11">
        <v>0</v>
      </c>
      <c r="D46" s="11">
        <v>100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195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  <c r="X46" s="11">
        <v>0</v>
      </c>
    </row>
    <row r="47" spans="1:24" x14ac:dyDescent="0.2">
      <c r="A47" s="6" t="s">
        <v>173</v>
      </c>
      <c r="B47" s="11">
        <v>4047</v>
      </c>
      <c r="C47" s="11">
        <v>132</v>
      </c>
      <c r="D47" s="11">
        <v>168</v>
      </c>
      <c r="E47" s="11">
        <v>201</v>
      </c>
      <c r="F47" s="11">
        <v>141</v>
      </c>
      <c r="G47" s="11">
        <v>135</v>
      </c>
      <c r="H47" s="11">
        <v>373</v>
      </c>
      <c r="I47" s="11">
        <v>138</v>
      </c>
      <c r="J47" s="11">
        <v>193</v>
      </c>
      <c r="K47" s="11">
        <v>169</v>
      </c>
      <c r="L47" s="11">
        <v>328</v>
      </c>
      <c r="M47" s="11">
        <v>171</v>
      </c>
      <c r="N47" s="11">
        <v>303</v>
      </c>
      <c r="O47" s="11">
        <v>228</v>
      </c>
      <c r="P47" s="11">
        <v>263</v>
      </c>
      <c r="Q47" s="11">
        <v>177</v>
      </c>
      <c r="R47" s="11">
        <v>134</v>
      </c>
      <c r="S47" s="11">
        <v>103</v>
      </c>
      <c r="T47" s="11">
        <v>98</v>
      </c>
      <c r="U47" s="11">
        <v>103</v>
      </c>
      <c r="V47" s="11">
        <v>321</v>
      </c>
      <c r="W47" s="11">
        <v>169</v>
      </c>
      <c r="X47" s="11">
        <v>0</v>
      </c>
    </row>
    <row r="48" spans="1:24" x14ac:dyDescent="0.2">
      <c r="A48" s="6" t="s">
        <v>174</v>
      </c>
      <c r="B48" s="11">
        <v>95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96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11">
        <v>0</v>
      </c>
      <c r="X48" s="11">
        <v>0</v>
      </c>
    </row>
    <row r="49" spans="1:24" x14ac:dyDescent="0.2">
      <c r="A49" s="6" t="s">
        <v>175</v>
      </c>
      <c r="B49" s="11">
        <v>200</v>
      </c>
      <c r="C49" s="11">
        <v>0</v>
      </c>
      <c r="D49" s="11">
        <v>0</v>
      </c>
      <c r="E49" s="11">
        <v>0</v>
      </c>
      <c r="F49" s="11">
        <v>72</v>
      </c>
      <c r="G49" s="11">
        <v>0</v>
      </c>
      <c r="H49" s="11">
        <v>0</v>
      </c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12</v>
      </c>
      <c r="P49" s="11">
        <v>52</v>
      </c>
      <c r="Q49" s="11">
        <v>35</v>
      </c>
      <c r="R49" s="11">
        <v>0</v>
      </c>
      <c r="S49" s="11">
        <v>0</v>
      </c>
      <c r="T49" s="11">
        <v>0</v>
      </c>
      <c r="U49" s="11">
        <v>10</v>
      </c>
      <c r="V49" s="11">
        <v>0</v>
      </c>
      <c r="W49" s="11">
        <v>20</v>
      </c>
      <c r="X49" s="11">
        <v>0</v>
      </c>
    </row>
    <row r="50" spans="1:24" x14ac:dyDescent="0.2">
      <c r="A50" s="6" t="s">
        <v>176</v>
      </c>
      <c r="B50" s="11">
        <v>2406</v>
      </c>
      <c r="C50" s="11">
        <v>0</v>
      </c>
      <c r="D50" s="11">
        <v>311</v>
      </c>
      <c r="E50" s="11">
        <v>0</v>
      </c>
      <c r="F50" s="11">
        <v>54</v>
      </c>
      <c r="G50" s="11">
        <v>45</v>
      </c>
      <c r="H50" s="11">
        <v>55</v>
      </c>
      <c r="I50" s="11">
        <v>58</v>
      </c>
      <c r="J50" s="11">
        <v>70</v>
      </c>
      <c r="K50" s="11">
        <v>331</v>
      </c>
      <c r="L50" s="11">
        <v>99</v>
      </c>
      <c r="M50" s="11">
        <v>0</v>
      </c>
      <c r="N50" s="11">
        <v>0</v>
      </c>
      <c r="O50" s="11">
        <v>9</v>
      </c>
      <c r="P50" s="11">
        <v>1274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1">
        <v>99</v>
      </c>
      <c r="X50" s="11">
        <v>0</v>
      </c>
    </row>
    <row r="51" spans="1:24" x14ac:dyDescent="0.2">
      <c r="A51" s="6" t="s">
        <v>177</v>
      </c>
      <c r="B51" s="11">
        <v>112</v>
      </c>
      <c r="C51" s="11">
        <v>0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56</v>
      </c>
      <c r="R51" s="11">
        <v>57</v>
      </c>
      <c r="S51" s="11">
        <v>0</v>
      </c>
      <c r="T51" s="11">
        <v>0</v>
      </c>
      <c r="U51" s="11">
        <v>0</v>
      </c>
      <c r="V51" s="11">
        <v>0</v>
      </c>
      <c r="W51" s="11">
        <v>0</v>
      </c>
      <c r="X51" s="11">
        <v>0</v>
      </c>
    </row>
    <row r="52" spans="1:24" x14ac:dyDescent="0.2">
      <c r="A52" s="6" t="s">
        <v>178</v>
      </c>
      <c r="B52" s="11">
        <v>114300</v>
      </c>
      <c r="C52" s="11">
        <v>7500</v>
      </c>
      <c r="D52" s="11">
        <v>5000</v>
      </c>
      <c r="E52" s="11">
        <v>5000</v>
      </c>
      <c r="F52" s="11">
        <v>5000</v>
      </c>
      <c r="G52" s="11">
        <v>8000</v>
      </c>
      <c r="H52" s="11">
        <v>5000</v>
      </c>
      <c r="I52" s="11">
        <v>5000</v>
      </c>
      <c r="J52" s="11">
        <v>5000</v>
      </c>
      <c r="K52" s="11">
        <v>4300</v>
      </c>
      <c r="L52" s="11">
        <v>6500</v>
      </c>
      <c r="M52" s="11">
        <v>9000</v>
      </c>
      <c r="N52" s="11">
        <v>17000</v>
      </c>
      <c r="O52" s="11">
        <v>10000</v>
      </c>
      <c r="P52" s="11">
        <v>10000</v>
      </c>
      <c r="Q52" s="11">
        <v>5000</v>
      </c>
      <c r="R52" s="11">
        <v>7000</v>
      </c>
      <c r="S52" s="11">
        <v>0</v>
      </c>
      <c r="T52" s="11">
        <v>0</v>
      </c>
      <c r="U52" s="11">
        <v>0</v>
      </c>
      <c r="V52" s="11">
        <v>0</v>
      </c>
      <c r="W52" s="11">
        <v>0</v>
      </c>
      <c r="X52" s="11">
        <v>0</v>
      </c>
    </row>
    <row r="53" spans="1:24" x14ac:dyDescent="0.2">
      <c r="A53" s="6" t="s">
        <v>179</v>
      </c>
      <c r="B53" s="11">
        <v>120780</v>
      </c>
      <c r="C53" s="11">
        <v>6182</v>
      </c>
      <c r="D53" s="11">
        <v>7682</v>
      </c>
      <c r="E53" s="11">
        <v>4582</v>
      </c>
      <c r="F53" s="11">
        <v>6182</v>
      </c>
      <c r="G53" s="11">
        <v>6182</v>
      </c>
      <c r="H53" s="11">
        <v>3682</v>
      </c>
      <c r="I53" s="11">
        <v>5082</v>
      </c>
      <c r="J53" s="11">
        <v>6750</v>
      </c>
      <c r="K53" s="11">
        <v>5000</v>
      </c>
      <c r="L53" s="11">
        <v>8500</v>
      </c>
      <c r="M53" s="11">
        <v>6600</v>
      </c>
      <c r="N53" s="11">
        <v>7050</v>
      </c>
      <c r="O53" s="11">
        <v>8800</v>
      </c>
      <c r="P53" s="11">
        <v>7500</v>
      </c>
      <c r="Q53" s="11">
        <v>15540</v>
      </c>
      <c r="R53" s="11">
        <v>5464</v>
      </c>
      <c r="S53" s="11">
        <v>2250</v>
      </c>
      <c r="T53" s="11">
        <v>2250</v>
      </c>
      <c r="U53" s="11">
        <v>2250</v>
      </c>
      <c r="V53" s="11">
        <v>500</v>
      </c>
      <c r="W53" s="11">
        <v>500</v>
      </c>
      <c r="X53" s="11">
        <v>2250</v>
      </c>
    </row>
    <row r="54" spans="1:24" x14ac:dyDescent="0.2">
      <c r="A54" s="6" t="s">
        <v>180</v>
      </c>
      <c r="B54" s="14">
        <v>1021587</v>
      </c>
      <c r="C54" s="14">
        <v>50910</v>
      </c>
      <c r="D54" s="14">
        <v>45833</v>
      </c>
      <c r="E54" s="14">
        <v>44519</v>
      </c>
      <c r="F54" s="14">
        <v>50727</v>
      </c>
      <c r="G54" s="14">
        <v>52466</v>
      </c>
      <c r="H54" s="14">
        <v>37771</v>
      </c>
      <c r="I54" s="14">
        <v>44146</v>
      </c>
      <c r="J54" s="14">
        <v>70782</v>
      </c>
      <c r="K54" s="14">
        <v>53722</v>
      </c>
      <c r="L54" s="14">
        <v>58229</v>
      </c>
      <c r="M54" s="14">
        <v>59986</v>
      </c>
      <c r="N54" s="14">
        <v>88207</v>
      </c>
      <c r="O54" s="14">
        <v>64651</v>
      </c>
      <c r="P54" s="14">
        <v>76083</v>
      </c>
      <c r="Q54" s="14">
        <v>81083</v>
      </c>
      <c r="R54" s="14">
        <v>58814</v>
      </c>
      <c r="S54" s="14">
        <v>20886</v>
      </c>
      <c r="T54" s="14">
        <v>14398</v>
      </c>
      <c r="U54" s="14">
        <v>11322</v>
      </c>
      <c r="V54" s="14">
        <v>22155</v>
      </c>
      <c r="W54" s="14">
        <v>10032</v>
      </c>
      <c r="X54" s="14">
        <v>4864</v>
      </c>
    </row>
    <row r="55" spans="1:24" x14ac:dyDescent="0.2">
      <c r="A55" s="4" t="s">
        <v>6</v>
      </c>
    </row>
    <row r="56" spans="1:24" x14ac:dyDescent="0.2">
      <c r="A56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5"/>
  <sheetViews>
    <sheetView workbookViewId="0"/>
  </sheetViews>
  <sheetFormatPr defaultColWidth="9.140625" defaultRowHeight="12.75" x14ac:dyDescent="0.2"/>
  <cols>
    <col min="1" max="1" width="32.28515625" style="3" customWidth="1"/>
    <col min="2" max="2" width="15" style="3" customWidth="1"/>
    <col min="3" max="3" width="16.140625" style="3" customWidth="1"/>
    <col min="4" max="4" width="18.85546875" style="3" customWidth="1"/>
    <col min="5" max="5" width="12.7109375" style="3" customWidth="1"/>
    <col min="6" max="6" width="26.28515625" style="3" customWidth="1"/>
    <col min="7" max="7" width="19.42578125" style="3" customWidth="1"/>
    <col min="8" max="8" width="18.7109375" style="3" customWidth="1"/>
    <col min="9" max="9" width="14.85546875" style="3" customWidth="1"/>
    <col min="10" max="10" width="15.5703125" style="3" customWidth="1"/>
    <col min="11" max="11" width="12.85546875" style="3" customWidth="1"/>
    <col min="12" max="12" width="20.7109375" style="3" customWidth="1"/>
    <col min="13" max="13" width="14.140625" style="3" customWidth="1"/>
    <col min="14" max="14" width="15.7109375" style="3" customWidth="1"/>
    <col min="15" max="15" width="20.7109375" style="3" customWidth="1"/>
    <col min="16" max="16" width="13.5703125" style="3" customWidth="1"/>
    <col min="17" max="17" width="15.5703125" style="3" customWidth="1"/>
    <col min="18" max="18" width="22.28515625" style="3" customWidth="1"/>
    <col min="19" max="19" width="17.42578125" style="3" customWidth="1"/>
    <col min="20" max="20" width="16.42578125" style="3" customWidth="1"/>
    <col min="21" max="21" width="13.5703125" style="3" customWidth="1"/>
    <col min="22" max="22" width="13.140625" style="3" customWidth="1"/>
    <col min="23" max="23" width="13.85546875" style="3" customWidth="1"/>
    <col min="24" max="24" width="14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181</v>
      </c>
    </row>
    <row r="2" spans="1:24" ht="18" x14ac:dyDescent="0.25">
      <c r="A2" s="5" t="s">
        <v>182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2" t="s">
        <v>6</v>
      </c>
      <c r="C7" s="2"/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  <c r="T7" s="7" t="s">
        <v>23</v>
      </c>
      <c r="U7" s="7" t="s">
        <v>24</v>
      </c>
      <c r="V7" s="7" t="s">
        <v>25</v>
      </c>
      <c r="W7" s="7" t="s">
        <v>26</v>
      </c>
      <c r="X7" s="7" t="s">
        <v>27</v>
      </c>
    </row>
    <row r="8" spans="1:24" x14ac:dyDescent="0.2">
      <c r="A8" s="6" t="s">
        <v>6</v>
      </c>
      <c r="B8" s="2" t="s">
        <v>29</v>
      </c>
      <c r="C8" s="2"/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1" t="s">
        <v>4</v>
      </c>
      <c r="C9" s="1"/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183</v>
      </c>
      <c r="C10" s="10" t="s">
        <v>184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185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186</v>
      </c>
      <c r="B12" s="16">
        <v>2531</v>
      </c>
      <c r="C12" s="16">
        <v>81.650000000000006</v>
      </c>
      <c r="D12" s="16">
        <v>221</v>
      </c>
      <c r="E12" s="16">
        <v>121</v>
      </c>
      <c r="F12" s="16">
        <v>51</v>
      </c>
      <c r="G12" s="16">
        <v>151</v>
      </c>
      <c r="H12" s="16">
        <v>230</v>
      </c>
      <c r="I12" s="16">
        <v>93</v>
      </c>
      <c r="J12" s="16">
        <v>73</v>
      </c>
      <c r="K12" s="16">
        <v>97</v>
      </c>
      <c r="L12" s="16">
        <v>0</v>
      </c>
      <c r="M12" s="16">
        <v>227</v>
      </c>
      <c r="N12" s="16">
        <v>292</v>
      </c>
      <c r="O12" s="16">
        <v>186</v>
      </c>
      <c r="P12" s="16">
        <v>412</v>
      </c>
      <c r="Q12" s="16">
        <v>189</v>
      </c>
      <c r="R12" s="16">
        <v>64</v>
      </c>
      <c r="S12" s="16">
        <v>124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</row>
    <row r="13" spans="1:24" x14ac:dyDescent="0.2">
      <c r="A13" s="6" t="s">
        <v>187</v>
      </c>
      <c r="B13" s="16">
        <v>6485</v>
      </c>
      <c r="C13" s="16">
        <v>209.19</v>
      </c>
      <c r="D13" s="16">
        <v>350</v>
      </c>
      <c r="E13" s="16">
        <v>414</v>
      </c>
      <c r="F13" s="16">
        <v>670</v>
      </c>
      <c r="G13" s="16">
        <v>504</v>
      </c>
      <c r="H13" s="16">
        <v>518</v>
      </c>
      <c r="I13" s="16">
        <v>238</v>
      </c>
      <c r="J13" s="16">
        <v>218</v>
      </c>
      <c r="K13" s="16">
        <v>356</v>
      </c>
      <c r="L13" s="16">
        <v>147</v>
      </c>
      <c r="M13" s="16">
        <v>90</v>
      </c>
      <c r="N13" s="16">
        <v>293</v>
      </c>
      <c r="O13" s="16">
        <v>739</v>
      </c>
      <c r="P13" s="16">
        <v>549</v>
      </c>
      <c r="Q13" s="16">
        <v>441</v>
      </c>
      <c r="R13" s="16">
        <v>661</v>
      </c>
      <c r="S13" s="16">
        <v>297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</row>
    <row r="14" spans="1:24" x14ac:dyDescent="0.2">
      <c r="A14" s="6" t="s">
        <v>188</v>
      </c>
      <c r="B14" s="16">
        <v>1452</v>
      </c>
      <c r="C14" s="16">
        <v>46.84</v>
      </c>
      <c r="D14" s="16">
        <v>20</v>
      </c>
      <c r="E14" s="16">
        <v>101</v>
      </c>
      <c r="F14" s="16">
        <v>62</v>
      </c>
      <c r="G14" s="16">
        <v>0</v>
      </c>
      <c r="H14" s="16">
        <v>64</v>
      </c>
      <c r="I14" s="16">
        <v>0</v>
      </c>
      <c r="J14" s="16">
        <v>40</v>
      </c>
      <c r="K14" s="16">
        <v>19</v>
      </c>
      <c r="L14" s="16">
        <v>-61</v>
      </c>
      <c r="M14" s="16">
        <v>79</v>
      </c>
      <c r="N14" s="16">
        <v>92</v>
      </c>
      <c r="O14" s="16">
        <v>184</v>
      </c>
      <c r="P14" s="16">
        <v>273</v>
      </c>
      <c r="Q14" s="16">
        <v>279</v>
      </c>
      <c r="R14" s="16">
        <v>148</v>
      </c>
      <c r="S14" s="16">
        <v>152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</row>
    <row r="15" spans="1:24" x14ac:dyDescent="0.2">
      <c r="A15" s="6" t="s">
        <v>189</v>
      </c>
      <c r="B15" s="16">
        <v>737</v>
      </c>
      <c r="C15" s="16">
        <v>23.77</v>
      </c>
      <c r="D15" s="16">
        <v>446</v>
      </c>
      <c r="E15" s="16">
        <v>-23</v>
      </c>
      <c r="F15" s="16">
        <v>-130</v>
      </c>
      <c r="G15" s="16">
        <v>100</v>
      </c>
      <c r="H15" s="16">
        <v>-233</v>
      </c>
      <c r="I15" s="16">
        <v>67</v>
      </c>
      <c r="J15" s="16">
        <v>93</v>
      </c>
      <c r="K15" s="16">
        <v>98</v>
      </c>
      <c r="L15" s="16">
        <v>62</v>
      </c>
      <c r="M15" s="16">
        <v>359</v>
      </c>
      <c r="N15" s="16">
        <v>338</v>
      </c>
      <c r="O15" s="16">
        <v>-176</v>
      </c>
      <c r="P15" s="16">
        <v>71</v>
      </c>
      <c r="Q15" s="16">
        <v>17</v>
      </c>
      <c r="R15" s="16">
        <v>-352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</row>
    <row r="16" spans="1:24" x14ac:dyDescent="0.2">
      <c r="A16" s="6" t="s">
        <v>190</v>
      </c>
      <c r="B16" s="16">
        <v>1467</v>
      </c>
      <c r="C16" s="16">
        <v>47.32</v>
      </c>
      <c r="D16" s="16">
        <v>242</v>
      </c>
      <c r="E16" s="16">
        <v>220</v>
      </c>
      <c r="F16" s="16">
        <v>0</v>
      </c>
      <c r="G16" s="16">
        <v>25</v>
      </c>
      <c r="H16" s="16">
        <v>128</v>
      </c>
      <c r="I16" s="16">
        <v>111</v>
      </c>
      <c r="J16" s="16">
        <v>166</v>
      </c>
      <c r="K16" s="16">
        <v>68</v>
      </c>
      <c r="L16" s="16">
        <v>0</v>
      </c>
      <c r="M16" s="16">
        <v>124</v>
      </c>
      <c r="N16" s="16">
        <v>131</v>
      </c>
      <c r="O16" s="16">
        <v>29</v>
      </c>
      <c r="P16" s="16">
        <v>32</v>
      </c>
      <c r="Q16" s="16">
        <v>31</v>
      </c>
      <c r="R16" s="16">
        <v>82</v>
      </c>
      <c r="S16" s="16">
        <v>78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</row>
    <row r="17" spans="1:24" x14ac:dyDescent="0.2">
      <c r="A17" s="6" t="s">
        <v>191</v>
      </c>
      <c r="B17" s="16">
        <v>42</v>
      </c>
      <c r="C17" s="16">
        <v>1.35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11</v>
      </c>
      <c r="N17" s="16">
        <v>0</v>
      </c>
      <c r="O17" s="16">
        <v>31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</row>
    <row r="18" spans="1:24" x14ac:dyDescent="0.2">
      <c r="A18" s="6" t="s">
        <v>192</v>
      </c>
      <c r="B18" s="16">
        <v>3685</v>
      </c>
      <c r="C18" s="16">
        <v>118.87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480</v>
      </c>
      <c r="U18" s="16">
        <v>940</v>
      </c>
      <c r="V18" s="16">
        <v>556</v>
      </c>
      <c r="W18" s="16">
        <v>795</v>
      </c>
      <c r="X18" s="16">
        <v>914</v>
      </c>
    </row>
    <row r="19" spans="1:24" x14ac:dyDescent="0.2">
      <c r="A19" s="6" t="s">
        <v>193</v>
      </c>
      <c r="B19" s="16">
        <v>10062</v>
      </c>
      <c r="C19" s="16">
        <v>324.58</v>
      </c>
      <c r="D19" s="16">
        <v>762</v>
      </c>
      <c r="E19" s="16">
        <v>382</v>
      </c>
      <c r="F19" s="16">
        <v>851</v>
      </c>
      <c r="G19" s="16">
        <v>540</v>
      </c>
      <c r="H19" s="16">
        <v>514</v>
      </c>
      <c r="I19" s="16">
        <v>498</v>
      </c>
      <c r="J19" s="16">
        <v>156</v>
      </c>
      <c r="K19" s="16">
        <v>396</v>
      </c>
      <c r="L19" s="16">
        <v>291</v>
      </c>
      <c r="M19" s="16">
        <v>508</v>
      </c>
      <c r="N19" s="16">
        <v>472</v>
      </c>
      <c r="O19" s="16">
        <v>2330</v>
      </c>
      <c r="P19" s="16">
        <v>625</v>
      </c>
      <c r="Q19" s="16">
        <v>733</v>
      </c>
      <c r="R19" s="16">
        <v>593</v>
      </c>
      <c r="S19" s="16">
        <v>411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</row>
    <row r="20" spans="1:24" x14ac:dyDescent="0.2">
      <c r="A20" s="6" t="s">
        <v>194</v>
      </c>
      <c r="B20" s="16">
        <v>2687</v>
      </c>
      <c r="C20" s="16">
        <v>86.68</v>
      </c>
      <c r="D20" s="16">
        <v>185</v>
      </c>
      <c r="E20" s="16">
        <v>128</v>
      </c>
      <c r="F20" s="16">
        <v>198</v>
      </c>
      <c r="G20" s="16">
        <v>124</v>
      </c>
      <c r="H20" s="16">
        <v>0</v>
      </c>
      <c r="I20" s="16">
        <v>31</v>
      </c>
      <c r="J20" s="16">
        <v>124</v>
      </c>
      <c r="K20" s="16">
        <v>237</v>
      </c>
      <c r="L20" s="16">
        <v>46</v>
      </c>
      <c r="M20" s="16">
        <v>31</v>
      </c>
      <c r="N20" s="16">
        <v>93</v>
      </c>
      <c r="O20" s="16">
        <v>676</v>
      </c>
      <c r="P20" s="16">
        <v>111</v>
      </c>
      <c r="Q20" s="16">
        <v>124</v>
      </c>
      <c r="R20" s="16">
        <v>207</v>
      </c>
      <c r="S20" s="16">
        <v>372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</row>
    <row r="21" spans="1:24" x14ac:dyDescent="0.2">
      <c r="A21" s="6" t="s">
        <v>195</v>
      </c>
      <c r="B21" s="16">
        <v>238</v>
      </c>
      <c r="C21" s="16">
        <v>7.68</v>
      </c>
      <c r="D21" s="16">
        <v>0</v>
      </c>
      <c r="E21" s="16">
        <v>16</v>
      </c>
      <c r="F21" s="16">
        <v>0</v>
      </c>
      <c r="G21" s="16">
        <v>58</v>
      </c>
      <c r="H21" s="16">
        <v>4</v>
      </c>
      <c r="I21" s="16">
        <v>13</v>
      </c>
      <c r="J21" s="16">
        <v>38</v>
      </c>
      <c r="K21" s="16">
        <v>17</v>
      </c>
      <c r="L21" s="16">
        <v>0</v>
      </c>
      <c r="M21" s="16">
        <v>0</v>
      </c>
      <c r="N21" s="16">
        <v>2</v>
      </c>
      <c r="O21" s="16">
        <v>0</v>
      </c>
      <c r="P21" s="16">
        <v>35</v>
      </c>
      <c r="Q21" s="16">
        <v>17</v>
      </c>
      <c r="R21" s="16">
        <v>37</v>
      </c>
      <c r="S21" s="16">
        <v>1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</row>
    <row r="22" spans="1:24" x14ac:dyDescent="0.2">
      <c r="A22" s="6" t="s">
        <v>196</v>
      </c>
      <c r="B22" s="16">
        <v>17</v>
      </c>
      <c r="C22" s="16">
        <v>0.55000000000000004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17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</row>
    <row r="23" spans="1:24" x14ac:dyDescent="0.2">
      <c r="A23" s="6" t="s">
        <v>197</v>
      </c>
      <c r="B23" s="17">
        <v>29403</v>
      </c>
      <c r="C23" s="17">
        <v>948.48</v>
      </c>
      <c r="D23" s="17">
        <v>2226</v>
      </c>
      <c r="E23" s="17">
        <v>1359</v>
      </c>
      <c r="F23" s="17">
        <v>1702</v>
      </c>
      <c r="G23" s="17">
        <v>1502</v>
      </c>
      <c r="H23" s="17">
        <v>1225</v>
      </c>
      <c r="I23" s="17">
        <v>1051</v>
      </c>
      <c r="J23" s="17">
        <v>908</v>
      </c>
      <c r="K23" s="17">
        <v>1305</v>
      </c>
      <c r="L23" s="17">
        <v>485</v>
      </c>
      <c r="M23" s="17">
        <v>1429</v>
      </c>
      <c r="N23" s="17">
        <v>1713</v>
      </c>
      <c r="O23" s="17">
        <v>3999</v>
      </c>
      <c r="P23" s="17">
        <v>2108</v>
      </c>
      <c r="Q23" s="17">
        <v>1831</v>
      </c>
      <c r="R23" s="17">
        <v>1440</v>
      </c>
      <c r="S23" s="17">
        <v>1435</v>
      </c>
      <c r="T23" s="17">
        <v>480</v>
      </c>
      <c r="U23" s="17">
        <v>940</v>
      </c>
      <c r="V23" s="17">
        <v>556</v>
      </c>
      <c r="W23" s="17">
        <v>795</v>
      </c>
      <c r="X23" s="17">
        <v>914</v>
      </c>
    </row>
    <row r="24" spans="1:24" x14ac:dyDescent="0.2">
      <c r="A24" s="4" t="s">
        <v>6</v>
      </c>
    </row>
    <row r="25" spans="1:24" x14ac:dyDescent="0.2">
      <c r="A25" s="4" t="s">
        <v>6</v>
      </c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"/>
  <sheetViews>
    <sheetView workbookViewId="0"/>
  </sheetViews>
  <sheetFormatPr defaultColWidth="9.140625" defaultRowHeight="12.75" x14ac:dyDescent="0.2"/>
  <cols>
    <col min="1" max="1" width="37.85546875" style="3" customWidth="1"/>
    <col min="2" max="2" width="14.28515625" style="3" customWidth="1"/>
    <col min="3" max="3" width="13.140625" style="3" customWidth="1"/>
    <col min="4" max="4" width="18.85546875" style="3" customWidth="1"/>
    <col min="5" max="5" width="12.7109375" style="3" customWidth="1"/>
    <col min="6" max="6" width="26.28515625" style="3" customWidth="1"/>
    <col min="7" max="7" width="19.42578125" style="3" customWidth="1"/>
    <col min="8" max="8" width="18.7109375" style="3" customWidth="1"/>
    <col min="9" max="9" width="14.85546875" style="3" customWidth="1"/>
    <col min="10" max="10" width="15.5703125" style="3" customWidth="1"/>
    <col min="11" max="11" width="12.85546875" style="3" customWidth="1"/>
    <col min="12" max="12" width="20.7109375" style="3" customWidth="1"/>
    <col min="13" max="13" width="14.140625" style="3" customWidth="1"/>
    <col min="14" max="14" width="15.7109375" style="3" customWidth="1"/>
    <col min="15" max="15" width="20.7109375" style="3" customWidth="1"/>
    <col min="16" max="16" width="13.5703125" style="3" customWidth="1"/>
    <col min="17" max="17" width="15.5703125" style="3" customWidth="1"/>
    <col min="18" max="18" width="22.28515625" style="3" customWidth="1"/>
    <col min="19" max="19" width="17.42578125" style="3" customWidth="1"/>
    <col min="20" max="20" width="16.42578125" style="3" customWidth="1"/>
    <col min="21" max="21" width="13.5703125" style="3" customWidth="1"/>
    <col min="22" max="22" width="13.140625" style="3" customWidth="1"/>
    <col min="23" max="23" width="13.85546875" style="3" customWidth="1"/>
    <col min="24" max="24" width="14" style="3" customWidth="1"/>
    <col min="25" max="25" width="9.140625" style="3" customWidth="1"/>
    <col min="26" max="16384" width="9.140625" style="3"/>
  </cols>
  <sheetData>
    <row r="1" spans="1:24" ht="18" x14ac:dyDescent="0.25">
      <c r="A1" s="5" t="s">
        <v>181</v>
      </c>
    </row>
    <row r="2" spans="1:24" ht="18" x14ac:dyDescent="0.25">
      <c r="A2" s="5" t="s">
        <v>198</v>
      </c>
    </row>
    <row r="3" spans="1:24" ht="18" x14ac:dyDescent="0.25">
      <c r="A3" s="5" t="s">
        <v>2</v>
      </c>
    </row>
    <row r="4" spans="1:24" x14ac:dyDescent="0.2">
      <c r="A4" s="6" t="s">
        <v>3</v>
      </c>
      <c r="B4" s="6" t="s">
        <v>4</v>
      </c>
    </row>
    <row r="5" spans="1:24" x14ac:dyDescent="0.2">
      <c r="A5" s="6" t="s">
        <v>5</v>
      </c>
      <c r="B5" s="6" t="s">
        <v>0</v>
      </c>
    </row>
    <row r="6" spans="1:24" x14ac:dyDescent="0.2">
      <c r="A6" s="4" t="s">
        <v>6</v>
      </c>
    </row>
    <row r="7" spans="1:24" x14ac:dyDescent="0.2">
      <c r="A7" s="6" t="s">
        <v>6</v>
      </c>
      <c r="B7" s="2" t="s">
        <v>6</v>
      </c>
      <c r="C7" s="2"/>
      <c r="D7" s="7" t="s">
        <v>7</v>
      </c>
      <c r="E7" s="7" t="s">
        <v>8</v>
      </c>
      <c r="F7" s="7" t="s">
        <v>9</v>
      </c>
      <c r="G7" s="7" t="s">
        <v>10</v>
      </c>
      <c r="H7" s="7" t="s">
        <v>11</v>
      </c>
      <c r="I7" s="7" t="s">
        <v>12</v>
      </c>
      <c r="J7" s="7" t="s">
        <v>13</v>
      </c>
      <c r="K7" s="7" t="s">
        <v>14</v>
      </c>
      <c r="L7" s="7" t="s">
        <v>15</v>
      </c>
      <c r="M7" s="7" t="s">
        <v>16</v>
      </c>
      <c r="N7" s="7" t="s">
        <v>17</v>
      </c>
      <c r="O7" s="7" t="s">
        <v>18</v>
      </c>
      <c r="P7" s="7" t="s">
        <v>19</v>
      </c>
      <c r="Q7" s="7" t="s">
        <v>20</v>
      </c>
      <c r="R7" s="7" t="s">
        <v>21</v>
      </c>
      <c r="S7" s="7" t="s">
        <v>22</v>
      </c>
      <c r="T7" s="7" t="s">
        <v>23</v>
      </c>
      <c r="U7" s="7" t="s">
        <v>24</v>
      </c>
      <c r="V7" s="7" t="s">
        <v>25</v>
      </c>
      <c r="W7" s="7" t="s">
        <v>26</v>
      </c>
      <c r="X7" s="7" t="s">
        <v>27</v>
      </c>
    </row>
    <row r="8" spans="1:24" x14ac:dyDescent="0.2">
      <c r="A8" s="6" t="s">
        <v>6</v>
      </c>
      <c r="B8" s="2" t="s">
        <v>29</v>
      </c>
      <c r="C8" s="2"/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  <c r="X8" s="7" t="s">
        <v>29</v>
      </c>
    </row>
    <row r="9" spans="1:24" x14ac:dyDescent="0.2">
      <c r="A9" s="6" t="s">
        <v>6</v>
      </c>
      <c r="B9" s="1" t="s">
        <v>4</v>
      </c>
      <c r="C9" s="1"/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  <c r="X9" s="8" t="s">
        <v>4</v>
      </c>
    </row>
    <row r="10" spans="1:24" x14ac:dyDescent="0.2">
      <c r="A10" s="9" t="s">
        <v>6</v>
      </c>
      <c r="B10" s="10" t="s">
        <v>30</v>
      </c>
      <c r="C10" s="10" t="s">
        <v>199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  <c r="X10" s="10" t="s">
        <v>30</v>
      </c>
    </row>
    <row r="11" spans="1:24" x14ac:dyDescent="0.2">
      <c r="A11" s="6" t="s">
        <v>200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</row>
    <row r="12" spans="1:24" x14ac:dyDescent="0.2">
      <c r="A12" s="6" t="s">
        <v>201</v>
      </c>
      <c r="B12" s="11">
        <v>594127</v>
      </c>
      <c r="C12" s="16">
        <v>234.74</v>
      </c>
      <c r="D12" s="11">
        <v>52010</v>
      </c>
      <c r="E12" s="11">
        <v>29291</v>
      </c>
      <c r="F12" s="11">
        <v>11475</v>
      </c>
      <c r="G12" s="11">
        <v>33010</v>
      </c>
      <c r="H12" s="11">
        <v>53550</v>
      </c>
      <c r="I12" s="11">
        <v>19995</v>
      </c>
      <c r="J12" s="11">
        <v>18590</v>
      </c>
      <c r="K12" s="11">
        <v>22050</v>
      </c>
      <c r="L12" s="11">
        <v>0</v>
      </c>
      <c r="M12" s="11">
        <v>52625</v>
      </c>
      <c r="N12" s="11">
        <v>69270</v>
      </c>
      <c r="O12" s="11">
        <v>41850</v>
      </c>
      <c r="P12" s="11">
        <v>95745</v>
      </c>
      <c r="Q12" s="11">
        <v>42142</v>
      </c>
      <c r="R12" s="11">
        <v>17650</v>
      </c>
      <c r="S12" s="11">
        <v>34875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</row>
    <row r="13" spans="1:24" x14ac:dyDescent="0.2">
      <c r="A13" s="6" t="s">
        <v>202</v>
      </c>
      <c r="B13" s="18">
        <v>2021254</v>
      </c>
      <c r="C13" s="19">
        <v>233.02</v>
      </c>
      <c r="D13" s="18">
        <v>167645</v>
      </c>
      <c r="E13" s="18">
        <v>103067</v>
      </c>
      <c r="F13" s="18">
        <v>122726</v>
      </c>
      <c r="G13" s="18">
        <v>137609</v>
      </c>
      <c r="H13" s="18">
        <v>75628</v>
      </c>
      <c r="I13" s="18">
        <v>69711</v>
      </c>
      <c r="J13" s="18">
        <v>73032</v>
      </c>
      <c r="K13" s="18">
        <v>113421</v>
      </c>
      <c r="L13" s="18">
        <v>32537</v>
      </c>
      <c r="M13" s="18">
        <v>122801</v>
      </c>
      <c r="N13" s="18">
        <v>189116</v>
      </c>
      <c r="O13" s="18">
        <v>180972</v>
      </c>
      <c r="P13" s="18">
        <v>215639</v>
      </c>
      <c r="Q13" s="18">
        <v>185080</v>
      </c>
      <c r="R13" s="18">
        <v>117976</v>
      </c>
      <c r="S13" s="18">
        <v>114293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</row>
    <row r="14" spans="1:24" x14ac:dyDescent="0.2">
      <c r="A14" s="6" t="s">
        <v>203</v>
      </c>
      <c r="B14" s="12">
        <v>885000</v>
      </c>
      <c r="C14" s="20">
        <v>603.27</v>
      </c>
      <c r="D14" s="12">
        <v>153760</v>
      </c>
      <c r="E14" s="12">
        <v>119621</v>
      </c>
      <c r="F14" s="12">
        <v>0</v>
      </c>
      <c r="G14" s="12">
        <v>11476</v>
      </c>
      <c r="H14" s="12">
        <v>71289</v>
      </c>
      <c r="I14" s="12">
        <v>62576</v>
      </c>
      <c r="J14" s="12">
        <v>99834</v>
      </c>
      <c r="K14" s="12">
        <v>38716</v>
      </c>
      <c r="L14" s="12">
        <v>0</v>
      </c>
      <c r="M14" s="12">
        <v>80563</v>
      </c>
      <c r="N14" s="12">
        <v>79417</v>
      </c>
      <c r="O14" s="12">
        <v>18482</v>
      </c>
      <c r="P14" s="12">
        <v>19995</v>
      </c>
      <c r="Q14" s="12">
        <v>24034</v>
      </c>
      <c r="R14" s="12">
        <v>50330</v>
      </c>
      <c r="S14" s="12">
        <v>54909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</row>
    <row r="15" spans="1:24" x14ac:dyDescent="0.2">
      <c r="A15" s="6" t="s">
        <v>204</v>
      </c>
      <c r="B15" s="11">
        <v>23488</v>
      </c>
      <c r="C15" s="16">
        <v>559.23</v>
      </c>
      <c r="D15" s="11">
        <v>0</v>
      </c>
      <c r="E15" s="11">
        <v>0</v>
      </c>
      <c r="F15" s="11">
        <v>0</v>
      </c>
      <c r="G15" s="11">
        <v>0</v>
      </c>
      <c r="H15" s="11">
        <v>526</v>
      </c>
      <c r="I15" s="11">
        <v>0</v>
      </c>
      <c r="J15" s="11">
        <v>0</v>
      </c>
      <c r="K15" s="11">
        <v>-58</v>
      </c>
      <c r="L15" s="11">
        <v>0</v>
      </c>
      <c r="M15" s="11">
        <v>4630</v>
      </c>
      <c r="N15" s="11">
        <v>-34</v>
      </c>
      <c r="O15" s="11">
        <v>18578</v>
      </c>
      <c r="P15" s="11">
        <v>-53</v>
      </c>
      <c r="Q15" s="11">
        <v>-102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</row>
    <row r="16" spans="1:24" x14ac:dyDescent="0.2">
      <c r="A16" s="6" t="s">
        <v>205</v>
      </c>
      <c r="B16" s="11">
        <v>99379</v>
      </c>
      <c r="C16" s="16">
        <v>0</v>
      </c>
      <c r="D16" s="11">
        <v>7096</v>
      </c>
      <c r="E16" s="11">
        <v>12444</v>
      </c>
      <c r="F16" s="11">
        <v>0</v>
      </c>
      <c r="G16" s="11">
        <v>14535</v>
      </c>
      <c r="H16" s="11">
        <v>6747</v>
      </c>
      <c r="I16" s="11">
        <v>4063</v>
      </c>
      <c r="J16" s="11">
        <v>1845</v>
      </c>
      <c r="K16" s="11">
        <v>5657</v>
      </c>
      <c r="L16" s="11">
        <v>0</v>
      </c>
      <c r="M16" s="11">
        <v>4744</v>
      </c>
      <c r="N16" s="11">
        <v>6425</v>
      </c>
      <c r="O16" s="11">
        <v>6325</v>
      </c>
      <c r="P16" s="11">
        <v>5072</v>
      </c>
      <c r="Q16" s="11">
        <v>13116</v>
      </c>
      <c r="R16" s="11">
        <v>5034</v>
      </c>
      <c r="S16" s="11">
        <v>6274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</row>
    <row r="17" spans="1:24" x14ac:dyDescent="0.2">
      <c r="A17" s="6" t="s">
        <v>206</v>
      </c>
      <c r="B17" s="11">
        <v>464617</v>
      </c>
      <c r="C17" s="16">
        <v>126.08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83803</v>
      </c>
      <c r="U17" s="11">
        <v>111488</v>
      </c>
      <c r="V17" s="11">
        <v>58870</v>
      </c>
      <c r="W17" s="11">
        <v>127206</v>
      </c>
      <c r="X17" s="11">
        <v>83249</v>
      </c>
    </row>
    <row r="18" spans="1:24" x14ac:dyDescent="0.2">
      <c r="A18" s="6" t="s">
        <v>207</v>
      </c>
      <c r="B18" s="18">
        <v>3005075</v>
      </c>
      <c r="C18" s="19">
        <v>235.71</v>
      </c>
      <c r="D18" s="18">
        <v>195484</v>
      </c>
      <c r="E18" s="18">
        <v>106847</v>
      </c>
      <c r="F18" s="18">
        <v>212193</v>
      </c>
      <c r="G18" s="18">
        <v>151279</v>
      </c>
      <c r="H18" s="18">
        <v>116473</v>
      </c>
      <c r="I18" s="18">
        <v>120909</v>
      </c>
      <c r="J18" s="18">
        <v>58210</v>
      </c>
      <c r="K18" s="18">
        <v>160621</v>
      </c>
      <c r="L18" s="18">
        <v>73758</v>
      </c>
      <c r="M18" s="18">
        <v>126045</v>
      </c>
      <c r="N18" s="18">
        <v>148448</v>
      </c>
      <c r="O18" s="18">
        <v>735992</v>
      </c>
      <c r="P18" s="18">
        <v>178529</v>
      </c>
      <c r="Q18" s="18">
        <v>211725</v>
      </c>
      <c r="R18" s="18">
        <v>209447</v>
      </c>
      <c r="S18" s="18">
        <v>199116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</row>
    <row r="19" spans="1:24" x14ac:dyDescent="0.2">
      <c r="A19" s="6" t="s">
        <v>208</v>
      </c>
      <c r="B19" s="13">
        <v>138988</v>
      </c>
      <c r="C19" s="21">
        <v>139242.85999999999</v>
      </c>
      <c r="D19" s="13">
        <v>0</v>
      </c>
      <c r="E19" s="13">
        <v>9858</v>
      </c>
      <c r="F19" s="13">
        <v>0</v>
      </c>
      <c r="G19" s="13">
        <v>22583</v>
      </c>
      <c r="H19" s="13">
        <v>121</v>
      </c>
      <c r="I19" s="13">
        <v>6324</v>
      </c>
      <c r="J19" s="13">
        <v>17122</v>
      </c>
      <c r="K19" s="13">
        <v>24452</v>
      </c>
      <c r="L19" s="13">
        <v>0</v>
      </c>
      <c r="M19" s="13">
        <v>0</v>
      </c>
      <c r="N19" s="13">
        <v>30</v>
      </c>
      <c r="O19" s="13">
        <v>0</v>
      </c>
      <c r="P19" s="13">
        <v>20628</v>
      </c>
      <c r="Q19" s="13">
        <v>12048</v>
      </c>
      <c r="R19" s="13">
        <v>25522</v>
      </c>
      <c r="S19" s="13">
        <v>300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</row>
    <row r="20" spans="1:24" x14ac:dyDescent="0.2">
      <c r="A20" s="6" t="s">
        <v>209</v>
      </c>
      <c r="B20" s="14">
        <v>7231928</v>
      </c>
      <c r="C20" s="17">
        <v>245.96</v>
      </c>
      <c r="D20" s="14">
        <v>575995</v>
      </c>
      <c r="E20" s="14">
        <v>381128</v>
      </c>
      <c r="F20" s="14">
        <v>346394</v>
      </c>
      <c r="G20" s="14">
        <v>370492</v>
      </c>
      <c r="H20" s="14">
        <v>324334</v>
      </c>
      <c r="I20" s="14">
        <v>283578</v>
      </c>
      <c r="J20" s="14">
        <v>268633</v>
      </c>
      <c r="K20" s="14">
        <v>364859</v>
      </c>
      <c r="L20" s="14">
        <v>106295</v>
      </c>
      <c r="M20" s="14">
        <v>391408</v>
      </c>
      <c r="N20" s="14">
        <v>492672</v>
      </c>
      <c r="O20" s="14">
        <v>1002199</v>
      </c>
      <c r="P20" s="14">
        <v>535555</v>
      </c>
      <c r="Q20" s="14">
        <v>488043</v>
      </c>
      <c r="R20" s="14">
        <v>425959</v>
      </c>
      <c r="S20" s="14">
        <v>409767</v>
      </c>
      <c r="T20" s="14">
        <v>83803</v>
      </c>
      <c r="U20" s="14">
        <v>111488</v>
      </c>
      <c r="V20" s="14">
        <v>58870</v>
      </c>
      <c r="W20" s="14">
        <v>127206</v>
      </c>
      <c r="X20" s="14">
        <v>83249</v>
      </c>
    </row>
    <row r="21" spans="1:24" x14ac:dyDescent="0.2">
      <c r="A21" s="4" t="s">
        <v>6</v>
      </c>
    </row>
    <row r="22" spans="1:24" x14ac:dyDescent="0.2">
      <c r="A22" s="4" t="s">
        <v>6</v>
      </c>
    </row>
  </sheetData>
  <mergeCells count="3">
    <mergeCell ref="B7:C7"/>
    <mergeCell ref="B8:C8"/>
    <mergeCell ref="B9:C9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1"/>
  <sheetViews>
    <sheetView workbookViewId="0"/>
  </sheetViews>
  <sheetFormatPr defaultColWidth="9.140625" defaultRowHeight="12.75" x14ac:dyDescent="0.2"/>
  <cols>
    <col min="1" max="1" width="48.140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9.140625" style="3" customWidth="1"/>
    <col min="20" max="16384" width="9.140625" style="3"/>
  </cols>
  <sheetData>
    <row r="1" spans="1:18" ht="18" x14ac:dyDescent="0.25">
      <c r="A1" s="5" t="s">
        <v>0</v>
      </c>
    </row>
    <row r="2" spans="1:18" ht="18" x14ac:dyDescent="0.25">
      <c r="A2" s="5" t="s">
        <v>210</v>
      </c>
    </row>
    <row r="3" spans="1:18" ht="18" x14ac:dyDescent="0.25">
      <c r="A3" s="5" t="s">
        <v>2</v>
      </c>
    </row>
    <row r="4" spans="1:18" x14ac:dyDescent="0.2">
      <c r="A4" s="6" t="s">
        <v>3</v>
      </c>
      <c r="B4" s="6" t="s">
        <v>4</v>
      </c>
    </row>
    <row r="5" spans="1:18" x14ac:dyDescent="0.2">
      <c r="A5" s="6" t="s">
        <v>5</v>
      </c>
      <c r="B5" s="6" t="s">
        <v>0</v>
      </c>
    </row>
    <row r="6" spans="1:18" x14ac:dyDescent="0.2">
      <c r="A6" s="4" t="s">
        <v>6</v>
      </c>
    </row>
    <row r="7" spans="1:18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</row>
    <row r="8" spans="1:18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</row>
    <row r="9" spans="1:18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</row>
    <row r="10" spans="1:18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</row>
    <row r="11" spans="1:18" x14ac:dyDescent="0.2">
      <c r="A11" s="6" t="s">
        <v>211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</row>
    <row r="12" spans="1:18" x14ac:dyDescent="0.2">
      <c r="A12" s="6" t="s">
        <v>212</v>
      </c>
      <c r="B12" s="11">
        <v>60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60</v>
      </c>
      <c r="R12" s="11">
        <v>0</v>
      </c>
    </row>
    <row r="13" spans="1:18" x14ac:dyDescent="0.2">
      <c r="A13" s="6" t="s">
        <v>213</v>
      </c>
      <c r="B13" s="11">
        <v>2076</v>
      </c>
      <c r="C13" s="11">
        <v>72</v>
      </c>
      <c r="D13" s="11">
        <v>0</v>
      </c>
      <c r="E13" s="11">
        <v>0</v>
      </c>
      <c r="F13" s="11">
        <v>1250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272</v>
      </c>
      <c r="O13" s="11">
        <v>296</v>
      </c>
      <c r="P13" s="11">
        <v>0</v>
      </c>
      <c r="Q13" s="11">
        <v>185</v>
      </c>
      <c r="R13" s="11">
        <v>0</v>
      </c>
    </row>
    <row r="14" spans="1:18" x14ac:dyDescent="0.2">
      <c r="A14" s="6" t="s">
        <v>214</v>
      </c>
      <c r="B14" s="11">
        <v>90018</v>
      </c>
      <c r="C14" s="11">
        <v>14570</v>
      </c>
      <c r="D14" s="11">
        <v>13020</v>
      </c>
      <c r="E14" s="11">
        <v>0</v>
      </c>
      <c r="F14" s="11">
        <v>3658</v>
      </c>
      <c r="G14" s="11">
        <v>7936</v>
      </c>
      <c r="H14" s="11">
        <v>6882</v>
      </c>
      <c r="I14" s="11">
        <v>10292</v>
      </c>
      <c r="J14" s="11">
        <v>5100</v>
      </c>
      <c r="K14" s="11">
        <v>0</v>
      </c>
      <c r="L14" s="11">
        <v>7440</v>
      </c>
      <c r="M14" s="11">
        <v>7860</v>
      </c>
      <c r="N14" s="11">
        <v>1740</v>
      </c>
      <c r="O14" s="11">
        <v>1920</v>
      </c>
      <c r="P14" s="11">
        <v>120</v>
      </c>
      <c r="Q14" s="11">
        <v>4860</v>
      </c>
      <c r="R14" s="11">
        <v>4620</v>
      </c>
    </row>
    <row r="15" spans="1:18" x14ac:dyDescent="0.2">
      <c r="A15" s="6" t="s">
        <v>215</v>
      </c>
      <c r="B15" s="11">
        <v>14700</v>
      </c>
      <c r="C15" s="11">
        <v>0</v>
      </c>
      <c r="D15" s="11">
        <v>992</v>
      </c>
      <c r="E15" s="11">
        <v>0</v>
      </c>
      <c r="F15" s="11">
        <v>1644</v>
      </c>
      <c r="G15" s="11">
        <v>248</v>
      </c>
      <c r="H15" s="11">
        <v>806</v>
      </c>
      <c r="I15" s="11">
        <v>2328</v>
      </c>
      <c r="J15" s="11">
        <v>570</v>
      </c>
      <c r="K15" s="11">
        <v>0</v>
      </c>
      <c r="L15" s="11">
        <v>660</v>
      </c>
      <c r="M15" s="11">
        <v>120</v>
      </c>
      <c r="N15" s="11">
        <v>1860</v>
      </c>
      <c r="O15" s="11">
        <v>1378</v>
      </c>
      <c r="P15" s="11">
        <v>501</v>
      </c>
      <c r="Q15" s="11">
        <v>2285</v>
      </c>
      <c r="R15" s="11">
        <v>1308</v>
      </c>
    </row>
    <row r="16" spans="1:18" x14ac:dyDescent="0.2">
      <c r="A16" s="6" t="s">
        <v>216</v>
      </c>
      <c r="B16" s="11">
        <v>84562</v>
      </c>
      <c r="C16" s="11">
        <v>6675</v>
      </c>
      <c r="D16" s="11">
        <v>10620</v>
      </c>
      <c r="E16" s="11">
        <v>0</v>
      </c>
      <c r="F16" s="11">
        <v>13112</v>
      </c>
      <c r="G16" s="11">
        <v>5775</v>
      </c>
      <c r="H16" s="11">
        <v>3485</v>
      </c>
      <c r="I16" s="11">
        <v>1686</v>
      </c>
      <c r="J16" s="11">
        <v>4994</v>
      </c>
      <c r="K16" s="11">
        <v>0</v>
      </c>
      <c r="L16" s="11">
        <v>4004</v>
      </c>
      <c r="M16" s="11">
        <v>5472</v>
      </c>
      <c r="N16" s="11">
        <v>5740</v>
      </c>
      <c r="O16" s="11">
        <v>3664</v>
      </c>
      <c r="P16" s="11">
        <v>11629</v>
      </c>
      <c r="Q16" s="11">
        <v>3830</v>
      </c>
      <c r="R16" s="11">
        <v>3878</v>
      </c>
    </row>
    <row r="17" spans="1:18" x14ac:dyDescent="0.2">
      <c r="A17" s="6" t="s">
        <v>217</v>
      </c>
      <c r="B17" s="11">
        <v>1414</v>
      </c>
      <c r="C17" s="11">
        <v>490</v>
      </c>
      <c r="D17" s="11">
        <v>0</v>
      </c>
      <c r="E17" s="11">
        <v>0</v>
      </c>
      <c r="F17" s="11">
        <v>191</v>
      </c>
      <c r="G17" s="11">
        <v>168</v>
      </c>
      <c r="H17" s="11">
        <v>0</v>
      </c>
      <c r="I17" s="11">
        <v>230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151</v>
      </c>
      <c r="P17" s="11">
        <v>183</v>
      </c>
      <c r="Q17" s="11">
        <v>0</v>
      </c>
      <c r="R17" s="11">
        <v>0</v>
      </c>
    </row>
    <row r="18" spans="1:18" x14ac:dyDescent="0.2">
      <c r="A18" s="6" t="s">
        <v>218</v>
      </c>
      <c r="B18" s="18">
        <v>123379</v>
      </c>
      <c r="C18" s="18">
        <v>15895</v>
      </c>
      <c r="D18" s="18">
        <v>14636</v>
      </c>
      <c r="E18" s="18">
        <v>2561</v>
      </c>
      <c r="F18" s="18">
        <v>419</v>
      </c>
      <c r="G18" s="18">
        <v>9304</v>
      </c>
      <c r="H18" s="18">
        <v>4608</v>
      </c>
      <c r="I18" s="18">
        <v>6447</v>
      </c>
      <c r="J18" s="18">
        <v>14673</v>
      </c>
      <c r="K18" s="18">
        <v>887</v>
      </c>
      <c r="L18" s="18">
        <v>7093</v>
      </c>
      <c r="M18" s="18">
        <v>7991</v>
      </c>
      <c r="N18" s="18">
        <v>8727</v>
      </c>
      <c r="O18" s="18">
        <v>5599</v>
      </c>
      <c r="P18" s="18">
        <v>8470</v>
      </c>
      <c r="Q18" s="18">
        <v>8497</v>
      </c>
      <c r="R18" s="18">
        <v>7573</v>
      </c>
    </row>
    <row r="19" spans="1:18" x14ac:dyDescent="0.2">
      <c r="A19" s="6" t="s">
        <v>219</v>
      </c>
      <c r="B19" s="14">
        <v>316209</v>
      </c>
      <c r="C19" s="14">
        <v>37702</v>
      </c>
      <c r="D19" s="14">
        <v>39268</v>
      </c>
      <c r="E19" s="14">
        <v>2561</v>
      </c>
      <c r="F19" s="14">
        <v>20274</v>
      </c>
      <c r="G19" s="14">
        <v>23431</v>
      </c>
      <c r="H19" s="14">
        <v>15781</v>
      </c>
      <c r="I19" s="14">
        <v>20983</v>
      </c>
      <c r="J19" s="14">
        <v>25337</v>
      </c>
      <c r="K19" s="14">
        <v>887</v>
      </c>
      <c r="L19" s="14">
        <v>19197</v>
      </c>
      <c r="M19" s="14">
        <v>21443</v>
      </c>
      <c r="N19" s="14">
        <v>18339</v>
      </c>
      <c r="O19" s="14">
        <v>13008</v>
      </c>
      <c r="P19" s="14">
        <v>20903</v>
      </c>
      <c r="Q19" s="14">
        <v>19717</v>
      </c>
      <c r="R19" s="14">
        <v>17379</v>
      </c>
    </row>
    <row r="20" spans="1:18" x14ac:dyDescent="0.2">
      <c r="A20" s="4" t="s">
        <v>6</v>
      </c>
    </row>
    <row r="21" spans="1:18" x14ac:dyDescent="0.2">
      <c r="A21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51"/>
  <sheetViews>
    <sheetView workbookViewId="0"/>
  </sheetViews>
  <sheetFormatPr defaultColWidth="9.140625" defaultRowHeight="12.75" x14ac:dyDescent="0.2"/>
  <cols>
    <col min="1" max="1" width="48.140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9.140625" style="3" customWidth="1"/>
    <col min="20" max="16384" width="9.140625" style="3"/>
  </cols>
  <sheetData>
    <row r="1" spans="1:18" ht="18" x14ac:dyDescent="0.25">
      <c r="A1" s="5" t="s">
        <v>0</v>
      </c>
    </row>
    <row r="2" spans="1:18" ht="18" x14ac:dyDescent="0.25">
      <c r="A2" s="5" t="s">
        <v>220</v>
      </c>
    </row>
    <row r="3" spans="1:18" ht="18" x14ac:dyDescent="0.25">
      <c r="A3" s="5" t="s">
        <v>2</v>
      </c>
    </row>
    <row r="4" spans="1:18" x14ac:dyDescent="0.2">
      <c r="A4" s="6" t="s">
        <v>3</v>
      </c>
      <c r="B4" s="6" t="s">
        <v>4</v>
      </c>
    </row>
    <row r="5" spans="1:18" x14ac:dyDescent="0.2">
      <c r="A5" s="6" t="s">
        <v>5</v>
      </c>
      <c r="B5" s="6" t="s">
        <v>0</v>
      </c>
    </row>
    <row r="6" spans="1:18" x14ac:dyDescent="0.2">
      <c r="A6" s="4" t="s">
        <v>6</v>
      </c>
    </row>
    <row r="7" spans="1:18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</row>
    <row r="8" spans="1:18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</row>
    <row r="9" spans="1:18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</row>
    <row r="10" spans="1:18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</row>
    <row r="11" spans="1:18" x14ac:dyDescent="0.2">
      <c r="A11" s="6" t="s">
        <v>211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</row>
    <row r="12" spans="1:18" x14ac:dyDescent="0.2">
      <c r="A12" s="6" t="s">
        <v>212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</row>
    <row r="13" spans="1:18" x14ac:dyDescent="0.2">
      <c r="A13" s="6" t="s">
        <v>221</v>
      </c>
      <c r="B13" s="11">
        <v>60</v>
      </c>
      <c r="C13" s="11">
        <v>0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60</v>
      </c>
      <c r="R13" s="11">
        <v>0</v>
      </c>
    </row>
    <row r="14" spans="1:18" x14ac:dyDescent="0.2">
      <c r="A14" s="6" t="s">
        <v>222</v>
      </c>
      <c r="B14" s="13">
        <v>60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60</v>
      </c>
      <c r="R14" s="13">
        <v>0</v>
      </c>
    </row>
    <row r="15" spans="1:18" x14ac:dyDescent="0.2">
      <c r="A15" s="6" t="s">
        <v>213</v>
      </c>
      <c r="B15" s="15" t="s">
        <v>70</v>
      </c>
      <c r="C15" s="15" t="s">
        <v>70</v>
      </c>
      <c r="D15" s="15" t="s">
        <v>70</v>
      </c>
      <c r="E15" s="15" t="s">
        <v>70</v>
      </c>
      <c r="F15" s="15" t="s">
        <v>70</v>
      </c>
      <c r="G15" s="15" t="s">
        <v>70</v>
      </c>
      <c r="H15" s="15" t="s">
        <v>70</v>
      </c>
      <c r="I15" s="15" t="s">
        <v>70</v>
      </c>
      <c r="J15" s="15" t="s">
        <v>70</v>
      </c>
      <c r="K15" s="15" t="s">
        <v>70</v>
      </c>
      <c r="L15" s="15" t="s">
        <v>70</v>
      </c>
      <c r="M15" s="15" t="s">
        <v>70</v>
      </c>
      <c r="N15" s="15" t="s">
        <v>70</v>
      </c>
      <c r="O15" s="15" t="s">
        <v>70</v>
      </c>
      <c r="P15" s="15" t="s">
        <v>70</v>
      </c>
      <c r="Q15" s="15" t="s">
        <v>70</v>
      </c>
      <c r="R15" s="15" t="s">
        <v>70</v>
      </c>
    </row>
    <row r="16" spans="1:18" x14ac:dyDescent="0.2">
      <c r="A16" s="6" t="s">
        <v>223</v>
      </c>
      <c r="B16" s="11">
        <v>1226</v>
      </c>
      <c r="C16" s="11">
        <v>72</v>
      </c>
      <c r="D16" s="11">
        <v>0</v>
      </c>
      <c r="E16" s="11">
        <v>0</v>
      </c>
      <c r="F16" s="11">
        <v>599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0</v>
      </c>
      <c r="M16" s="11">
        <v>0</v>
      </c>
      <c r="N16" s="11">
        <v>218</v>
      </c>
      <c r="O16" s="11">
        <v>152</v>
      </c>
      <c r="P16" s="11">
        <v>0</v>
      </c>
      <c r="Q16" s="11">
        <v>185</v>
      </c>
      <c r="R16" s="11">
        <v>0</v>
      </c>
    </row>
    <row r="17" spans="1:18" x14ac:dyDescent="0.2">
      <c r="A17" s="6" t="s">
        <v>224</v>
      </c>
      <c r="B17" s="11">
        <v>647</v>
      </c>
      <c r="C17" s="11">
        <v>0</v>
      </c>
      <c r="D17" s="11">
        <v>0</v>
      </c>
      <c r="E17" s="11">
        <v>0</v>
      </c>
      <c r="F17" s="11">
        <v>503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144</v>
      </c>
      <c r="P17" s="11">
        <v>0</v>
      </c>
      <c r="Q17" s="11">
        <v>0</v>
      </c>
      <c r="R17" s="11">
        <v>0</v>
      </c>
    </row>
    <row r="18" spans="1:18" x14ac:dyDescent="0.2">
      <c r="A18" s="6" t="s">
        <v>221</v>
      </c>
      <c r="B18" s="11">
        <v>203</v>
      </c>
      <c r="C18" s="11">
        <v>0</v>
      </c>
      <c r="D18" s="11">
        <v>0</v>
      </c>
      <c r="E18" s="11">
        <v>0</v>
      </c>
      <c r="F18" s="11">
        <v>148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54</v>
      </c>
      <c r="O18" s="11">
        <v>0</v>
      </c>
      <c r="P18" s="11">
        <v>0</v>
      </c>
      <c r="Q18" s="11">
        <v>0</v>
      </c>
      <c r="R18" s="11">
        <v>0</v>
      </c>
    </row>
    <row r="19" spans="1:18" x14ac:dyDescent="0.2">
      <c r="A19" s="6" t="s">
        <v>225</v>
      </c>
      <c r="B19" s="13">
        <v>2076</v>
      </c>
      <c r="C19" s="13">
        <v>72</v>
      </c>
      <c r="D19" s="13">
        <v>0</v>
      </c>
      <c r="E19" s="13">
        <v>0</v>
      </c>
      <c r="F19" s="13">
        <v>1250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272</v>
      </c>
      <c r="O19" s="13">
        <v>296</v>
      </c>
      <c r="P19" s="13">
        <v>0</v>
      </c>
      <c r="Q19" s="13">
        <v>185</v>
      </c>
      <c r="R19" s="13">
        <v>0</v>
      </c>
    </row>
    <row r="20" spans="1:18" x14ac:dyDescent="0.2">
      <c r="A20" s="6" t="s">
        <v>214</v>
      </c>
      <c r="B20" s="15" t="s">
        <v>70</v>
      </c>
      <c r="C20" s="15" t="s">
        <v>70</v>
      </c>
      <c r="D20" s="15" t="s">
        <v>70</v>
      </c>
      <c r="E20" s="15" t="s">
        <v>70</v>
      </c>
      <c r="F20" s="15" t="s">
        <v>70</v>
      </c>
      <c r="G20" s="15" t="s">
        <v>70</v>
      </c>
      <c r="H20" s="15" t="s">
        <v>70</v>
      </c>
      <c r="I20" s="15" t="s">
        <v>70</v>
      </c>
      <c r="J20" s="15" t="s">
        <v>70</v>
      </c>
      <c r="K20" s="15" t="s">
        <v>70</v>
      </c>
      <c r="L20" s="15" t="s">
        <v>70</v>
      </c>
      <c r="M20" s="15" t="s">
        <v>70</v>
      </c>
      <c r="N20" s="15" t="s">
        <v>70</v>
      </c>
      <c r="O20" s="15" t="s">
        <v>70</v>
      </c>
      <c r="P20" s="15" t="s">
        <v>70</v>
      </c>
      <c r="Q20" s="15" t="s">
        <v>70</v>
      </c>
      <c r="R20" s="15" t="s">
        <v>70</v>
      </c>
    </row>
    <row r="21" spans="1:18" x14ac:dyDescent="0.2">
      <c r="A21" s="6" t="s">
        <v>223</v>
      </c>
      <c r="B21" s="11">
        <v>43225</v>
      </c>
      <c r="C21" s="11">
        <v>8400</v>
      </c>
      <c r="D21" s="11">
        <v>6125</v>
      </c>
      <c r="E21" s="11">
        <v>0</v>
      </c>
      <c r="F21" s="11">
        <v>2221</v>
      </c>
      <c r="G21" s="11">
        <v>3573</v>
      </c>
      <c r="H21" s="11">
        <v>3571</v>
      </c>
      <c r="I21" s="11">
        <v>5223</v>
      </c>
      <c r="J21" s="11">
        <v>1602</v>
      </c>
      <c r="K21" s="11">
        <v>0</v>
      </c>
      <c r="L21" s="11">
        <v>4328</v>
      </c>
      <c r="M21" s="11">
        <v>2988</v>
      </c>
      <c r="N21" s="11">
        <v>870</v>
      </c>
      <c r="O21" s="11">
        <v>881</v>
      </c>
      <c r="P21" s="11">
        <v>61</v>
      </c>
      <c r="Q21" s="11">
        <v>1728</v>
      </c>
      <c r="R21" s="11">
        <v>1654</v>
      </c>
    </row>
    <row r="22" spans="1:18" x14ac:dyDescent="0.2">
      <c r="A22" s="6" t="s">
        <v>224</v>
      </c>
      <c r="B22" s="11">
        <v>41279</v>
      </c>
      <c r="C22" s="11">
        <v>5251</v>
      </c>
      <c r="D22" s="11">
        <v>6265</v>
      </c>
      <c r="E22" s="11">
        <v>0</v>
      </c>
      <c r="F22" s="11">
        <v>1185</v>
      </c>
      <c r="G22" s="11">
        <v>2512</v>
      </c>
      <c r="H22" s="11">
        <v>3311</v>
      </c>
      <c r="I22" s="11">
        <v>5069</v>
      </c>
      <c r="J22" s="11">
        <v>2966</v>
      </c>
      <c r="K22" s="11">
        <v>0</v>
      </c>
      <c r="L22" s="11">
        <v>2829</v>
      </c>
      <c r="M22" s="11">
        <v>4731</v>
      </c>
      <c r="N22" s="11">
        <v>870</v>
      </c>
      <c r="O22" s="11">
        <v>1039</v>
      </c>
      <c r="P22" s="11">
        <v>59</v>
      </c>
      <c r="Q22" s="11">
        <v>2386</v>
      </c>
      <c r="R22" s="11">
        <v>2807</v>
      </c>
    </row>
    <row r="23" spans="1:18" x14ac:dyDescent="0.2">
      <c r="A23" s="6" t="s">
        <v>221</v>
      </c>
      <c r="B23" s="11">
        <v>5514</v>
      </c>
      <c r="C23" s="11">
        <v>919</v>
      </c>
      <c r="D23" s="11">
        <v>630</v>
      </c>
      <c r="E23" s="11">
        <v>0</v>
      </c>
      <c r="F23" s="11">
        <v>252</v>
      </c>
      <c r="G23" s="11">
        <v>1851</v>
      </c>
      <c r="H23" s="11">
        <v>0</v>
      </c>
      <c r="I23" s="11">
        <v>0</v>
      </c>
      <c r="J23" s="11">
        <v>532</v>
      </c>
      <c r="K23" s="11">
        <v>0</v>
      </c>
      <c r="L23" s="11">
        <v>283</v>
      </c>
      <c r="M23" s="11">
        <v>141</v>
      </c>
      <c r="N23" s="11">
        <v>0</v>
      </c>
      <c r="O23" s="11">
        <v>0</v>
      </c>
      <c r="P23" s="11">
        <v>0</v>
      </c>
      <c r="Q23" s="11">
        <v>746</v>
      </c>
      <c r="R23" s="11">
        <v>159</v>
      </c>
    </row>
    <row r="24" spans="1:18" x14ac:dyDescent="0.2">
      <c r="A24" s="6" t="s">
        <v>226</v>
      </c>
      <c r="B24" s="13">
        <v>90018</v>
      </c>
      <c r="C24" s="13">
        <v>14570</v>
      </c>
      <c r="D24" s="13">
        <v>13020</v>
      </c>
      <c r="E24" s="13">
        <v>0</v>
      </c>
      <c r="F24" s="13">
        <v>3658</v>
      </c>
      <c r="G24" s="13">
        <v>7936</v>
      </c>
      <c r="H24" s="13">
        <v>6882</v>
      </c>
      <c r="I24" s="13">
        <v>10292</v>
      </c>
      <c r="J24" s="13">
        <v>5100</v>
      </c>
      <c r="K24" s="13">
        <v>0</v>
      </c>
      <c r="L24" s="13">
        <v>7440</v>
      </c>
      <c r="M24" s="13">
        <v>7860</v>
      </c>
      <c r="N24" s="13">
        <v>1740</v>
      </c>
      <c r="O24" s="13">
        <v>1920</v>
      </c>
      <c r="P24" s="13">
        <v>120</v>
      </c>
      <c r="Q24" s="13">
        <v>4860</v>
      </c>
      <c r="R24" s="13">
        <v>4620</v>
      </c>
    </row>
    <row r="25" spans="1:18" x14ac:dyDescent="0.2">
      <c r="A25" s="6" t="s">
        <v>215</v>
      </c>
      <c r="B25" s="15" t="s">
        <v>70</v>
      </c>
      <c r="C25" s="15" t="s">
        <v>70</v>
      </c>
      <c r="D25" s="15" t="s">
        <v>70</v>
      </c>
      <c r="E25" s="15" t="s">
        <v>70</v>
      </c>
      <c r="F25" s="15" t="s">
        <v>70</v>
      </c>
      <c r="G25" s="15" t="s">
        <v>70</v>
      </c>
      <c r="H25" s="15" t="s">
        <v>70</v>
      </c>
      <c r="I25" s="15" t="s">
        <v>70</v>
      </c>
      <c r="J25" s="15" t="s">
        <v>70</v>
      </c>
      <c r="K25" s="15" t="s">
        <v>70</v>
      </c>
      <c r="L25" s="15" t="s">
        <v>70</v>
      </c>
      <c r="M25" s="15" t="s">
        <v>70</v>
      </c>
      <c r="N25" s="15" t="s">
        <v>70</v>
      </c>
      <c r="O25" s="15" t="s">
        <v>70</v>
      </c>
      <c r="P25" s="15" t="s">
        <v>70</v>
      </c>
      <c r="Q25" s="15" t="s">
        <v>70</v>
      </c>
      <c r="R25" s="15" t="s">
        <v>70</v>
      </c>
    </row>
    <row r="26" spans="1:18" x14ac:dyDescent="0.2">
      <c r="A26" s="6" t="s">
        <v>223</v>
      </c>
      <c r="B26" s="11">
        <v>6037</v>
      </c>
      <c r="C26" s="11">
        <v>0</v>
      </c>
      <c r="D26" s="11">
        <v>495</v>
      </c>
      <c r="E26" s="11">
        <v>0</v>
      </c>
      <c r="F26" s="11">
        <v>885</v>
      </c>
      <c r="G26" s="11">
        <v>0</v>
      </c>
      <c r="H26" s="11">
        <v>420</v>
      </c>
      <c r="I26" s="11">
        <v>1130</v>
      </c>
      <c r="J26" s="11">
        <v>200</v>
      </c>
      <c r="K26" s="11">
        <v>0</v>
      </c>
      <c r="L26" s="11">
        <v>373</v>
      </c>
      <c r="M26" s="11">
        <v>0</v>
      </c>
      <c r="N26" s="11">
        <v>930</v>
      </c>
      <c r="O26" s="11">
        <v>440</v>
      </c>
      <c r="P26" s="11">
        <v>149</v>
      </c>
      <c r="Q26" s="11">
        <v>955</v>
      </c>
      <c r="R26" s="11">
        <v>60</v>
      </c>
    </row>
    <row r="27" spans="1:18" x14ac:dyDescent="0.2">
      <c r="A27" s="6" t="s">
        <v>224</v>
      </c>
      <c r="B27" s="11">
        <v>7979</v>
      </c>
      <c r="C27" s="11">
        <v>0</v>
      </c>
      <c r="D27" s="11">
        <v>497</v>
      </c>
      <c r="E27" s="11">
        <v>0</v>
      </c>
      <c r="F27" s="11">
        <v>569</v>
      </c>
      <c r="G27" s="11">
        <v>160</v>
      </c>
      <c r="H27" s="11">
        <v>386</v>
      </c>
      <c r="I27" s="11">
        <v>1198</v>
      </c>
      <c r="J27" s="11">
        <v>280</v>
      </c>
      <c r="K27" s="11">
        <v>0</v>
      </c>
      <c r="L27" s="11">
        <v>287</v>
      </c>
      <c r="M27" s="11">
        <v>120</v>
      </c>
      <c r="N27" s="11">
        <v>930</v>
      </c>
      <c r="O27" s="11">
        <v>938</v>
      </c>
      <c r="P27" s="11">
        <v>352</v>
      </c>
      <c r="Q27" s="11">
        <v>1330</v>
      </c>
      <c r="R27" s="11">
        <v>933</v>
      </c>
    </row>
    <row r="28" spans="1:18" x14ac:dyDescent="0.2">
      <c r="A28" s="6" t="s">
        <v>221</v>
      </c>
      <c r="B28" s="11">
        <v>684</v>
      </c>
      <c r="C28" s="11">
        <v>0</v>
      </c>
      <c r="D28" s="11">
        <v>0</v>
      </c>
      <c r="E28" s="11">
        <v>0</v>
      </c>
      <c r="F28" s="11">
        <v>190</v>
      </c>
      <c r="G28" s="11">
        <v>88</v>
      </c>
      <c r="H28" s="11">
        <v>0</v>
      </c>
      <c r="I28" s="11">
        <v>0</v>
      </c>
      <c r="J28" s="11">
        <v>90</v>
      </c>
      <c r="K28" s="11">
        <v>0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315</v>
      </c>
    </row>
    <row r="29" spans="1:18" x14ac:dyDescent="0.2">
      <c r="A29" s="6" t="s">
        <v>227</v>
      </c>
      <c r="B29" s="13">
        <v>14700</v>
      </c>
      <c r="C29" s="13">
        <v>0</v>
      </c>
      <c r="D29" s="13">
        <v>992</v>
      </c>
      <c r="E29" s="13">
        <v>0</v>
      </c>
      <c r="F29" s="13">
        <v>1644</v>
      </c>
      <c r="G29" s="13">
        <v>248</v>
      </c>
      <c r="H29" s="13">
        <v>806</v>
      </c>
      <c r="I29" s="13">
        <v>2328</v>
      </c>
      <c r="J29" s="13">
        <v>570</v>
      </c>
      <c r="K29" s="13">
        <v>0</v>
      </c>
      <c r="L29" s="13">
        <v>660</v>
      </c>
      <c r="M29" s="13">
        <v>120</v>
      </c>
      <c r="N29" s="13">
        <v>1860</v>
      </c>
      <c r="O29" s="13">
        <v>1378</v>
      </c>
      <c r="P29" s="13">
        <v>501</v>
      </c>
      <c r="Q29" s="13">
        <v>2285</v>
      </c>
      <c r="R29" s="13">
        <v>1308</v>
      </c>
    </row>
    <row r="30" spans="1:18" x14ac:dyDescent="0.2">
      <c r="A30" s="6" t="s">
        <v>216</v>
      </c>
      <c r="B30" s="15" t="s">
        <v>70</v>
      </c>
      <c r="C30" s="15" t="s">
        <v>70</v>
      </c>
      <c r="D30" s="15" t="s">
        <v>70</v>
      </c>
      <c r="E30" s="15" t="s">
        <v>70</v>
      </c>
      <c r="F30" s="15" t="s">
        <v>70</v>
      </c>
      <c r="G30" s="15" t="s">
        <v>70</v>
      </c>
      <c r="H30" s="15" t="s">
        <v>70</v>
      </c>
      <c r="I30" s="15" t="s">
        <v>70</v>
      </c>
      <c r="J30" s="15" t="s">
        <v>70</v>
      </c>
      <c r="K30" s="15" t="s">
        <v>70</v>
      </c>
      <c r="L30" s="15" t="s">
        <v>70</v>
      </c>
      <c r="M30" s="15" t="s">
        <v>70</v>
      </c>
      <c r="N30" s="15" t="s">
        <v>70</v>
      </c>
      <c r="O30" s="15" t="s">
        <v>70</v>
      </c>
      <c r="P30" s="15" t="s">
        <v>70</v>
      </c>
      <c r="Q30" s="15" t="s">
        <v>70</v>
      </c>
      <c r="R30" s="15" t="s">
        <v>70</v>
      </c>
    </row>
    <row r="31" spans="1:18" x14ac:dyDescent="0.2">
      <c r="A31" s="6" t="s">
        <v>223</v>
      </c>
      <c r="B31" s="11">
        <v>37485</v>
      </c>
      <c r="C31" s="11">
        <v>3820</v>
      </c>
      <c r="D31" s="11">
        <v>4290</v>
      </c>
      <c r="E31" s="11">
        <v>0</v>
      </c>
      <c r="F31" s="11">
        <v>6499</v>
      </c>
      <c r="G31" s="11">
        <v>3130</v>
      </c>
      <c r="H31" s="11">
        <v>2363</v>
      </c>
      <c r="I31" s="11">
        <v>677</v>
      </c>
      <c r="J31" s="11">
        <v>1834</v>
      </c>
      <c r="K31" s="11">
        <v>0</v>
      </c>
      <c r="L31" s="11">
        <v>2427</v>
      </c>
      <c r="M31" s="11">
        <v>2401</v>
      </c>
      <c r="N31" s="11">
        <v>2331</v>
      </c>
      <c r="O31" s="11">
        <v>2520</v>
      </c>
      <c r="P31" s="11">
        <v>2403</v>
      </c>
      <c r="Q31" s="11">
        <v>2067</v>
      </c>
      <c r="R31" s="11">
        <v>724</v>
      </c>
    </row>
    <row r="32" spans="1:18" x14ac:dyDescent="0.2">
      <c r="A32" s="6" t="s">
        <v>224</v>
      </c>
      <c r="B32" s="11">
        <v>39099</v>
      </c>
      <c r="C32" s="11">
        <v>2855</v>
      </c>
      <c r="D32" s="11">
        <v>5929</v>
      </c>
      <c r="E32" s="11">
        <v>0</v>
      </c>
      <c r="F32" s="11">
        <v>5483</v>
      </c>
      <c r="G32" s="11">
        <v>1450</v>
      </c>
      <c r="H32" s="11">
        <v>856</v>
      </c>
      <c r="I32" s="11">
        <v>1009</v>
      </c>
      <c r="J32" s="11">
        <v>2777</v>
      </c>
      <c r="K32" s="11">
        <v>0</v>
      </c>
      <c r="L32" s="11">
        <v>1577</v>
      </c>
      <c r="M32" s="11">
        <v>2618</v>
      </c>
      <c r="N32" s="11">
        <v>1679</v>
      </c>
      <c r="O32" s="11">
        <v>983</v>
      </c>
      <c r="P32" s="11">
        <v>8083</v>
      </c>
      <c r="Q32" s="11">
        <v>1263</v>
      </c>
      <c r="R32" s="11">
        <v>2536</v>
      </c>
    </row>
    <row r="33" spans="1:18" x14ac:dyDescent="0.2">
      <c r="A33" s="6" t="s">
        <v>221</v>
      </c>
      <c r="B33" s="11">
        <v>7978</v>
      </c>
      <c r="C33" s="11">
        <v>0</v>
      </c>
      <c r="D33" s="11">
        <v>401</v>
      </c>
      <c r="E33" s="11">
        <v>0</v>
      </c>
      <c r="F33" s="11">
        <v>1130</v>
      </c>
      <c r="G33" s="11">
        <v>1195</v>
      </c>
      <c r="H33" s="11">
        <v>266</v>
      </c>
      <c r="I33" s="11">
        <v>0</v>
      </c>
      <c r="J33" s="11">
        <v>383</v>
      </c>
      <c r="K33" s="11">
        <v>0</v>
      </c>
      <c r="L33" s="11">
        <v>0</v>
      </c>
      <c r="M33" s="11">
        <v>453</v>
      </c>
      <c r="N33" s="11">
        <v>1730</v>
      </c>
      <c r="O33" s="11">
        <v>161</v>
      </c>
      <c r="P33" s="11">
        <v>1143</v>
      </c>
      <c r="Q33" s="11">
        <v>500</v>
      </c>
      <c r="R33" s="11">
        <v>618</v>
      </c>
    </row>
    <row r="34" spans="1:18" x14ac:dyDescent="0.2">
      <c r="A34" s="6" t="s">
        <v>228</v>
      </c>
      <c r="B34" s="13">
        <v>84562</v>
      </c>
      <c r="C34" s="13">
        <v>6675</v>
      </c>
      <c r="D34" s="13">
        <v>10620</v>
      </c>
      <c r="E34" s="13">
        <v>0</v>
      </c>
      <c r="F34" s="13">
        <v>13112</v>
      </c>
      <c r="G34" s="13">
        <v>5775</v>
      </c>
      <c r="H34" s="13">
        <v>3485</v>
      </c>
      <c r="I34" s="13">
        <v>1686</v>
      </c>
      <c r="J34" s="13">
        <v>4994</v>
      </c>
      <c r="K34" s="13">
        <v>0</v>
      </c>
      <c r="L34" s="13">
        <v>4004</v>
      </c>
      <c r="M34" s="13">
        <v>5472</v>
      </c>
      <c r="N34" s="13">
        <v>5740</v>
      </c>
      <c r="O34" s="13">
        <v>3664</v>
      </c>
      <c r="P34" s="13">
        <v>11629</v>
      </c>
      <c r="Q34" s="13">
        <v>3830</v>
      </c>
      <c r="R34" s="13">
        <v>3878</v>
      </c>
    </row>
    <row r="35" spans="1:18" x14ac:dyDescent="0.2">
      <c r="A35" s="6" t="s">
        <v>217</v>
      </c>
      <c r="B35" s="15" t="s">
        <v>70</v>
      </c>
      <c r="C35" s="15" t="s">
        <v>70</v>
      </c>
      <c r="D35" s="15" t="s">
        <v>70</v>
      </c>
      <c r="E35" s="15" t="s">
        <v>70</v>
      </c>
      <c r="F35" s="15" t="s">
        <v>70</v>
      </c>
      <c r="G35" s="15" t="s">
        <v>70</v>
      </c>
      <c r="H35" s="15" t="s">
        <v>70</v>
      </c>
      <c r="I35" s="15" t="s">
        <v>70</v>
      </c>
      <c r="J35" s="15" t="s">
        <v>70</v>
      </c>
      <c r="K35" s="15" t="s">
        <v>70</v>
      </c>
      <c r="L35" s="15" t="s">
        <v>70</v>
      </c>
      <c r="M35" s="15" t="s">
        <v>70</v>
      </c>
      <c r="N35" s="15" t="s">
        <v>70</v>
      </c>
      <c r="O35" s="15" t="s">
        <v>70</v>
      </c>
      <c r="P35" s="15" t="s">
        <v>70</v>
      </c>
      <c r="Q35" s="15" t="s">
        <v>70</v>
      </c>
      <c r="R35" s="15" t="s">
        <v>70</v>
      </c>
    </row>
    <row r="36" spans="1:18" x14ac:dyDescent="0.2">
      <c r="A36" s="6" t="s">
        <v>223</v>
      </c>
      <c r="B36" s="11">
        <v>1025</v>
      </c>
      <c r="C36" s="11">
        <v>446</v>
      </c>
      <c r="D36" s="11">
        <v>0</v>
      </c>
      <c r="E36" s="11">
        <v>0</v>
      </c>
      <c r="F36" s="11">
        <v>80</v>
      </c>
      <c r="G36" s="11">
        <v>168</v>
      </c>
      <c r="H36" s="11">
        <v>0</v>
      </c>
      <c r="I36" s="11">
        <v>119</v>
      </c>
      <c r="J36" s="11">
        <v>0</v>
      </c>
      <c r="K36" s="11">
        <v>0</v>
      </c>
      <c r="L36" s="11">
        <v>0</v>
      </c>
      <c r="M36" s="11">
        <v>0</v>
      </c>
      <c r="N36" s="11">
        <v>0</v>
      </c>
      <c r="O36" s="11">
        <v>151</v>
      </c>
      <c r="P36" s="11">
        <v>63</v>
      </c>
      <c r="Q36" s="11">
        <v>0</v>
      </c>
      <c r="R36" s="11">
        <v>0</v>
      </c>
    </row>
    <row r="37" spans="1:18" x14ac:dyDescent="0.2">
      <c r="A37" s="6" t="s">
        <v>224</v>
      </c>
      <c r="B37" s="11">
        <v>389</v>
      </c>
      <c r="C37" s="11">
        <v>44</v>
      </c>
      <c r="D37" s="11">
        <v>0</v>
      </c>
      <c r="E37" s="11">
        <v>0</v>
      </c>
      <c r="F37" s="11">
        <v>111</v>
      </c>
      <c r="G37" s="11">
        <v>0</v>
      </c>
      <c r="H37" s="11">
        <v>0</v>
      </c>
      <c r="I37" s="11">
        <v>111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120</v>
      </c>
      <c r="Q37" s="11">
        <v>0</v>
      </c>
      <c r="R37" s="11">
        <v>0</v>
      </c>
    </row>
    <row r="38" spans="1:18" x14ac:dyDescent="0.2">
      <c r="A38" s="6" t="s">
        <v>229</v>
      </c>
      <c r="B38" s="13">
        <v>1414</v>
      </c>
      <c r="C38" s="13">
        <v>490</v>
      </c>
      <c r="D38" s="13">
        <v>0</v>
      </c>
      <c r="E38" s="13">
        <v>0</v>
      </c>
      <c r="F38" s="13">
        <v>191</v>
      </c>
      <c r="G38" s="13">
        <v>168</v>
      </c>
      <c r="H38" s="13">
        <v>0</v>
      </c>
      <c r="I38" s="13">
        <v>230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151</v>
      </c>
      <c r="P38" s="13">
        <v>183</v>
      </c>
      <c r="Q38" s="13">
        <v>0</v>
      </c>
      <c r="R38" s="13">
        <v>0</v>
      </c>
    </row>
    <row r="39" spans="1:18" x14ac:dyDescent="0.2">
      <c r="A39" s="6" t="s">
        <v>218</v>
      </c>
      <c r="B39" s="15" t="s">
        <v>70</v>
      </c>
      <c r="C39" s="15" t="s">
        <v>70</v>
      </c>
      <c r="D39" s="15" t="s">
        <v>70</v>
      </c>
      <c r="E39" s="15" t="s">
        <v>70</v>
      </c>
      <c r="F39" s="15" t="s">
        <v>70</v>
      </c>
      <c r="G39" s="15" t="s">
        <v>70</v>
      </c>
      <c r="H39" s="15" t="s">
        <v>70</v>
      </c>
      <c r="I39" s="15" t="s">
        <v>70</v>
      </c>
      <c r="J39" s="15" t="s">
        <v>70</v>
      </c>
      <c r="K39" s="15" t="s">
        <v>70</v>
      </c>
      <c r="L39" s="15" t="s">
        <v>70</v>
      </c>
      <c r="M39" s="15" t="s">
        <v>70</v>
      </c>
      <c r="N39" s="15" t="s">
        <v>70</v>
      </c>
      <c r="O39" s="15" t="s">
        <v>70</v>
      </c>
      <c r="P39" s="15" t="s">
        <v>70</v>
      </c>
      <c r="Q39" s="15" t="s">
        <v>70</v>
      </c>
      <c r="R39" s="15" t="s">
        <v>70</v>
      </c>
    </row>
    <row r="40" spans="1:18" x14ac:dyDescent="0.2">
      <c r="A40" s="6" t="s">
        <v>230</v>
      </c>
      <c r="B40" s="11">
        <v>12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12</v>
      </c>
      <c r="R40" s="11">
        <v>0</v>
      </c>
    </row>
    <row r="41" spans="1:18" x14ac:dyDescent="0.2">
      <c r="A41" s="6" t="s">
        <v>231</v>
      </c>
      <c r="B41" s="11">
        <v>58243</v>
      </c>
      <c r="C41" s="11">
        <v>9590</v>
      </c>
      <c r="D41" s="11">
        <v>7453</v>
      </c>
      <c r="E41" s="11">
        <v>75</v>
      </c>
      <c r="F41" s="11">
        <v>252</v>
      </c>
      <c r="G41" s="11">
        <v>7687</v>
      </c>
      <c r="H41" s="11">
        <v>4335</v>
      </c>
      <c r="I41" s="11">
        <v>5368</v>
      </c>
      <c r="J41" s="11">
        <v>5428</v>
      </c>
      <c r="K41" s="11">
        <v>45</v>
      </c>
      <c r="L41" s="11">
        <v>3332</v>
      </c>
      <c r="M41" s="11">
        <v>3146</v>
      </c>
      <c r="N41" s="11">
        <v>1550</v>
      </c>
      <c r="O41" s="11">
        <v>1589</v>
      </c>
      <c r="P41" s="11">
        <v>2250</v>
      </c>
      <c r="Q41" s="11">
        <v>2957</v>
      </c>
      <c r="R41" s="11">
        <v>3186</v>
      </c>
    </row>
    <row r="42" spans="1:18" x14ac:dyDescent="0.2">
      <c r="A42" s="6" t="s">
        <v>232</v>
      </c>
      <c r="B42" s="11">
        <v>3669</v>
      </c>
      <c r="C42" s="11">
        <v>720</v>
      </c>
      <c r="D42" s="11">
        <v>465</v>
      </c>
      <c r="E42" s="11">
        <v>320</v>
      </c>
      <c r="F42" s="11">
        <v>167</v>
      </c>
      <c r="G42" s="11">
        <v>975</v>
      </c>
      <c r="H42" s="11">
        <v>0</v>
      </c>
      <c r="I42" s="11">
        <v>320</v>
      </c>
      <c r="J42" s="11">
        <v>0</v>
      </c>
      <c r="K42" s="11">
        <v>0</v>
      </c>
      <c r="L42" s="11">
        <v>147</v>
      </c>
      <c r="M42" s="11">
        <v>300</v>
      </c>
      <c r="N42" s="11">
        <v>140</v>
      </c>
      <c r="O42" s="11">
        <v>0</v>
      </c>
      <c r="P42" s="11">
        <v>0</v>
      </c>
      <c r="Q42" s="11">
        <v>0</v>
      </c>
      <c r="R42" s="11">
        <v>116</v>
      </c>
    </row>
    <row r="43" spans="1:18" x14ac:dyDescent="0.2">
      <c r="A43" s="6" t="s">
        <v>233</v>
      </c>
      <c r="B43" s="11">
        <v>11636</v>
      </c>
      <c r="C43" s="11">
        <v>3448</v>
      </c>
      <c r="D43" s="11">
        <v>6287</v>
      </c>
      <c r="E43" s="11">
        <v>878</v>
      </c>
      <c r="F43" s="11">
        <v>0</v>
      </c>
      <c r="G43" s="11">
        <v>321</v>
      </c>
      <c r="H43" s="11">
        <v>0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176</v>
      </c>
      <c r="O43" s="11">
        <v>166</v>
      </c>
      <c r="P43" s="11">
        <v>64</v>
      </c>
      <c r="Q43" s="11">
        <v>296</v>
      </c>
      <c r="R43" s="11">
        <v>0</v>
      </c>
    </row>
    <row r="44" spans="1:18" x14ac:dyDescent="0.2">
      <c r="A44" s="6" t="s">
        <v>234</v>
      </c>
      <c r="B44" s="11">
        <v>1397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92</v>
      </c>
      <c r="J44" s="11">
        <v>0</v>
      </c>
      <c r="K44" s="11">
        <v>0</v>
      </c>
      <c r="L44" s="11">
        <v>592</v>
      </c>
      <c r="M44" s="11">
        <v>223</v>
      </c>
      <c r="N44" s="11">
        <v>375</v>
      </c>
      <c r="O44" s="11">
        <v>114</v>
      </c>
      <c r="P44" s="11">
        <v>0</v>
      </c>
      <c r="Q44" s="11">
        <v>0</v>
      </c>
      <c r="R44" s="11">
        <v>0</v>
      </c>
    </row>
    <row r="45" spans="1:18" x14ac:dyDescent="0.2">
      <c r="A45" s="6" t="s">
        <v>235</v>
      </c>
      <c r="B45" s="11">
        <v>21720</v>
      </c>
      <c r="C45" s="11">
        <v>2070</v>
      </c>
      <c r="D45" s="11">
        <v>431</v>
      </c>
      <c r="E45" s="11">
        <v>1288</v>
      </c>
      <c r="F45" s="11">
        <v>0</v>
      </c>
      <c r="G45" s="11">
        <v>321</v>
      </c>
      <c r="H45" s="11">
        <v>273</v>
      </c>
      <c r="I45" s="11">
        <v>667</v>
      </c>
      <c r="J45" s="11">
        <v>5235</v>
      </c>
      <c r="K45" s="11">
        <v>842</v>
      </c>
      <c r="L45" s="11">
        <v>3022</v>
      </c>
      <c r="M45" s="11">
        <v>916</v>
      </c>
      <c r="N45" s="11">
        <v>2323</v>
      </c>
      <c r="O45" s="11">
        <v>730</v>
      </c>
      <c r="P45" s="11">
        <v>901</v>
      </c>
      <c r="Q45" s="11">
        <v>2232</v>
      </c>
      <c r="R45" s="11">
        <v>471</v>
      </c>
    </row>
    <row r="46" spans="1:18" x14ac:dyDescent="0.2">
      <c r="A46" s="6" t="s">
        <v>236</v>
      </c>
      <c r="B46" s="11">
        <v>22066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4010</v>
      </c>
      <c r="K46" s="11">
        <v>0</v>
      </c>
      <c r="L46" s="11">
        <v>0</v>
      </c>
      <c r="M46" s="11">
        <v>3000</v>
      </c>
      <c r="N46" s="11">
        <v>0</v>
      </c>
      <c r="O46" s="11">
        <v>3000</v>
      </c>
      <c r="P46" s="11">
        <v>5255</v>
      </c>
      <c r="Q46" s="11">
        <v>3000</v>
      </c>
      <c r="R46" s="11">
        <v>3800</v>
      </c>
    </row>
    <row r="47" spans="1:18" x14ac:dyDescent="0.2">
      <c r="A47" s="6" t="s">
        <v>237</v>
      </c>
      <c r="B47" s="11">
        <v>4636</v>
      </c>
      <c r="C47" s="11">
        <v>67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406</v>
      </c>
      <c r="N47" s="11">
        <v>4163</v>
      </c>
      <c r="O47" s="11">
        <v>0</v>
      </c>
      <c r="P47" s="11">
        <v>0</v>
      </c>
      <c r="Q47" s="11">
        <v>0</v>
      </c>
      <c r="R47" s="11">
        <v>0</v>
      </c>
    </row>
    <row r="48" spans="1:18" x14ac:dyDescent="0.2">
      <c r="A48" s="6" t="s">
        <v>238</v>
      </c>
      <c r="B48" s="13">
        <v>123379</v>
      </c>
      <c r="C48" s="13">
        <v>15895</v>
      </c>
      <c r="D48" s="13">
        <v>14636</v>
      </c>
      <c r="E48" s="13">
        <v>2561</v>
      </c>
      <c r="F48" s="13">
        <v>419</v>
      </c>
      <c r="G48" s="13">
        <v>9304</v>
      </c>
      <c r="H48" s="13">
        <v>4608</v>
      </c>
      <c r="I48" s="13">
        <v>6447</v>
      </c>
      <c r="J48" s="13">
        <v>14673</v>
      </c>
      <c r="K48" s="13">
        <v>887</v>
      </c>
      <c r="L48" s="13">
        <v>7093</v>
      </c>
      <c r="M48" s="13">
        <v>7991</v>
      </c>
      <c r="N48" s="13">
        <v>8727</v>
      </c>
      <c r="O48" s="13">
        <v>5599</v>
      </c>
      <c r="P48" s="13">
        <v>8470</v>
      </c>
      <c r="Q48" s="13">
        <v>8497</v>
      </c>
      <c r="R48" s="13">
        <v>7573</v>
      </c>
    </row>
    <row r="49" spans="1:18" x14ac:dyDescent="0.2">
      <c r="A49" s="6" t="s">
        <v>219</v>
      </c>
      <c r="B49" s="14">
        <v>316209</v>
      </c>
      <c r="C49" s="14">
        <v>37702</v>
      </c>
      <c r="D49" s="14">
        <v>39268</v>
      </c>
      <c r="E49" s="14">
        <v>2561</v>
      </c>
      <c r="F49" s="14">
        <v>20274</v>
      </c>
      <c r="G49" s="14">
        <v>23431</v>
      </c>
      <c r="H49" s="14">
        <v>15781</v>
      </c>
      <c r="I49" s="14">
        <v>20983</v>
      </c>
      <c r="J49" s="14">
        <v>25337</v>
      </c>
      <c r="K49" s="14">
        <v>887</v>
      </c>
      <c r="L49" s="14">
        <v>19197</v>
      </c>
      <c r="M49" s="14">
        <v>21443</v>
      </c>
      <c r="N49" s="14">
        <v>18339</v>
      </c>
      <c r="O49" s="14">
        <v>13008</v>
      </c>
      <c r="P49" s="14">
        <v>20903</v>
      </c>
      <c r="Q49" s="14">
        <v>19717</v>
      </c>
      <c r="R49" s="14">
        <v>17379</v>
      </c>
    </row>
    <row r="50" spans="1:18" x14ac:dyDescent="0.2">
      <c r="A50" s="4" t="s">
        <v>6</v>
      </c>
    </row>
    <row r="51" spans="1:18" x14ac:dyDescent="0.2">
      <c r="A51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54"/>
  <sheetViews>
    <sheetView workbookViewId="0"/>
  </sheetViews>
  <sheetFormatPr defaultColWidth="9.140625" defaultRowHeight="12.75" x14ac:dyDescent="0.2"/>
  <cols>
    <col min="1" max="1" width="34.8554687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9.140625" style="3" customWidth="1"/>
    <col min="25" max="16384" width="9.140625" style="3"/>
  </cols>
  <sheetData>
    <row r="1" spans="1:23" ht="18" x14ac:dyDescent="0.25">
      <c r="A1" s="5" t="s">
        <v>0</v>
      </c>
    </row>
    <row r="2" spans="1:23" ht="18" x14ac:dyDescent="0.25">
      <c r="A2" s="5" t="s">
        <v>239</v>
      </c>
    </row>
    <row r="3" spans="1:23" ht="18" x14ac:dyDescent="0.25">
      <c r="A3" s="5" t="s">
        <v>2</v>
      </c>
    </row>
    <row r="4" spans="1:23" x14ac:dyDescent="0.2">
      <c r="A4" s="6" t="s">
        <v>3</v>
      </c>
      <c r="B4" s="6" t="s">
        <v>4</v>
      </c>
    </row>
    <row r="5" spans="1:23" x14ac:dyDescent="0.2">
      <c r="A5" s="6" t="s">
        <v>5</v>
      </c>
      <c r="B5" s="6" t="s">
        <v>0</v>
      </c>
    </row>
    <row r="6" spans="1:23" x14ac:dyDescent="0.2">
      <c r="A6" s="4" t="s">
        <v>6</v>
      </c>
    </row>
    <row r="7" spans="1:23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</row>
    <row r="8" spans="1:23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</row>
    <row r="9" spans="1:23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</row>
    <row r="10" spans="1:23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</row>
    <row r="11" spans="1:23" x14ac:dyDescent="0.2">
      <c r="A11" s="6" t="s">
        <v>240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</row>
    <row r="12" spans="1:23" x14ac:dyDescent="0.2">
      <c r="A12" s="6" t="s">
        <v>241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</row>
    <row r="13" spans="1:23" x14ac:dyDescent="0.2">
      <c r="A13" s="6" t="s">
        <v>242</v>
      </c>
      <c r="B13" s="11">
        <v>136124</v>
      </c>
      <c r="C13" s="11">
        <v>7534</v>
      </c>
      <c r="D13" s="11">
        <v>0</v>
      </c>
      <c r="E13" s="11">
        <v>1480</v>
      </c>
      <c r="F13" s="11">
        <v>7665</v>
      </c>
      <c r="G13" s="11">
        <v>7364</v>
      </c>
      <c r="H13" s="11">
        <v>1719</v>
      </c>
      <c r="I13" s="11">
        <v>7271</v>
      </c>
      <c r="J13" s="11">
        <v>7848</v>
      </c>
      <c r="K13" s="11">
        <v>7956</v>
      </c>
      <c r="L13" s="11">
        <v>9147</v>
      </c>
      <c r="M13" s="11">
        <v>10112</v>
      </c>
      <c r="N13" s="11">
        <v>10165</v>
      </c>
      <c r="O13" s="11">
        <v>8900</v>
      </c>
      <c r="P13" s="11">
        <v>8374</v>
      </c>
      <c r="Q13" s="11">
        <v>10813</v>
      </c>
      <c r="R13" s="11">
        <v>9721</v>
      </c>
      <c r="S13" s="11">
        <v>6643</v>
      </c>
      <c r="T13" s="11">
        <v>3465</v>
      </c>
      <c r="U13" s="11">
        <v>851</v>
      </c>
      <c r="V13" s="11">
        <v>9097</v>
      </c>
      <c r="W13" s="11">
        <v>0</v>
      </c>
    </row>
    <row r="14" spans="1:23" x14ac:dyDescent="0.2">
      <c r="A14" s="6" t="s">
        <v>243</v>
      </c>
      <c r="B14" s="11">
        <v>58271</v>
      </c>
      <c r="C14" s="11">
        <v>6044</v>
      </c>
      <c r="D14" s="11">
        <v>0</v>
      </c>
      <c r="E14" s="11">
        <v>1368</v>
      </c>
      <c r="F14" s="11">
        <v>0</v>
      </c>
      <c r="G14" s="11">
        <v>7858</v>
      </c>
      <c r="H14" s="11">
        <v>5416</v>
      </c>
      <c r="I14" s="11">
        <v>0</v>
      </c>
      <c r="J14" s="11">
        <v>0</v>
      </c>
      <c r="K14" s="11">
        <v>0</v>
      </c>
      <c r="L14" s="11">
        <v>0</v>
      </c>
      <c r="M14" s="11">
        <v>8616</v>
      </c>
      <c r="N14" s="11">
        <v>8162</v>
      </c>
      <c r="O14" s="11">
        <v>6926</v>
      </c>
      <c r="P14" s="11">
        <v>7931</v>
      </c>
      <c r="Q14" s="11">
        <v>0</v>
      </c>
      <c r="R14" s="11">
        <v>5951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</row>
    <row r="15" spans="1:23" x14ac:dyDescent="0.2">
      <c r="A15" s="6" t="s">
        <v>244</v>
      </c>
      <c r="B15" s="11">
        <v>12533</v>
      </c>
      <c r="C15" s="11">
        <v>0</v>
      </c>
      <c r="D15" s="11">
        <v>0</v>
      </c>
      <c r="E15" s="11">
        <v>0</v>
      </c>
      <c r="F15" s="11">
        <v>0</v>
      </c>
      <c r="G15" s="11">
        <v>5625</v>
      </c>
      <c r="H15" s="11">
        <v>3914</v>
      </c>
      <c r="I15" s="11">
        <v>0</v>
      </c>
      <c r="J15" s="11">
        <v>0</v>
      </c>
      <c r="K15" s="11">
        <v>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2994</v>
      </c>
      <c r="V15" s="11">
        <v>0</v>
      </c>
      <c r="W15" s="11">
        <v>0</v>
      </c>
    </row>
    <row r="16" spans="1:23" x14ac:dyDescent="0.2">
      <c r="A16" s="6" t="s">
        <v>245</v>
      </c>
      <c r="B16" s="11">
        <v>260285</v>
      </c>
      <c r="C16" s="11">
        <v>30330</v>
      </c>
      <c r="D16" s="11">
        <v>39762</v>
      </c>
      <c r="E16" s="11">
        <v>12542</v>
      </c>
      <c r="F16" s="11">
        <v>7665</v>
      </c>
      <c r="G16" s="11">
        <v>10260</v>
      </c>
      <c r="H16" s="11">
        <v>13657</v>
      </c>
      <c r="I16" s="11">
        <v>4799</v>
      </c>
      <c r="J16" s="11">
        <v>17427</v>
      </c>
      <c r="K16" s="11">
        <v>6728</v>
      </c>
      <c r="L16" s="11">
        <v>15795</v>
      </c>
      <c r="M16" s="11">
        <v>14838</v>
      </c>
      <c r="N16" s="11">
        <v>28616</v>
      </c>
      <c r="O16" s="11">
        <v>10259</v>
      </c>
      <c r="P16" s="11">
        <v>12666</v>
      </c>
      <c r="Q16" s="11">
        <v>13333</v>
      </c>
      <c r="R16" s="11">
        <v>10460</v>
      </c>
      <c r="S16" s="11">
        <v>4409</v>
      </c>
      <c r="T16" s="11">
        <v>4066</v>
      </c>
      <c r="U16" s="11">
        <v>2258</v>
      </c>
      <c r="V16" s="11">
        <v>412</v>
      </c>
      <c r="W16" s="11">
        <v>0</v>
      </c>
    </row>
    <row r="17" spans="1:23" x14ac:dyDescent="0.2">
      <c r="A17" s="6" t="s">
        <v>246</v>
      </c>
      <c r="B17" s="11">
        <v>9529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4181</v>
      </c>
      <c r="K17" s="11">
        <v>0</v>
      </c>
      <c r="L17" s="11">
        <v>0</v>
      </c>
      <c r="M17" s="11">
        <v>0</v>
      </c>
      <c r="N17" s="11">
        <v>5347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</row>
    <row r="18" spans="1:23" x14ac:dyDescent="0.2">
      <c r="A18" s="6" t="s">
        <v>247</v>
      </c>
      <c r="B18" s="11">
        <v>6623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6623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</row>
    <row r="19" spans="1:23" x14ac:dyDescent="0.2">
      <c r="A19" s="6" t="s">
        <v>248</v>
      </c>
      <c r="B19" s="11">
        <v>92087</v>
      </c>
      <c r="C19" s="11">
        <v>7324</v>
      </c>
      <c r="D19" s="11">
        <v>7338</v>
      </c>
      <c r="E19" s="11">
        <v>9250</v>
      </c>
      <c r="F19" s="11">
        <v>5744</v>
      </c>
      <c r="G19" s="11">
        <v>5180</v>
      </c>
      <c r="H19" s="11">
        <v>1536</v>
      </c>
      <c r="I19" s="11">
        <v>5585</v>
      </c>
      <c r="J19" s="11">
        <v>0</v>
      </c>
      <c r="K19" s="11">
        <v>0</v>
      </c>
      <c r="L19" s="11">
        <v>6834</v>
      </c>
      <c r="M19" s="11">
        <v>7148</v>
      </c>
      <c r="N19" s="11">
        <v>14003</v>
      </c>
      <c r="O19" s="11">
        <v>0</v>
      </c>
      <c r="P19" s="11">
        <v>7246</v>
      </c>
      <c r="Q19" s="11">
        <v>7332</v>
      </c>
      <c r="R19" s="11">
        <v>7569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</row>
    <row r="20" spans="1:23" x14ac:dyDescent="0.2">
      <c r="A20" s="6" t="s">
        <v>249</v>
      </c>
      <c r="B20" s="11">
        <v>626943</v>
      </c>
      <c r="C20" s="11">
        <v>12706</v>
      </c>
      <c r="D20" s="11">
        <v>11733</v>
      </c>
      <c r="E20" s="11">
        <v>25428</v>
      </c>
      <c r="F20" s="11">
        <v>32282</v>
      </c>
      <c r="G20" s="11">
        <v>25616</v>
      </c>
      <c r="H20" s="11">
        <v>24393</v>
      </c>
      <c r="I20" s="11">
        <v>16917</v>
      </c>
      <c r="J20" s="11">
        <v>25510</v>
      </c>
      <c r="K20" s="11">
        <v>28423</v>
      </c>
      <c r="L20" s="11">
        <v>61125</v>
      </c>
      <c r="M20" s="11">
        <v>43475</v>
      </c>
      <c r="N20" s="11">
        <v>77260</v>
      </c>
      <c r="O20" s="11">
        <v>53091</v>
      </c>
      <c r="P20" s="11">
        <v>63860</v>
      </c>
      <c r="Q20" s="11">
        <v>52430</v>
      </c>
      <c r="R20" s="11">
        <v>46545</v>
      </c>
      <c r="S20" s="11">
        <v>4077</v>
      </c>
      <c r="T20" s="11">
        <v>4663</v>
      </c>
      <c r="U20" s="11">
        <v>7104</v>
      </c>
      <c r="V20" s="11">
        <v>10305</v>
      </c>
      <c r="W20" s="11">
        <v>0</v>
      </c>
    </row>
    <row r="21" spans="1:23" x14ac:dyDescent="0.2">
      <c r="A21" s="6" t="s">
        <v>250</v>
      </c>
      <c r="B21" s="11">
        <v>1235901</v>
      </c>
      <c r="C21" s="11">
        <v>56123</v>
      </c>
      <c r="D21" s="11">
        <v>63891</v>
      </c>
      <c r="E21" s="11">
        <v>72280</v>
      </c>
      <c r="F21" s="11">
        <v>69939</v>
      </c>
      <c r="G21" s="11">
        <v>59260</v>
      </c>
      <c r="H21" s="11">
        <v>49900</v>
      </c>
      <c r="I21" s="11">
        <v>43469</v>
      </c>
      <c r="J21" s="11">
        <v>59800</v>
      </c>
      <c r="K21" s="11">
        <v>45882</v>
      </c>
      <c r="L21" s="11">
        <v>72065</v>
      </c>
      <c r="M21" s="11">
        <v>75381</v>
      </c>
      <c r="N21" s="11">
        <v>158781</v>
      </c>
      <c r="O21" s="11">
        <v>94807</v>
      </c>
      <c r="P21" s="11">
        <v>117229</v>
      </c>
      <c r="Q21" s="11">
        <v>94480</v>
      </c>
      <c r="R21" s="11">
        <v>78766</v>
      </c>
      <c r="S21" s="11">
        <v>5690</v>
      </c>
      <c r="T21" s="11">
        <v>1395</v>
      </c>
      <c r="U21" s="11">
        <v>5121</v>
      </c>
      <c r="V21" s="11">
        <v>8863</v>
      </c>
      <c r="W21" s="11">
        <v>2779</v>
      </c>
    </row>
    <row r="22" spans="1:23" x14ac:dyDescent="0.2">
      <c r="A22" s="6" t="s">
        <v>251</v>
      </c>
      <c r="B22" s="11">
        <v>46131</v>
      </c>
      <c r="C22" s="11">
        <v>3237</v>
      </c>
      <c r="D22" s="11">
        <v>2497</v>
      </c>
      <c r="E22" s="11">
        <v>3292</v>
      </c>
      <c r="F22" s="11">
        <v>3815</v>
      </c>
      <c r="G22" s="11">
        <v>126</v>
      </c>
      <c r="H22" s="11">
        <v>3040</v>
      </c>
      <c r="I22" s="11">
        <v>3400</v>
      </c>
      <c r="J22" s="11">
        <v>0</v>
      </c>
      <c r="K22" s="11">
        <v>0</v>
      </c>
      <c r="L22" s="11">
        <v>3965</v>
      </c>
      <c r="M22" s="11">
        <v>621</v>
      </c>
      <c r="N22" s="11">
        <v>4419</v>
      </c>
      <c r="O22" s="11">
        <v>4136</v>
      </c>
      <c r="P22" s="11">
        <v>5351</v>
      </c>
      <c r="Q22" s="11">
        <v>4383</v>
      </c>
      <c r="R22" s="11">
        <v>3849</v>
      </c>
      <c r="S22" s="11">
        <v>0</v>
      </c>
      <c r="T22" s="11">
        <v>0</v>
      </c>
      <c r="U22" s="11">
        <v>0</v>
      </c>
      <c r="V22" s="11">
        <v>0</v>
      </c>
      <c r="W22" s="11">
        <v>0</v>
      </c>
    </row>
    <row r="23" spans="1:23" x14ac:dyDescent="0.2">
      <c r="A23" s="6" t="s">
        <v>252</v>
      </c>
      <c r="B23" s="11">
        <v>14865</v>
      </c>
      <c r="C23" s="11">
        <v>0</v>
      </c>
      <c r="D23" s="11">
        <v>0</v>
      </c>
      <c r="E23" s="11">
        <v>0</v>
      </c>
      <c r="F23" s="11">
        <v>1468</v>
      </c>
      <c r="G23" s="11">
        <v>1744</v>
      </c>
      <c r="H23" s="11">
        <v>0</v>
      </c>
      <c r="I23" s="11">
        <v>0</v>
      </c>
      <c r="J23" s="11">
        <v>3048</v>
      </c>
      <c r="K23" s="11">
        <v>0</v>
      </c>
      <c r="L23" s="11">
        <v>0</v>
      </c>
      <c r="M23" s="11">
        <v>0</v>
      </c>
      <c r="N23" s="11">
        <v>6096</v>
      </c>
      <c r="O23" s="11">
        <v>0</v>
      </c>
      <c r="P23" s="11">
        <v>2509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11">
        <v>0</v>
      </c>
    </row>
    <row r="24" spans="1:23" x14ac:dyDescent="0.2">
      <c r="A24" s="6" t="s">
        <v>253</v>
      </c>
      <c r="B24" s="11">
        <v>411</v>
      </c>
      <c r="C24" s="11">
        <v>0</v>
      </c>
      <c r="D24" s="11">
        <v>0</v>
      </c>
      <c r="E24" s="11">
        <v>0</v>
      </c>
      <c r="F24" s="11">
        <v>0</v>
      </c>
      <c r="G24" s="11">
        <v>412</v>
      </c>
      <c r="H24" s="11">
        <v>0</v>
      </c>
      <c r="I24" s="11">
        <v>0</v>
      </c>
      <c r="J24" s="11">
        <v>0</v>
      </c>
      <c r="K24" s="11">
        <v>0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</row>
    <row r="25" spans="1:23" x14ac:dyDescent="0.2">
      <c r="A25" s="6" t="s">
        <v>254</v>
      </c>
      <c r="B25" s="11">
        <v>45944</v>
      </c>
      <c r="C25" s="11">
        <v>3319</v>
      </c>
      <c r="D25" s="11">
        <v>2393</v>
      </c>
      <c r="E25" s="11">
        <v>3141</v>
      </c>
      <c r="F25" s="11">
        <v>2778</v>
      </c>
      <c r="G25" s="11">
        <v>1664</v>
      </c>
      <c r="H25" s="11">
        <v>82</v>
      </c>
      <c r="I25" s="11">
        <v>2936</v>
      </c>
      <c r="J25" s="11">
        <v>3791</v>
      </c>
      <c r="K25" s="11">
        <v>3156</v>
      </c>
      <c r="L25" s="11">
        <v>4523</v>
      </c>
      <c r="M25" s="11">
        <v>2300</v>
      </c>
      <c r="N25" s="11">
        <v>3540</v>
      </c>
      <c r="O25" s="11">
        <v>3244</v>
      </c>
      <c r="P25" s="11">
        <v>3110</v>
      </c>
      <c r="Q25" s="11">
        <v>3666</v>
      </c>
      <c r="R25" s="11">
        <v>2303</v>
      </c>
      <c r="S25" s="11">
        <v>0</v>
      </c>
      <c r="T25" s="11">
        <v>0</v>
      </c>
      <c r="U25" s="11">
        <v>0</v>
      </c>
      <c r="V25" s="11">
        <v>0</v>
      </c>
      <c r="W25" s="11">
        <v>0</v>
      </c>
    </row>
    <row r="26" spans="1:23" x14ac:dyDescent="0.2">
      <c r="A26" s="6" t="s">
        <v>255</v>
      </c>
      <c r="B26" s="11">
        <v>39209</v>
      </c>
      <c r="C26" s="11">
        <v>3093</v>
      </c>
      <c r="D26" s="11">
        <v>0</v>
      </c>
      <c r="E26" s="11">
        <v>3103</v>
      </c>
      <c r="F26" s="11">
        <v>0</v>
      </c>
      <c r="G26" s="11">
        <v>0</v>
      </c>
      <c r="H26" s="11">
        <v>772</v>
      </c>
      <c r="I26" s="11">
        <v>0</v>
      </c>
      <c r="J26" s="11">
        <v>3415</v>
      </c>
      <c r="K26" s="11">
        <v>1416</v>
      </c>
      <c r="L26" s="11">
        <v>1544</v>
      </c>
      <c r="M26" s="11">
        <v>4584</v>
      </c>
      <c r="N26" s="11">
        <v>10278</v>
      </c>
      <c r="O26" s="11">
        <v>2116</v>
      </c>
      <c r="P26" s="11">
        <v>5489</v>
      </c>
      <c r="Q26" s="11">
        <v>0</v>
      </c>
      <c r="R26" s="11">
        <v>3399</v>
      </c>
      <c r="S26" s="11">
        <v>0</v>
      </c>
      <c r="T26" s="11">
        <v>0</v>
      </c>
      <c r="U26" s="11">
        <v>0</v>
      </c>
      <c r="V26" s="11">
        <v>0</v>
      </c>
      <c r="W26" s="11">
        <v>0</v>
      </c>
    </row>
    <row r="27" spans="1:23" x14ac:dyDescent="0.2">
      <c r="A27" s="6" t="s">
        <v>256</v>
      </c>
      <c r="B27" s="11">
        <v>94830</v>
      </c>
      <c r="C27" s="11">
        <v>9271</v>
      </c>
      <c r="D27" s="11">
        <v>0</v>
      </c>
      <c r="E27" s="11">
        <v>225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1976</v>
      </c>
      <c r="L27" s="11">
        <v>0</v>
      </c>
      <c r="M27" s="11">
        <v>0</v>
      </c>
      <c r="N27" s="11">
        <v>5921</v>
      </c>
      <c r="O27" s="11">
        <v>0</v>
      </c>
      <c r="P27" s="11">
        <v>0</v>
      </c>
      <c r="Q27" s="11">
        <v>0</v>
      </c>
      <c r="R27" s="11">
        <v>0</v>
      </c>
      <c r="S27" s="11">
        <v>21887</v>
      </c>
      <c r="T27" s="11">
        <v>25562</v>
      </c>
      <c r="U27" s="11">
        <v>8175</v>
      </c>
      <c r="V27" s="11">
        <v>10194</v>
      </c>
      <c r="W27" s="11">
        <v>11618</v>
      </c>
    </row>
    <row r="28" spans="1:23" x14ac:dyDescent="0.2">
      <c r="A28" s="6" t="s">
        <v>257</v>
      </c>
      <c r="B28" s="11">
        <v>33245</v>
      </c>
      <c r="C28" s="11">
        <v>0</v>
      </c>
      <c r="D28" s="11">
        <v>4993</v>
      </c>
      <c r="E28" s="11">
        <v>0</v>
      </c>
      <c r="F28" s="11">
        <v>3095</v>
      </c>
      <c r="G28" s="11">
        <v>0</v>
      </c>
      <c r="H28" s="11">
        <v>0</v>
      </c>
      <c r="I28" s="11">
        <v>0</v>
      </c>
      <c r="J28" s="11">
        <v>24</v>
      </c>
      <c r="K28" s="11">
        <v>15</v>
      </c>
      <c r="L28" s="11">
        <v>0</v>
      </c>
      <c r="M28" s="11">
        <v>4321</v>
      </c>
      <c r="N28" s="11">
        <v>7164</v>
      </c>
      <c r="O28" s="11">
        <v>3078</v>
      </c>
      <c r="P28" s="11">
        <v>4108</v>
      </c>
      <c r="Q28" s="11">
        <v>2506</v>
      </c>
      <c r="R28" s="11">
        <v>2971</v>
      </c>
      <c r="S28" s="11">
        <v>0</v>
      </c>
      <c r="T28" s="11">
        <v>380</v>
      </c>
      <c r="U28" s="11">
        <v>0</v>
      </c>
      <c r="V28" s="11">
        <v>586</v>
      </c>
      <c r="W28" s="11">
        <v>0</v>
      </c>
    </row>
    <row r="29" spans="1:23" x14ac:dyDescent="0.2">
      <c r="A29" s="6" t="s">
        <v>258</v>
      </c>
      <c r="B29" s="11">
        <v>41005</v>
      </c>
      <c r="C29" s="11">
        <v>3270</v>
      </c>
      <c r="D29" s="11">
        <v>3057</v>
      </c>
      <c r="E29" s="11">
        <v>3534</v>
      </c>
      <c r="F29" s="11">
        <v>3374</v>
      </c>
      <c r="G29" s="11">
        <v>3383</v>
      </c>
      <c r="H29" s="11">
        <v>-163</v>
      </c>
      <c r="I29" s="11">
        <v>3291</v>
      </c>
      <c r="J29" s="11">
        <v>0</v>
      </c>
      <c r="K29" s="11">
        <v>0</v>
      </c>
      <c r="L29" s="11">
        <v>0</v>
      </c>
      <c r="M29" s="11">
        <v>0</v>
      </c>
      <c r="N29" s="11">
        <v>3451</v>
      </c>
      <c r="O29" s="11">
        <v>0</v>
      </c>
      <c r="P29" s="11">
        <v>4597</v>
      </c>
      <c r="Q29" s="11">
        <v>3744</v>
      </c>
      <c r="R29" s="11">
        <v>5116</v>
      </c>
      <c r="S29" s="11">
        <v>1624</v>
      </c>
      <c r="T29" s="11">
        <v>0</v>
      </c>
      <c r="U29" s="11">
        <v>1296</v>
      </c>
      <c r="V29" s="11">
        <v>0</v>
      </c>
      <c r="W29" s="11">
        <v>1432</v>
      </c>
    </row>
    <row r="30" spans="1:23" x14ac:dyDescent="0.2">
      <c r="A30" s="6" t="s">
        <v>259</v>
      </c>
      <c r="B30" s="11">
        <v>188001</v>
      </c>
      <c r="C30" s="11">
        <v>10491</v>
      </c>
      <c r="D30" s="11">
        <v>12030</v>
      </c>
      <c r="E30" s="11">
        <v>8135</v>
      </c>
      <c r="F30" s="11">
        <v>9784</v>
      </c>
      <c r="G30" s="11">
        <v>9018</v>
      </c>
      <c r="H30" s="11">
        <v>12443</v>
      </c>
      <c r="I30" s="11">
        <v>5497</v>
      </c>
      <c r="J30" s="11">
        <v>8226</v>
      </c>
      <c r="K30" s="11">
        <v>8569</v>
      </c>
      <c r="L30" s="11">
        <v>10774</v>
      </c>
      <c r="M30" s="11">
        <v>13510</v>
      </c>
      <c r="N30" s="11">
        <v>30473</v>
      </c>
      <c r="O30" s="11">
        <v>11591</v>
      </c>
      <c r="P30" s="11">
        <v>11553</v>
      </c>
      <c r="Q30" s="11">
        <v>11193</v>
      </c>
      <c r="R30" s="11">
        <v>14723</v>
      </c>
      <c r="S30" s="11">
        <v>0</v>
      </c>
      <c r="T30" s="11">
        <v>-8</v>
      </c>
      <c r="U30" s="11">
        <v>0</v>
      </c>
      <c r="V30" s="11">
        <v>0</v>
      </c>
      <c r="W30" s="11">
        <v>0</v>
      </c>
    </row>
    <row r="31" spans="1:23" x14ac:dyDescent="0.2">
      <c r="A31" s="6" t="s">
        <v>260</v>
      </c>
      <c r="B31" s="11">
        <v>73109</v>
      </c>
      <c r="C31" s="11">
        <v>2984</v>
      </c>
      <c r="D31" s="11">
        <v>3384</v>
      </c>
      <c r="E31" s="11">
        <v>4564</v>
      </c>
      <c r="F31" s="11">
        <v>2144</v>
      </c>
      <c r="G31" s="11">
        <v>3457</v>
      </c>
      <c r="H31" s="11">
        <v>4011</v>
      </c>
      <c r="I31" s="11">
        <v>3656</v>
      </c>
      <c r="J31" s="11">
        <v>-109</v>
      </c>
      <c r="K31" s="11">
        <v>4150</v>
      </c>
      <c r="L31" s="11">
        <v>4456</v>
      </c>
      <c r="M31" s="11">
        <v>5040</v>
      </c>
      <c r="N31" s="11">
        <v>3837</v>
      </c>
      <c r="O31" s="11">
        <v>4387</v>
      </c>
      <c r="P31" s="11">
        <v>5262</v>
      </c>
      <c r="Q31" s="11">
        <v>4483</v>
      </c>
      <c r="R31" s="11">
        <v>4582</v>
      </c>
      <c r="S31" s="11">
        <v>3948</v>
      </c>
      <c r="T31" s="11">
        <v>3175</v>
      </c>
      <c r="U31" s="11">
        <v>1382</v>
      </c>
      <c r="V31" s="11">
        <v>4317</v>
      </c>
      <c r="W31" s="11">
        <v>0</v>
      </c>
    </row>
    <row r="32" spans="1:23" x14ac:dyDescent="0.2">
      <c r="A32" s="6" t="s">
        <v>261</v>
      </c>
      <c r="B32" s="11">
        <v>12140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108</v>
      </c>
      <c r="K32" s="11">
        <v>0</v>
      </c>
      <c r="L32" s="11">
        <v>0</v>
      </c>
      <c r="M32" s="11">
        <v>0</v>
      </c>
      <c r="N32" s="11">
        <v>2100</v>
      </c>
      <c r="O32" s="11">
        <v>3515</v>
      </c>
      <c r="P32" s="11">
        <v>4387</v>
      </c>
      <c r="Q32" s="11">
        <v>1836</v>
      </c>
      <c r="R32" s="11">
        <v>0</v>
      </c>
      <c r="S32" s="11">
        <v>0</v>
      </c>
      <c r="T32" s="11">
        <v>0</v>
      </c>
      <c r="U32" s="11">
        <v>193</v>
      </c>
      <c r="V32" s="11">
        <v>0</v>
      </c>
      <c r="W32" s="11">
        <v>0</v>
      </c>
    </row>
    <row r="33" spans="1:23" x14ac:dyDescent="0.2">
      <c r="A33" s="6" t="s">
        <v>262</v>
      </c>
      <c r="B33" s="11">
        <v>67954</v>
      </c>
      <c r="C33" s="11">
        <v>2199</v>
      </c>
      <c r="D33" s="11">
        <v>3058</v>
      </c>
      <c r="E33" s="11">
        <v>2531</v>
      </c>
      <c r="F33" s="11">
        <v>3555</v>
      </c>
      <c r="G33" s="11">
        <v>4299</v>
      </c>
      <c r="H33" s="11">
        <v>3069</v>
      </c>
      <c r="I33" s="11">
        <v>4211</v>
      </c>
      <c r="J33" s="11">
        <v>3011</v>
      </c>
      <c r="K33" s="11">
        <v>2983</v>
      </c>
      <c r="L33" s="11">
        <v>4513</v>
      </c>
      <c r="M33" s="11">
        <v>5862</v>
      </c>
      <c r="N33" s="11">
        <v>3939</v>
      </c>
      <c r="O33" s="11">
        <v>4401</v>
      </c>
      <c r="P33" s="11">
        <v>3778</v>
      </c>
      <c r="Q33" s="11">
        <v>3216</v>
      </c>
      <c r="R33" s="11">
        <v>3884</v>
      </c>
      <c r="S33" s="11">
        <v>0</v>
      </c>
      <c r="T33" s="11">
        <v>681</v>
      </c>
      <c r="U33" s="11">
        <v>2141</v>
      </c>
      <c r="V33" s="11">
        <v>4433</v>
      </c>
      <c r="W33" s="11">
        <v>2188</v>
      </c>
    </row>
    <row r="34" spans="1:23" x14ac:dyDescent="0.2">
      <c r="A34" s="6" t="s">
        <v>263</v>
      </c>
      <c r="B34" s="11">
        <v>3844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3844</v>
      </c>
      <c r="O34" s="11">
        <v>0</v>
      </c>
      <c r="P34" s="11">
        <v>0</v>
      </c>
      <c r="Q34" s="11">
        <v>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11">
        <v>0</v>
      </c>
    </row>
    <row r="35" spans="1:23" x14ac:dyDescent="0.2">
      <c r="A35" s="6" t="s">
        <v>264</v>
      </c>
      <c r="B35" s="11">
        <v>156039</v>
      </c>
      <c r="C35" s="11">
        <v>5648</v>
      </c>
      <c r="D35" s="11">
        <v>16171</v>
      </c>
      <c r="E35" s="11">
        <v>9013</v>
      </c>
      <c r="F35" s="11">
        <v>13282</v>
      </c>
      <c r="G35" s="11">
        <v>5625</v>
      </c>
      <c r="H35" s="11">
        <v>9416</v>
      </c>
      <c r="I35" s="11">
        <v>6009</v>
      </c>
      <c r="J35" s="11">
        <v>6369</v>
      </c>
      <c r="K35" s="11">
        <v>3030</v>
      </c>
      <c r="L35" s="11">
        <v>10890</v>
      </c>
      <c r="M35" s="11">
        <v>10731</v>
      </c>
      <c r="N35" s="11">
        <v>22375</v>
      </c>
      <c r="O35" s="11">
        <v>9953</v>
      </c>
      <c r="P35" s="11">
        <v>10780</v>
      </c>
      <c r="Q35" s="11">
        <v>2808</v>
      </c>
      <c r="R35" s="11">
        <v>8000</v>
      </c>
      <c r="S35" s="11">
        <v>0</v>
      </c>
      <c r="T35" s="11">
        <v>1909</v>
      </c>
      <c r="U35" s="11">
        <v>0</v>
      </c>
      <c r="V35" s="11">
        <v>4034</v>
      </c>
      <c r="W35" s="11">
        <v>0</v>
      </c>
    </row>
    <row r="36" spans="1:23" x14ac:dyDescent="0.2">
      <c r="A36" s="6" t="s">
        <v>265</v>
      </c>
      <c r="B36" s="11">
        <v>120963</v>
      </c>
      <c r="C36" s="11">
        <v>8703</v>
      </c>
      <c r="D36" s="11">
        <v>0</v>
      </c>
      <c r="E36" s="11">
        <v>3953</v>
      </c>
      <c r="F36" s="11">
        <v>787</v>
      </c>
      <c r="G36" s="11">
        <v>11923</v>
      </c>
      <c r="H36" s="11">
        <v>3328</v>
      </c>
      <c r="I36" s="11">
        <v>3886</v>
      </c>
      <c r="J36" s="11">
        <v>8144</v>
      </c>
      <c r="K36" s="11">
        <v>7985</v>
      </c>
      <c r="L36" s="11">
        <v>4991</v>
      </c>
      <c r="M36" s="11">
        <v>5939</v>
      </c>
      <c r="N36" s="11">
        <v>6294</v>
      </c>
      <c r="O36" s="11">
        <v>7863</v>
      </c>
      <c r="P36" s="11">
        <v>7166</v>
      </c>
      <c r="Q36" s="11">
        <v>11578</v>
      </c>
      <c r="R36" s="11">
        <v>7669</v>
      </c>
      <c r="S36" s="11">
        <v>0</v>
      </c>
      <c r="T36" s="11">
        <v>9216</v>
      </c>
      <c r="U36" s="11">
        <v>4025</v>
      </c>
      <c r="V36" s="11">
        <v>2952</v>
      </c>
      <c r="W36" s="11">
        <v>4559</v>
      </c>
    </row>
    <row r="37" spans="1:23" x14ac:dyDescent="0.2">
      <c r="A37" s="6" t="s">
        <v>266</v>
      </c>
      <c r="B37" s="11">
        <v>44278</v>
      </c>
      <c r="C37" s="11">
        <v>0</v>
      </c>
      <c r="D37" s="11">
        <v>0</v>
      </c>
      <c r="E37" s="11">
        <v>4199</v>
      </c>
      <c r="F37" s="11">
        <v>0</v>
      </c>
      <c r="G37" s="11">
        <v>2057</v>
      </c>
      <c r="H37" s="11">
        <v>1542</v>
      </c>
      <c r="I37" s="11">
        <v>0</v>
      </c>
      <c r="J37" s="11">
        <v>5932</v>
      </c>
      <c r="K37" s="11">
        <v>1400</v>
      </c>
      <c r="L37" s="11">
        <v>4425</v>
      </c>
      <c r="M37" s="11">
        <v>4099</v>
      </c>
      <c r="N37" s="11">
        <v>6408</v>
      </c>
      <c r="O37" s="11">
        <v>7743</v>
      </c>
      <c r="P37" s="11">
        <v>1448</v>
      </c>
      <c r="Q37" s="11">
        <v>5026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11">
        <v>0</v>
      </c>
    </row>
    <row r="38" spans="1:23" x14ac:dyDescent="0.2">
      <c r="A38" s="6" t="s">
        <v>267</v>
      </c>
      <c r="B38" s="11">
        <v>9536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11">
        <v>541</v>
      </c>
      <c r="M38" s="11">
        <v>0</v>
      </c>
      <c r="N38" s="11">
        <v>0</v>
      </c>
      <c r="O38" s="11">
        <v>0</v>
      </c>
      <c r="P38" s="11">
        <v>4765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4229</v>
      </c>
      <c r="W38" s="11">
        <v>0</v>
      </c>
    </row>
    <row r="39" spans="1:23" x14ac:dyDescent="0.2">
      <c r="A39" s="6" t="s">
        <v>268</v>
      </c>
      <c r="B39" s="11">
        <v>17079</v>
      </c>
      <c r="C39" s="11">
        <v>2954</v>
      </c>
      <c r="D39" s="11">
        <v>0</v>
      </c>
      <c r="E39" s="11">
        <v>588</v>
      </c>
      <c r="F39" s="11">
        <v>0</v>
      </c>
      <c r="G39" s="11">
        <v>3873</v>
      </c>
      <c r="H39" s="11">
        <v>3111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1136</v>
      </c>
      <c r="O39" s="11">
        <v>0</v>
      </c>
      <c r="P39" s="11">
        <v>899</v>
      </c>
      <c r="Q39" s="11">
        <v>1732</v>
      </c>
      <c r="R39" s="11">
        <v>1747</v>
      </c>
      <c r="S39" s="11">
        <v>1040</v>
      </c>
      <c r="T39" s="11">
        <v>0</v>
      </c>
      <c r="U39" s="11">
        <v>0</v>
      </c>
      <c r="V39" s="11">
        <v>0</v>
      </c>
      <c r="W39" s="11">
        <v>0</v>
      </c>
    </row>
    <row r="40" spans="1:23" x14ac:dyDescent="0.2">
      <c r="A40" s="6" t="s">
        <v>269</v>
      </c>
      <c r="B40" s="11">
        <v>130035</v>
      </c>
      <c r="C40" s="11">
        <v>7418</v>
      </c>
      <c r="D40" s="11">
        <v>6068</v>
      </c>
      <c r="E40" s="11">
        <v>6065</v>
      </c>
      <c r="F40" s="11">
        <v>8987</v>
      </c>
      <c r="G40" s="11">
        <v>6344</v>
      </c>
      <c r="H40" s="11">
        <v>0</v>
      </c>
      <c r="I40" s="11">
        <v>6205</v>
      </c>
      <c r="J40" s="11">
        <v>6981</v>
      </c>
      <c r="K40" s="11">
        <v>0</v>
      </c>
      <c r="L40" s="11">
        <v>8108</v>
      </c>
      <c r="M40" s="11">
        <v>6658</v>
      </c>
      <c r="N40" s="11">
        <v>10997</v>
      </c>
      <c r="O40" s="11">
        <v>11071</v>
      </c>
      <c r="P40" s="11">
        <v>10881</v>
      </c>
      <c r="Q40" s="11">
        <v>9695</v>
      </c>
      <c r="R40" s="11">
        <v>7315</v>
      </c>
      <c r="S40" s="11">
        <v>5920</v>
      </c>
      <c r="T40" s="11">
        <v>3305</v>
      </c>
      <c r="U40" s="11">
        <v>1006</v>
      </c>
      <c r="V40" s="11">
        <v>7011</v>
      </c>
      <c r="W40" s="11">
        <v>0</v>
      </c>
    </row>
    <row r="41" spans="1:23" x14ac:dyDescent="0.2">
      <c r="A41" s="6" t="s">
        <v>270</v>
      </c>
      <c r="B41" s="11">
        <v>11542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6078</v>
      </c>
      <c r="I41" s="11">
        <v>0</v>
      </c>
      <c r="J41" s="11">
        <v>0</v>
      </c>
      <c r="K41" s="11">
        <v>0</v>
      </c>
      <c r="L41" s="11">
        <v>0</v>
      </c>
      <c r="M41" s="11">
        <v>0</v>
      </c>
      <c r="N41" s="11">
        <v>5464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11">
        <v>0</v>
      </c>
    </row>
    <row r="42" spans="1:23" x14ac:dyDescent="0.2">
      <c r="A42" s="6" t="s">
        <v>271</v>
      </c>
      <c r="B42" s="11">
        <v>31336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4073</v>
      </c>
      <c r="K42" s="11">
        <v>4061</v>
      </c>
      <c r="L42" s="11">
        <v>5106</v>
      </c>
      <c r="M42" s="11">
        <v>3319</v>
      </c>
      <c r="N42" s="11">
        <v>3205</v>
      </c>
      <c r="O42" s="11">
        <v>3568</v>
      </c>
      <c r="P42" s="11">
        <v>4211</v>
      </c>
      <c r="Q42" s="11">
        <v>0</v>
      </c>
      <c r="R42" s="11">
        <v>0</v>
      </c>
      <c r="S42" s="11">
        <v>3793</v>
      </c>
      <c r="T42" s="11">
        <v>0</v>
      </c>
      <c r="U42" s="11">
        <v>0</v>
      </c>
      <c r="V42" s="11">
        <v>0</v>
      </c>
      <c r="W42" s="11">
        <v>0</v>
      </c>
    </row>
    <row r="43" spans="1:23" x14ac:dyDescent="0.2">
      <c r="A43" s="6" t="s">
        <v>272</v>
      </c>
      <c r="B43" s="11">
        <v>3873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11">
        <v>971</v>
      </c>
      <c r="M43" s="11">
        <v>0</v>
      </c>
      <c r="N43" s="11">
        <v>0</v>
      </c>
      <c r="O43" s="11">
        <v>0</v>
      </c>
      <c r="P43" s="11">
        <v>0</v>
      </c>
      <c r="Q43" s="11">
        <v>2902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1">
        <v>0</v>
      </c>
    </row>
    <row r="44" spans="1:23" x14ac:dyDescent="0.2">
      <c r="A44" s="6" t="s">
        <v>273</v>
      </c>
      <c r="B44" s="11">
        <v>26221</v>
      </c>
      <c r="C44" s="11">
        <v>2367</v>
      </c>
      <c r="D44" s="11">
        <v>2863</v>
      </c>
      <c r="E44" s="11">
        <v>1332</v>
      </c>
      <c r="F44" s="11">
        <v>3468</v>
      </c>
      <c r="G44" s="11">
        <v>4258</v>
      </c>
      <c r="H44" s="11">
        <v>3286</v>
      </c>
      <c r="I44" s="11">
        <v>3696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4949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1">
        <v>0</v>
      </c>
    </row>
    <row r="45" spans="1:23" x14ac:dyDescent="0.2">
      <c r="A45" s="6" t="s">
        <v>274</v>
      </c>
      <c r="B45" s="11">
        <v>13160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4526</v>
      </c>
      <c r="O45" s="11">
        <v>0</v>
      </c>
      <c r="P45" s="11">
        <v>0</v>
      </c>
      <c r="Q45" s="11">
        <v>4032</v>
      </c>
      <c r="R45" s="11">
        <v>4602</v>
      </c>
      <c r="S45" s="11">
        <v>0</v>
      </c>
      <c r="T45" s="11">
        <v>0</v>
      </c>
      <c r="U45" s="11">
        <v>0</v>
      </c>
      <c r="V45" s="11">
        <v>0</v>
      </c>
      <c r="W45" s="11">
        <v>0</v>
      </c>
    </row>
    <row r="46" spans="1:23" x14ac:dyDescent="0.2">
      <c r="A46" s="6" t="s">
        <v>275</v>
      </c>
      <c r="B46" s="11">
        <v>6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>
        <v>0</v>
      </c>
      <c r="L46" s="11">
        <v>0</v>
      </c>
      <c r="M46" s="11">
        <v>7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1">
        <v>0</v>
      </c>
    </row>
    <row r="47" spans="1:23" x14ac:dyDescent="0.2">
      <c r="A47" s="6" t="s">
        <v>276</v>
      </c>
      <c r="B47" s="13">
        <v>3663052</v>
      </c>
      <c r="C47" s="13">
        <v>185015</v>
      </c>
      <c r="D47" s="13">
        <v>179238</v>
      </c>
      <c r="E47" s="13">
        <v>176023</v>
      </c>
      <c r="F47" s="13">
        <v>179832</v>
      </c>
      <c r="G47" s="13">
        <v>179346</v>
      </c>
      <c r="H47" s="13">
        <v>150550</v>
      </c>
      <c r="I47" s="13">
        <v>120828</v>
      </c>
      <c r="J47" s="13">
        <v>167779</v>
      </c>
      <c r="K47" s="13">
        <v>127730</v>
      </c>
      <c r="L47" s="13">
        <v>229773</v>
      </c>
      <c r="M47" s="13">
        <v>226561</v>
      </c>
      <c r="N47" s="13">
        <v>447801</v>
      </c>
      <c r="O47" s="13">
        <v>250649</v>
      </c>
      <c r="P47" s="13">
        <v>307600</v>
      </c>
      <c r="Q47" s="13">
        <v>262760</v>
      </c>
      <c r="R47" s="13">
        <v>229172</v>
      </c>
      <c r="S47" s="13">
        <v>59031</v>
      </c>
      <c r="T47" s="13">
        <v>57809</v>
      </c>
      <c r="U47" s="13">
        <v>36546</v>
      </c>
      <c r="V47" s="13">
        <v>66433</v>
      </c>
      <c r="W47" s="13">
        <v>22576</v>
      </c>
    </row>
    <row r="48" spans="1:23" x14ac:dyDescent="0.2">
      <c r="A48" s="6" t="s">
        <v>277</v>
      </c>
      <c r="B48" s="15" t="s">
        <v>70</v>
      </c>
      <c r="C48" s="15" t="s">
        <v>70</v>
      </c>
      <c r="D48" s="15" t="s">
        <v>70</v>
      </c>
      <c r="E48" s="15" t="s">
        <v>70</v>
      </c>
      <c r="F48" s="15" t="s">
        <v>70</v>
      </c>
      <c r="G48" s="15" t="s">
        <v>70</v>
      </c>
      <c r="H48" s="15" t="s">
        <v>70</v>
      </c>
      <c r="I48" s="15" t="s">
        <v>70</v>
      </c>
      <c r="J48" s="15" t="s">
        <v>70</v>
      </c>
      <c r="K48" s="15" t="s">
        <v>70</v>
      </c>
      <c r="L48" s="15" t="s">
        <v>70</v>
      </c>
      <c r="M48" s="15" t="s">
        <v>70</v>
      </c>
      <c r="N48" s="15" t="s">
        <v>70</v>
      </c>
      <c r="O48" s="15" t="s">
        <v>70</v>
      </c>
      <c r="P48" s="15" t="s">
        <v>70</v>
      </c>
      <c r="Q48" s="15" t="s">
        <v>70</v>
      </c>
      <c r="R48" s="15" t="s">
        <v>70</v>
      </c>
      <c r="S48" s="15" t="s">
        <v>70</v>
      </c>
      <c r="T48" s="15" t="s">
        <v>70</v>
      </c>
      <c r="U48" s="15" t="s">
        <v>70</v>
      </c>
      <c r="V48" s="15" t="s">
        <v>70</v>
      </c>
      <c r="W48" s="15" t="s">
        <v>70</v>
      </c>
    </row>
    <row r="49" spans="1:23" x14ac:dyDescent="0.2">
      <c r="A49" s="6" t="s">
        <v>278</v>
      </c>
      <c r="B49" s="11">
        <v>329396</v>
      </c>
      <c r="C49" s="11">
        <v>17268</v>
      </c>
      <c r="D49" s="11">
        <v>15746</v>
      </c>
      <c r="E49" s="11">
        <v>16370</v>
      </c>
      <c r="F49" s="11">
        <v>14560</v>
      </c>
      <c r="G49" s="11">
        <v>17540</v>
      </c>
      <c r="H49" s="11">
        <v>14210</v>
      </c>
      <c r="I49" s="11">
        <v>10901</v>
      </c>
      <c r="J49" s="11">
        <v>15242</v>
      </c>
      <c r="K49" s="11">
        <v>12102</v>
      </c>
      <c r="L49" s="11">
        <v>21275</v>
      </c>
      <c r="M49" s="11">
        <v>20553</v>
      </c>
      <c r="N49" s="11">
        <v>39034</v>
      </c>
      <c r="O49" s="11">
        <v>21529</v>
      </c>
      <c r="P49" s="11">
        <v>26978</v>
      </c>
      <c r="Q49" s="11">
        <v>26397</v>
      </c>
      <c r="R49" s="11">
        <v>20661</v>
      </c>
      <c r="S49" s="11">
        <v>4840</v>
      </c>
      <c r="T49" s="11">
        <v>4621</v>
      </c>
      <c r="U49" s="11">
        <v>3894</v>
      </c>
      <c r="V49" s="11">
        <v>5642</v>
      </c>
      <c r="W49" s="11">
        <v>34</v>
      </c>
    </row>
    <row r="50" spans="1:23" x14ac:dyDescent="0.2">
      <c r="A50" s="6" t="s">
        <v>279</v>
      </c>
      <c r="B50" s="11">
        <v>62650</v>
      </c>
      <c r="C50" s="11">
        <v>7745</v>
      </c>
      <c r="D50" s="11">
        <v>-722</v>
      </c>
      <c r="E50" s="11">
        <v>5278</v>
      </c>
      <c r="F50" s="11">
        <v>-1867</v>
      </c>
      <c r="G50" s="11">
        <v>3807</v>
      </c>
      <c r="H50" s="11">
        <v>1993</v>
      </c>
      <c r="I50" s="11">
        <v>-7343</v>
      </c>
      <c r="J50" s="11">
        <v>7381</v>
      </c>
      <c r="K50" s="11">
        <v>1978</v>
      </c>
      <c r="L50" s="11">
        <v>7432</v>
      </c>
      <c r="M50" s="11">
        <v>3606</v>
      </c>
      <c r="N50" s="11">
        <v>-83</v>
      </c>
      <c r="O50" s="11">
        <v>11266</v>
      </c>
      <c r="P50" s="11">
        <v>3053</v>
      </c>
      <c r="Q50" s="11">
        <v>8174</v>
      </c>
      <c r="R50" s="11">
        <v>3972</v>
      </c>
      <c r="S50" s="11">
        <v>897</v>
      </c>
      <c r="T50" s="11">
        <v>2890</v>
      </c>
      <c r="U50" s="11">
        <v>1540</v>
      </c>
      <c r="V50" s="11">
        <v>1414</v>
      </c>
      <c r="W50" s="11">
        <v>241</v>
      </c>
    </row>
    <row r="51" spans="1:23" x14ac:dyDescent="0.2">
      <c r="A51" s="6" t="s">
        <v>280</v>
      </c>
      <c r="B51" s="13">
        <v>392046</v>
      </c>
      <c r="C51" s="13">
        <v>25013</v>
      </c>
      <c r="D51" s="13">
        <v>15024</v>
      </c>
      <c r="E51" s="13">
        <v>21648</v>
      </c>
      <c r="F51" s="13">
        <v>12693</v>
      </c>
      <c r="G51" s="13">
        <v>21347</v>
      </c>
      <c r="H51" s="13">
        <v>16203</v>
      </c>
      <c r="I51" s="13">
        <v>3558</v>
      </c>
      <c r="J51" s="13">
        <v>22623</v>
      </c>
      <c r="K51" s="13">
        <v>14080</v>
      </c>
      <c r="L51" s="13">
        <v>28707</v>
      </c>
      <c r="M51" s="13">
        <v>24159</v>
      </c>
      <c r="N51" s="13">
        <v>38951</v>
      </c>
      <c r="O51" s="13">
        <v>32795</v>
      </c>
      <c r="P51" s="13">
        <v>30031</v>
      </c>
      <c r="Q51" s="13">
        <v>34571</v>
      </c>
      <c r="R51" s="13">
        <v>24633</v>
      </c>
      <c r="S51" s="13">
        <v>5737</v>
      </c>
      <c r="T51" s="13">
        <v>7511</v>
      </c>
      <c r="U51" s="13">
        <v>5434</v>
      </c>
      <c r="V51" s="13">
        <v>7056</v>
      </c>
      <c r="W51" s="13">
        <v>275</v>
      </c>
    </row>
    <row r="52" spans="1:23" x14ac:dyDescent="0.2">
      <c r="A52" s="6" t="s">
        <v>281</v>
      </c>
      <c r="B52" s="14">
        <v>4055098</v>
      </c>
      <c r="C52" s="14">
        <v>210028</v>
      </c>
      <c r="D52" s="14">
        <v>194262</v>
      </c>
      <c r="E52" s="14">
        <v>197671</v>
      </c>
      <c r="F52" s="14">
        <v>192525</v>
      </c>
      <c r="G52" s="14">
        <v>200693</v>
      </c>
      <c r="H52" s="14">
        <v>166753</v>
      </c>
      <c r="I52" s="14">
        <v>124386</v>
      </c>
      <c r="J52" s="14">
        <v>190402</v>
      </c>
      <c r="K52" s="14">
        <v>141810</v>
      </c>
      <c r="L52" s="14">
        <v>258480</v>
      </c>
      <c r="M52" s="14">
        <v>250720</v>
      </c>
      <c r="N52" s="14">
        <v>486752</v>
      </c>
      <c r="O52" s="14">
        <v>283444</v>
      </c>
      <c r="P52" s="14">
        <v>337631</v>
      </c>
      <c r="Q52" s="14">
        <v>297331</v>
      </c>
      <c r="R52" s="14">
        <v>253805</v>
      </c>
      <c r="S52" s="14">
        <v>64768</v>
      </c>
      <c r="T52" s="14">
        <v>65320</v>
      </c>
      <c r="U52" s="14">
        <v>41980</v>
      </c>
      <c r="V52" s="14">
        <v>73489</v>
      </c>
      <c r="W52" s="14">
        <v>22851</v>
      </c>
    </row>
    <row r="53" spans="1:23" x14ac:dyDescent="0.2">
      <c r="A53" s="4" t="s">
        <v>6</v>
      </c>
    </row>
    <row r="54" spans="1:23" x14ac:dyDescent="0.2">
      <c r="A54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32"/>
  <sheetViews>
    <sheetView workbookViewId="0"/>
  </sheetViews>
  <sheetFormatPr defaultColWidth="9.140625" defaultRowHeight="12.75" x14ac:dyDescent="0.2"/>
  <cols>
    <col min="1" max="1" width="39.140625" style="3" customWidth="1"/>
    <col min="2" max="2" width="14.28515625" style="3" customWidth="1"/>
    <col min="3" max="3" width="18.85546875" style="3" customWidth="1"/>
    <col min="4" max="4" width="12.7109375" style="3" customWidth="1"/>
    <col min="5" max="5" width="26.28515625" style="3" customWidth="1"/>
    <col min="6" max="6" width="19.42578125" style="3" customWidth="1"/>
    <col min="7" max="7" width="18.7109375" style="3" customWidth="1"/>
    <col min="8" max="8" width="14.85546875" style="3" customWidth="1"/>
    <col min="9" max="9" width="15.5703125" style="3" customWidth="1"/>
    <col min="10" max="10" width="12.85546875" style="3" customWidth="1"/>
    <col min="11" max="11" width="20.7109375" style="3" customWidth="1"/>
    <col min="12" max="12" width="14.140625" style="3" customWidth="1"/>
    <col min="13" max="13" width="15.7109375" style="3" customWidth="1"/>
    <col min="14" max="14" width="20.7109375" style="3" customWidth="1"/>
    <col min="15" max="15" width="13.5703125" style="3" customWidth="1"/>
    <col min="16" max="16" width="15.5703125" style="3" customWidth="1"/>
    <col min="17" max="17" width="22.28515625" style="3" customWidth="1"/>
    <col min="18" max="18" width="17.42578125" style="3" customWidth="1"/>
    <col min="19" max="19" width="16.42578125" style="3" customWidth="1"/>
    <col min="20" max="20" width="13.5703125" style="3" customWidth="1"/>
    <col min="21" max="21" width="13.140625" style="3" customWidth="1"/>
    <col min="22" max="22" width="13.85546875" style="3" customWidth="1"/>
    <col min="23" max="23" width="14" style="3" customWidth="1"/>
    <col min="24" max="24" width="9.140625" style="3" customWidth="1"/>
    <col min="25" max="16384" width="9.140625" style="3"/>
  </cols>
  <sheetData>
    <row r="1" spans="1:23" ht="18" x14ac:dyDescent="0.25">
      <c r="A1" s="5" t="s">
        <v>0</v>
      </c>
    </row>
    <row r="2" spans="1:23" ht="18" x14ac:dyDescent="0.25">
      <c r="A2" s="5" t="s">
        <v>282</v>
      </c>
    </row>
    <row r="3" spans="1:23" ht="18" x14ac:dyDescent="0.25">
      <c r="A3" s="5" t="s">
        <v>2</v>
      </c>
    </row>
    <row r="4" spans="1:23" x14ac:dyDescent="0.2">
      <c r="A4" s="6" t="s">
        <v>3</v>
      </c>
      <c r="B4" s="6" t="s">
        <v>4</v>
      </c>
    </row>
    <row r="5" spans="1:23" x14ac:dyDescent="0.2">
      <c r="A5" s="6" t="s">
        <v>5</v>
      </c>
      <c r="B5" s="6" t="s">
        <v>0</v>
      </c>
    </row>
    <row r="6" spans="1:23" x14ac:dyDescent="0.2">
      <c r="A6" s="4" t="s">
        <v>6</v>
      </c>
    </row>
    <row r="7" spans="1:23" x14ac:dyDescent="0.2">
      <c r="A7" s="6" t="s">
        <v>6</v>
      </c>
      <c r="B7" s="6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  <c r="J7" s="7" t="s">
        <v>14</v>
      </c>
      <c r="K7" s="7" t="s">
        <v>15</v>
      </c>
      <c r="L7" s="7" t="s">
        <v>16</v>
      </c>
      <c r="M7" s="7" t="s">
        <v>17</v>
      </c>
      <c r="N7" s="7" t="s">
        <v>18</v>
      </c>
      <c r="O7" s="7" t="s">
        <v>19</v>
      </c>
      <c r="P7" s="7" t="s">
        <v>20</v>
      </c>
      <c r="Q7" s="7" t="s">
        <v>21</v>
      </c>
      <c r="R7" s="7" t="s">
        <v>22</v>
      </c>
      <c r="S7" s="7" t="s">
        <v>23</v>
      </c>
      <c r="T7" s="7" t="s">
        <v>24</v>
      </c>
      <c r="U7" s="7" t="s">
        <v>25</v>
      </c>
      <c r="V7" s="7" t="s">
        <v>26</v>
      </c>
      <c r="W7" s="7" t="s">
        <v>27</v>
      </c>
    </row>
    <row r="8" spans="1:23" x14ac:dyDescent="0.2">
      <c r="A8" s="6" t="s">
        <v>6</v>
      </c>
      <c r="B8" s="7" t="s">
        <v>29</v>
      </c>
      <c r="C8" s="7" t="s">
        <v>29</v>
      </c>
      <c r="D8" s="7" t="s">
        <v>29</v>
      </c>
      <c r="E8" s="7" t="s">
        <v>29</v>
      </c>
      <c r="F8" s="7" t="s">
        <v>29</v>
      </c>
      <c r="G8" s="7" t="s">
        <v>29</v>
      </c>
      <c r="H8" s="7" t="s">
        <v>29</v>
      </c>
      <c r="I8" s="7" t="s">
        <v>29</v>
      </c>
      <c r="J8" s="7" t="s">
        <v>29</v>
      </c>
      <c r="K8" s="7" t="s">
        <v>29</v>
      </c>
      <c r="L8" s="7" t="s">
        <v>29</v>
      </c>
      <c r="M8" s="7" t="s">
        <v>29</v>
      </c>
      <c r="N8" s="7" t="s">
        <v>29</v>
      </c>
      <c r="O8" s="7" t="s">
        <v>29</v>
      </c>
      <c r="P8" s="7" t="s">
        <v>29</v>
      </c>
      <c r="Q8" s="7" t="s">
        <v>29</v>
      </c>
      <c r="R8" s="7" t="s">
        <v>29</v>
      </c>
      <c r="S8" s="7" t="s">
        <v>29</v>
      </c>
      <c r="T8" s="7" t="s">
        <v>29</v>
      </c>
      <c r="U8" s="7" t="s">
        <v>29</v>
      </c>
      <c r="V8" s="7" t="s">
        <v>29</v>
      </c>
      <c r="W8" s="7" t="s">
        <v>29</v>
      </c>
    </row>
    <row r="9" spans="1:23" x14ac:dyDescent="0.2">
      <c r="A9" s="6" t="s">
        <v>6</v>
      </c>
      <c r="B9" s="8" t="s">
        <v>4</v>
      </c>
      <c r="C9" s="8" t="s">
        <v>4</v>
      </c>
      <c r="D9" s="8" t="s">
        <v>4</v>
      </c>
      <c r="E9" s="8" t="s">
        <v>4</v>
      </c>
      <c r="F9" s="8" t="s">
        <v>4</v>
      </c>
      <c r="G9" s="8" t="s">
        <v>4</v>
      </c>
      <c r="H9" s="8" t="s">
        <v>4</v>
      </c>
      <c r="I9" s="8" t="s">
        <v>4</v>
      </c>
      <c r="J9" s="8" t="s">
        <v>4</v>
      </c>
      <c r="K9" s="8" t="s">
        <v>4</v>
      </c>
      <c r="L9" s="8" t="s">
        <v>4</v>
      </c>
      <c r="M9" s="8" t="s">
        <v>4</v>
      </c>
      <c r="N9" s="8" t="s">
        <v>4</v>
      </c>
      <c r="O9" s="8" t="s">
        <v>4</v>
      </c>
      <c r="P9" s="8" t="s">
        <v>4</v>
      </c>
      <c r="Q9" s="8" t="s">
        <v>4</v>
      </c>
      <c r="R9" s="8" t="s">
        <v>4</v>
      </c>
      <c r="S9" s="8" t="s">
        <v>4</v>
      </c>
      <c r="T9" s="8" t="s">
        <v>4</v>
      </c>
      <c r="U9" s="8" t="s">
        <v>4</v>
      </c>
      <c r="V9" s="8" t="s">
        <v>4</v>
      </c>
      <c r="W9" s="8" t="s">
        <v>4</v>
      </c>
    </row>
    <row r="10" spans="1:23" x14ac:dyDescent="0.2">
      <c r="A10" s="9" t="s">
        <v>6</v>
      </c>
      <c r="B10" s="10" t="s">
        <v>30</v>
      </c>
      <c r="C10" s="10" t="s">
        <v>30</v>
      </c>
      <c r="D10" s="10" t="s">
        <v>30</v>
      </c>
      <c r="E10" s="10" t="s">
        <v>30</v>
      </c>
      <c r="F10" s="10" t="s">
        <v>30</v>
      </c>
      <c r="G10" s="10" t="s">
        <v>30</v>
      </c>
      <c r="H10" s="10" t="s">
        <v>30</v>
      </c>
      <c r="I10" s="10" t="s">
        <v>30</v>
      </c>
      <c r="J10" s="10" t="s">
        <v>30</v>
      </c>
      <c r="K10" s="10" t="s">
        <v>30</v>
      </c>
      <c r="L10" s="10" t="s">
        <v>30</v>
      </c>
      <c r="M10" s="10" t="s">
        <v>30</v>
      </c>
      <c r="N10" s="10" t="s">
        <v>30</v>
      </c>
      <c r="O10" s="10" t="s">
        <v>30</v>
      </c>
      <c r="P10" s="10" t="s">
        <v>30</v>
      </c>
      <c r="Q10" s="10" t="s">
        <v>30</v>
      </c>
      <c r="R10" s="10" t="s">
        <v>30</v>
      </c>
      <c r="S10" s="10" t="s">
        <v>30</v>
      </c>
      <c r="T10" s="10" t="s">
        <v>30</v>
      </c>
      <c r="U10" s="10" t="s">
        <v>30</v>
      </c>
      <c r="V10" s="10" t="s">
        <v>30</v>
      </c>
      <c r="W10" s="10" t="s">
        <v>30</v>
      </c>
    </row>
    <row r="11" spans="1:23" x14ac:dyDescent="0.2">
      <c r="A11" s="6" t="s">
        <v>283</v>
      </c>
      <c r="B11" s="6" t="s">
        <v>32</v>
      </c>
      <c r="C11" s="6" t="s">
        <v>32</v>
      </c>
      <c r="D11" s="6" t="s">
        <v>32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</row>
    <row r="12" spans="1:23" x14ac:dyDescent="0.2">
      <c r="A12" s="6" t="s">
        <v>284</v>
      </c>
      <c r="B12" s="6" t="s">
        <v>70</v>
      </c>
      <c r="C12" s="6" t="s">
        <v>70</v>
      </c>
      <c r="D12" s="6" t="s">
        <v>70</v>
      </c>
      <c r="E12" s="6" t="s">
        <v>70</v>
      </c>
      <c r="F12" s="6" t="s">
        <v>70</v>
      </c>
      <c r="G12" s="6" t="s">
        <v>70</v>
      </c>
      <c r="H12" s="6" t="s">
        <v>70</v>
      </c>
      <c r="I12" s="6" t="s">
        <v>70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70</v>
      </c>
      <c r="T12" s="6" t="s">
        <v>70</v>
      </c>
      <c r="U12" s="6" t="s">
        <v>70</v>
      </c>
      <c r="V12" s="6" t="s">
        <v>70</v>
      </c>
      <c r="W12" s="6" t="s">
        <v>70</v>
      </c>
    </row>
    <row r="13" spans="1:23" x14ac:dyDescent="0.2">
      <c r="A13" s="6" t="s">
        <v>71</v>
      </c>
      <c r="B13" s="16">
        <v>125403.66</v>
      </c>
      <c r="C13" s="16">
        <v>7533.64</v>
      </c>
      <c r="D13" s="16">
        <v>0</v>
      </c>
      <c r="E13" s="16">
        <v>1480</v>
      </c>
      <c r="F13" s="16">
        <v>7318.68</v>
      </c>
      <c r="G13" s="16">
        <v>6584.3</v>
      </c>
      <c r="H13" s="16">
        <v>2125</v>
      </c>
      <c r="I13" s="16">
        <v>6356.32</v>
      </c>
      <c r="J13" s="16">
        <v>7318.68</v>
      </c>
      <c r="K13" s="16">
        <v>7559.98</v>
      </c>
      <c r="L13" s="16">
        <v>8538.5</v>
      </c>
      <c r="M13" s="16">
        <v>8131.86</v>
      </c>
      <c r="N13" s="16">
        <v>8945.0499999999993</v>
      </c>
      <c r="O13" s="16">
        <v>8134.62</v>
      </c>
      <c r="P13" s="16">
        <v>8131.86</v>
      </c>
      <c r="Q13" s="16">
        <v>10300.43</v>
      </c>
      <c r="R13" s="16">
        <v>7767.87</v>
      </c>
      <c r="S13" s="16">
        <v>6642.86</v>
      </c>
      <c r="T13" s="16">
        <v>3145.05</v>
      </c>
      <c r="U13" s="16">
        <v>850.5</v>
      </c>
      <c r="V13" s="16">
        <v>8538.4599999999991</v>
      </c>
      <c r="W13" s="16">
        <v>0</v>
      </c>
    </row>
    <row r="14" spans="1:23" x14ac:dyDescent="0.2">
      <c r="A14" s="6" t="s">
        <v>72</v>
      </c>
      <c r="B14" s="16">
        <v>272.94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80.63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192.31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</row>
    <row r="15" spans="1:23" x14ac:dyDescent="0.2">
      <c r="A15" s="6" t="s">
        <v>73</v>
      </c>
      <c r="B15" s="16">
        <v>1464.29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1250</v>
      </c>
      <c r="N15" s="16">
        <v>0</v>
      </c>
      <c r="O15" s="16">
        <v>214.29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</row>
    <row r="16" spans="1:23" x14ac:dyDescent="0.2">
      <c r="A16" s="6" t="s">
        <v>74</v>
      </c>
      <c r="B16" s="16">
        <v>96.43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96.43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</row>
    <row r="17" spans="1:23" x14ac:dyDescent="0.2">
      <c r="A17" s="6" t="s">
        <v>75</v>
      </c>
      <c r="B17" s="16">
        <v>4271.79</v>
      </c>
      <c r="C17" s="16">
        <v>0</v>
      </c>
      <c r="D17" s="16">
        <v>0</v>
      </c>
      <c r="E17" s="16">
        <v>0</v>
      </c>
      <c r="F17" s="16">
        <v>0</v>
      </c>
      <c r="G17" s="16">
        <v>452.41</v>
      </c>
      <c r="H17" s="16">
        <v>-406.31</v>
      </c>
      <c r="I17" s="16">
        <v>490.32</v>
      </c>
      <c r="J17" s="16">
        <v>132.91999999999999</v>
      </c>
      <c r="K17" s="16">
        <v>0</v>
      </c>
      <c r="L17" s="16">
        <v>155.08000000000001</v>
      </c>
      <c r="M17" s="16">
        <v>295.85000000000002</v>
      </c>
      <c r="N17" s="16">
        <v>650.9</v>
      </c>
      <c r="O17" s="16">
        <v>147.33000000000001</v>
      </c>
      <c r="P17" s="16">
        <v>0</v>
      </c>
      <c r="Q17" s="16">
        <v>310.64999999999998</v>
      </c>
      <c r="R17" s="16">
        <v>1568.04</v>
      </c>
      <c r="S17" s="16">
        <v>0</v>
      </c>
      <c r="T17" s="16">
        <v>319.52999999999997</v>
      </c>
      <c r="U17" s="16">
        <v>0</v>
      </c>
      <c r="V17" s="16">
        <v>155.07</v>
      </c>
      <c r="W17" s="16">
        <v>0</v>
      </c>
    </row>
    <row r="18" spans="1:23" x14ac:dyDescent="0.2">
      <c r="A18" s="6" t="s">
        <v>76</v>
      </c>
      <c r="B18" s="16">
        <v>4315.0600000000004</v>
      </c>
      <c r="C18" s="16">
        <v>0</v>
      </c>
      <c r="D18" s="16">
        <v>0</v>
      </c>
      <c r="E18" s="16">
        <v>0</v>
      </c>
      <c r="F18" s="16">
        <v>346.15</v>
      </c>
      <c r="G18" s="16">
        <v>326.88</v>
      </c>
      <c r="H18" s="16">
        <v>0</v>
      </c>
      <c r="I18" s="16">
        <v>344</v>
      </c>
      <c r="J18" s="16">
        <v>346.15</v>
      </c>
      <c r="K18" s="16">
        <v>346.08</v>
      </c>
      <c r="L18" s="16">
        <v>403.85</v>
      </c>
      <c r="M18" s="16">
        <v>384.62</v>
      </c>
      <c r="N18" s="16">
        <v>423.08</v>
      </c>
      <c r="O18" s="16">
        <v>403.85</v>
      </c>
      <c r="P18" s="16">
        <v>0</v>
      </c>
      <c r="Q18" s="16">
        <v>201.93</v>
      </c>
      <c r="R18" s="16">
        <v>384.62</v>
      </c>
      <c r="S18" s="16">
        <v>0</v>
      </c>
      <c r="T18" s="16">
        <v>0</v>
      </c>
      <c r="U18" s="16">
        <v>0</v>
      </c>
      <c r="V18" s="16">
        <v>403.85</v>
      </c>
      <c r="W18" s="16">
        <v>0</v>
      </c>
    </row>
    <row r="19" spans="1:23" x14ac:dyDescent="0.2">
      <c r="A19" s="6" t="s">
        <v>77</v>
      </c>
      <c r="B19" s="16">
        <v>300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50</v>
      </c>
      <c r="K19" s="16">
        <v>50</v>
      </c>
      <c r="L19" s="16">
        <v>50</v>
      </c>
      <c r="M19" s="16">
        <v>50</v>
      </c>
      <c r="N19" s="16">
        <v>50</v>
      </c>
      <c r="O19" s="16">
        <v>0</v>
      </c>
      <c r="P19" s="16">
        <v>50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</row>
    <row r="20" spans="1:23" x14ac:dyDescent="0.2">
      <c r="A20" s="6" t="s">
        <v>285</v>
      </c>
      <c r="B20" s="21">
        <v>136124.17000000001</v>
      </c>
      <c r="C20" s="21">
        <v>7533.64</v>
      </c>
      <c r="D20" s="21">
        <v>0</v>
      </c>
      <c r="E20" s="21">
        <v>1480</v>
      </c>
      <c r="F20" s="21">
        <v>7664.83</v>
      </c>
      <c r="G20" s="21">
        <v>7363.59</v>
      </c>
      <c r="H20" s="21">
        <v>1718.69</v>
      </c>
      <c r="I20" s="21">
        <v>7271.27</v>
      </c>
      <c r="J20" s="21">
        <v>7847.75</v>
      </c>
      <c r="K20" s="21">
        <v>7956.06</v>
      </c>
      <c r="L20" s="21">
        <v>9147.43</v>
      </c>
      <c r="M20" s="21">
        <v>10112.33</v>
      </c>
      <c r="N20" s="21">
        <v>10165.459999999999</v>
      </c>
      <c r="O20" s="21">
        <v>8900.09</v>
      </c>
      <c r="P20" s="21">
        <v>8374.17</v>
      </c>
      <c r="Q20" s="21">
        <v>10813.01</v>
      </c>
      <c r="R20" s="21">
        <v>9720.5300000000007</v>
      </c>
      <c r="S20" s="21">
        <v>6642.86</v>
      </c>
      <c r="T20" s="21">
        <v>3464.58</v>
      </c>
      <c r="U20" s="21">
        <v>850.5</v>
      </c>
      <c r="V20" s="21">
        <v>9097.3799999999992</v>
      </c>
      <c r="W20" s="21">
        <v>0</v>
      </c>
    </row>
    <row r="21" spans="1:23" x14ac:dyDescent="0.2">
      <c r="A21" s="6" t="s">
        <v>286</v>
      </c>
      <c r="B21" s="15" t="s">
        <v>70</v>
      </c>
      <c r="C21" s="15" t="s">
        <v>70</v>
      </c>
      <c r="D21" s="15" t="s">
        <v>70</v>
      </c>
      <c r="E21" s="15" t="s">
        <v>70</v>
      </c>
      <c r="F21" s="15" t="s">
        <v>70</v>
      </c>
      <c r="G21" s="15" t="s">
        <v>70</v>
      </c>
      <c r="H21" s="15" t="s">
        <v>70</v>
      </c>
      <c r="I21" s="15" t="s">
        <v>70</v>
      </c>
      <c r="J21" s="15" t="s">
        <v>70</v>
      </c>
      <c r="K21" s="15" t="s">
        <v>70</v>
      </c>
      <c r="L21" s="15" t="s">
        <v>70</v>
      </c>
      <c r="M21" s="15" t="s">
        <v>70</v>
      </c>
      <c r="N21" s="15" t="s">
        <v>70</v>
      </c>
      <c r="O21" s="15" t="s">
        <v>70</v>
      </c>
      <c r="P21" s="15" t="s">
        <v>70</v>
      </c>
      <c r="Q21" s="15" t="s">
        <v>70</v>
      </c>
      <c r="R21" s="15" t="s">
        <v>70</v>
      </c>
      <c r="S21" s="15" t="s">
        <v>70</v>
      </c>
      <c r="T21" s="15" t="s">
        <v>70</v>
      </c>
      <c r="U21" s="15" t="s">
        <v>70</v>
      </c>
      <c r="V21" s="15" t="s">
        <v>70</v>
      </c>
      <c r="W21" s="15" t="s">
        <v>70</v>
      </c>
    </row>
    <row r="22" spans="1:23" x14ac:dyDescent="0.2">
      <c r="A22" s="6" t="s">
        <v>71</v>
      </c>
      <c r="B22" s="16">
        <v>51081.46</v>
      </c>
      <c r="C22" s="16">
        <v>5249.29</v>
      </c>
      <c r="D22" s="16">
        <v>0</v>
      </c>
      <c r="E22" s="16">
        <v>1368</v>
      </c>
      <c r="F22" s="16">
        <v>0</v>
      </c>
      <c r="G22" s="16">
        <v>6075.93</v>
      </c>
      <c r="H22" s="16">
        <v>4820</v>
      </c>
      <c r="I22" s="16">
        <v>0</v>
      </c>
      <c r="J22" s="16">
        <v>0</v>
      </c>
      <c r="K22" s="16">
        <v>0</v>
      </c>
      <c r="L22" s="16">
        <v>0</v>
      </c>
      <c r="M22" s="16">
        <v>6459.79</v>
      </c>
      <c r="N22" s="16">
        <v>7664.84</v>
      </c>
      <c r="O22" s="16">
        <v>6439.56</v>
      </c>
      <c r="P22" s="16">
        <v>7318.68</v>
      </c>
      <c r="Q22" s="16">
        <v>0</v>
      </c>
      <c r="R22" s="16">
        <v>5685.37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</row>
    <row r="23" spans="1:23" x14ac:dyDescent="0.2">
      <c r="A23" s="6" t="s">
        <v>72</v>
      </c>
      <c r="B23" s="16">
        <v>3257.09</v>
      </c>
      <c r="C23" s="16">
        <v>105</v>
      </c>
      <c r="D23" s="16">
        <v>0</v>
      </c>
      <c r="E23" s="16">
        <v>0</v>
      </c>
      <c r="F23" s="16">
        <v>0</v>
      </c>
      <c r="G23" s="16">
        <v>1279.45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1872.64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</row>
    <row r="24" spans="1:23" x14ac:dyDescent="0.2">
      <c r="A24" s="6" t="s">
        <v>74</v>
      </c>
      <c r="B24" s="16">
        <v>230.36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230.36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</row>
    <row r="25" spans="1:23" x14ac:dyDescent="0.2">
      <c r="A25" s="6" t="s">
        <v>75</v>
      </c>
      <c r="B25" s="16">
        <v>1855.84</v>
      </c>
      <c r="C25" s="16">
        <v>370.03</v>
      </c>
      <c r="D25" s="16">
        <v>0</v>
      </c>
      <c r="E25" s="16">
        <v>0</v>
      </c>
      <c r="F25" s="16">
        <v>0</v>
      </c>
      <c r="G25" s="16">
        <v>198.94</v>
      </c>
      <c r="H25" s="16">
        <v>315.81</v>
      </c>
      <c r="I25" s="16">
        <v>0</v>
      </c>
      <c r="J25" s="16">
        <v>0</v>
      </c>
      <c r="K25" s="16">
        <v>0</v>
      </c>
      <c r="L25" s="16">
        <v>0</v>
      </c>
      <c r="M25" s="16">
        <v>-5.0999999999999996</v>
      </c>
      <c r="N25" s="16">
        <v>265.85000000000002</v>
      </c>
      <c r="O25" s="16">
        <v>178.18</v>
      </c>
      <c r="P25" s="16">
        <v>265.85000000000002</v>
      </c>
      <c r="Q25" s="16">
        <v>0</v>
      </c>
      <c r="R25" s="16">
        <v>266.27999999999997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</row>
    <row r="26" spans="1:23" x14ac:dyDescent="0.2">
      <c r="A26" s="6" t="s">
        <v>76</v>
      </c>
      <c r="B26" s="16">
        <v>1845.84</v>
      </c>
      <c r="C26" s="16">
        <v>320</v>
      </c>
      <c r="D26" s="16">
        <v>0</v>
      </c>
      <c r="E26" s="16">
        <v>0</v>
      </c>
      <c r="F26" s="16">
        <v>0</v>
      </c>
      <c r="G26" s="16">
        <v>304</v>
      </c>
      <c r="H26" s="16">
        <v>280</v>
      </c>
      <c r="I26" s="16">
        <v>0</v>
      </c>
      <c r="J26" s="16">
        <v>0</v>
      </c>
      <c r="K26" s="16">
        <v>0</v>
      </c>
      <c r="L26" s="16">
        <v>0</v>
      </c>
      <c r="M26" s="16">
        <v>288</v>
      </c>
      <c r="N26" s="16">
        <v>0</v>
      </c>
      <c r="O26" s="16">
        <v>307.69</v>
      </c>
      <c r="P26" s="16">
        <v>346.15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</row>
    <row r="27" spans="1:23" x14ac:dyDescent="0.2">
      <c r="A27" s="6" t="s">
        <v>287</v>
      </c>
      <c r="B27" s="21">
        <v>58270.59</v>
      </c>
      <c r="C27" s="21">
        <v>6044.32</v>
      </c>
      <c r="D27" s="21">
        <v>0</v>
      </c>
      <c r="E27" s="21">
        <v>1368</v>
      </c>
      <c r="F27" s="21">
        <v>0</v>
      </c>
      <c r="G27" s="21">
        <v>7858.32</v>
      </c>
      <c r="H27" s="21">
        <v>5415.81</v>
      </c>
      <c r="I27" s="21">
        <v>0</v>
      </c>
      <c r="J27" s="21">
        <v>0</v>
      </c>
      <c r="K27" s="21">
        <v>0</v>
      </c>
      <c r="L27" s="21">
        <v>0</v>
      </c>
      <c r="M27" s="21">
        <v>8615.33</v>
      </c>
      <c r="N27" s="21">
        <v>8161.05</v>
      </c>
      <c r="O27" s="21">
        <v>6925.43</v>
      </c>
      <c r="P27" s="21">
        <v>7930.68</v>
      </c>
      <c r="Q27" s="21">
        <v>0</v>
      </c>
      <c r="R27" s="21">
        <v>5951.65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</row>
    <row r="28" spans="1:23" x14ac:dyDescent="0.2">
      <c r="A28" s="6" t="s">
        <v>288</v>
      </c>
      <c r="B28" s="15" t="s">
        <v>70</v>
      </c>
      <c r="C28" s="15" t="s">
        <v>70</v>
      </c>
      <c r="D28" s="15" t="s">
        <v>70</v>
      </c>
      <c r="E28" s="15" t="s">
        <v>70</v>
      </c>
      <c r="F28" s="15" t="s">
        <v>70</v>
      </c>
      <c r="G28" s="15" t="s">
        <v>70</v>
      </c>
      <c r="H28" s="15" t="s">
        <v>70</v>
      </c>
      <c r="I28" s="15" t="s">
        <v>70</v>
      </c>
      <c r="J28" s="15" t="s">
        <v>70</v>
      </c>
      <c r="K28" s="15" t="s">
        <v>70</v>
      </c>
      <c r="L28" s="15" t="s">
        <v>70</v>
      </c>
      <c r="M28" s="15" t="s">
        <v>70</v>
      </c>
      <c r="N28" s="15" t="s">
        <v>70</v>
      </c>
      <c r="O28" s="15" t="s">
        <v>70</v>
      </c>
      <c r="P28" s="15" t="s">
        <v>70</v>
      </c>
      <c r="Q28" s="15" t="s">
        <v>70</v>
      </c>
      <c r="R28" s="15" t="s">
        <v>70</v>
      </c>
      <c r="S28" s="15" t="s">
        <v>70</v>
      </c>
      <c r="T28" s="15" t="s">
        <v>70</v>
      </c>
      <c r="U28" s="15" t="s">
        <v>70</v>
      </c>
      <c r="V28" s="15" t="s">
        <v>70</v>
      </c>
      <c r="W28" s="15" t="s">
        <v>70</v>
      </c>
    </row>
    <row r="29" spans="1:23" x14ac:dyDescent="0.2">
      <c r="A29" s="6" t="s">
        <v>71</v>
      </c>
      <c r="B29" s="16">
        <v>11156.14</v>
      </c>
      <c r="C29" s="16">
        <v>0</v>
      </c>
      <c r="D29" s="16">
        <v>0</v>
      </c>
      <c r="E29" s="16">
        <v>0</v>
      </c>
      <c r="F29" s="16">
        <v>0</v>
      </c>
      <c r="G29" s="16">
        <v>4637.5</v>
      </c>
      <c r="H29" s="16">
        <v>3702.44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2816.2</v>
      </c>
      <c r="V29" s="16">
        <v>0</v>
      </c>
      <c r="W29" s="16">
        <v>0</v>
      </c>
    </row>
    <row r="30" spans="1:23" x14ac:dyDescent="0.2">
      <c r="A30" s="6" t="s">
        <v>72</v>
      </c>
      <c r="B30" s="16">
        <v>775.14</v>
      </c>
      <c r="C30" s="16">
        <v>0</v>
      </c>
      <c r="D30" s="16">
        <v>0</v>
      </c>
      <c r="E30" s="16">
        <v>0</v>
      </c>
      <c r="F30" s="16">
        <v>0</v>
      </c>
      <c r="G30" s="16">
        <v>775.14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</row>
    <row r="31" spans="1:23" x14ac:dyDescent="0.2">
      <c r="A31" s="6" t="s">
        <v>75</v>
      </c>
      <c r="B31" s="16">
        <v>178.4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178.4</v>
      </c>
      <c r="V31" s="16">
        <v>0</v>
      </c>
      <c r="W31" s="16">
        <v>0</v>
      </c>
    </row>
    <row r="32" spans="1:23" x14ac:dyDescent="0.2">
      <c r="A32" s="6" t="s">
        <v>76</v>
      </c>
      <c r="B32" s="16">
        <v>424</v>
      </c>
      <c r="C32" s="16">
        <v>0</v>
      </c>
      <c r="D32" s="16">
        <v>0</v>
      </c>
      <c r="E32" s="16">
        <v>0</v>
      </c>
      <c r="F32" s="16">
        <v>0</v>
      </c>
      <c r="G32" s="16">
        <v>212</v>
      </c>
      <c r="H32" s="16">
        <v>212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</row>
    <row r="33" spans="1:23" x14ac:dyDescent="0.2">
      <c r="A33" s="6" t="s">
        <v>289</v>
      </c>
      <c r="B33" s="21">
        <v>12533.68</v>
      </c>
      <c r="C33" s="21">
        <v>0</v>
      </c>
      <c r="D33" s="21">
        <v>0</v>
      </c>
      <c r="E33" s="21">
        <v>0</v>
      </c>
      <c r="F33" s="21">
        <v>0</v>
      </c>
      <c r="G33" s="21">
        <v>5624.64</v>
      </c>
      <c r="H33" s="21">
        <v>3914.44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2994.6</v>
      </c>
      <c r="V33" s="21">
        <v>0</v>
      </c>
      <c r="W33" s="21">
        <v>0</v>
      </c>
    </row>
    <row r="34" spans="1:23" x14ac:dyDescent="0.2">
      <c r="A34" s="6" t="s">
        <v>290</v>
      </c>
      <c r="B34" s="15" t="s">
        <v>70</v>
      </c>
      <c r="C34" s="15" t="s">
        <v>70</v>
      </c>
      <c r="D34" s="15" t="s">
        <v>70</v>
      </c>
      <c r="E34" s="15" t="s">
        <v>70</v>
      </c>
      <c r="F34" s="15" t="s">
        <v>70</v>
      </c>
      <c r="G34" s="15" t="s">
        <v>70</v>
      </c>
      <c r="H34" s="15" t="s">
        <v>70</v>
      </c>
      <c r="I34" s="15" t="s">
        <v>70</v>
      </c>
      <c r="J34" s="15" t="s">
        <v>70</v>
      </c>
      <c r="K34" s="15" t="s">
        <v>70</v>
      </c>
      <c r="L34" s="15" t="s">
        <v>70</v>
      </c>
      <c r="M34" s="15" t="s">
        <v>70</v>
      </c>
      <c r="N34" s="15" t="s">
        <v>70</v>
      </c>
      <c r="O34" s="15" t="s">
        <v>70</v>
      </c>
      <c r="P34" s="15" t="s">
        <v>70</v>
      </c>
      <c r="Q34" s="15" t="s">
        <v>70</v>
      </c>
      <c r="R34" s="15" t="s">
        <v>70</v>
      </c>
      <c r="S34" s="15" t="s">
        <v>70</v>
      </c>
      <c r="T34" s="15" t="s">
        <v>70</v>
      </c>
      <c r="U34" s="15" t="s">
        <v>70</v>
      </c>
      <c r="V34" s="15" t="s">
        <v>70</v>
      </c>
      <c r="W34" s="15" t="s">
        <v>70</v>
      </c>
    </row>
    <row r="35" spans="1:23" x14ac:dyDescent="0.2">
      <c r="A35" s="6" t="s">
        <v>71</v>
      </c>
      <c r="B35" s="16">
        <v>219960.18</v>
      </c>
      <c r="C35" s="16">
        <v>26163.54</v>
      </c>
      <c r="D35" s="16">
        <v>32930.39</v>
      </c>
      <c r="E35" s="16">
        <v>10078.82</v>
      </c>
      <c r="F35" s="16">
        <v>6193.5</v>
      </c>
      <c r="G35" s="16">
        <v>9852.18</v>
      </c>
      <c r="H35" s="16">
        <v>12427.71</v>
      </c>
      <c r="I35" s="16">
        <v>4798.93</v>
      </c>
      <c r="J35" s="16">
        <v>12598.93</v>
      </c>
      <c r="K35" s="16">
        <v>6081.58</v>
      </c>
      <c r="L35" s="16">
        <v>15130.52</v>
      </c>
      <c r="M35" s="16">
        <v>13276.95</v>
      </c>
      <c r="N35" s="16">
        <v>20497.14</v>
      </c>
      <c r="O35" s="16">
        <v>10104.31</v>
      </c>
      <c r="P35" s="16">
        <v>9306.99</v>
      </c>
      <c r="Q35" s="16">
        <v>9819.57</v>
      </c>
      <c r="R35" s="16">
        <v>10050</v>
      </c>
      <c r="S35" s="16">
        <v>4409.37</v>
      </c>
      <c r="T35" s="16">
        <v>3638.71</v>
      </c>
      <c r="U35" s="16">
        <v>2198</v>
      </c>
      <c r="V35" s="16">
        <v>403.04</v>
      </c>
      <c r="W35" s="16">
        <v>0</v>
      </c>
    </row>
    <row r="36" spans="1:23" x14ac:dyDescent="0.2">
      <c r="A36" s="6" t="s">
        <v>72</v>
      </c>
      <c r="B36" s="16">
        <v>24975.99</v>
      </c>
      <c r="C36" s="16">
        <v>2713.61</v>
      </c>
      <c r="D36" s="16">
        <v>3499.39</v>
      </c>
      <c r="E36" s="16">
        <v>1648.93</v>
      </c>
      <c r="F36" s="16">
        <v>546.75</v>
      </c>
      <c r="G36" s="16">
        <v>79.39</v>
      </c>
      <c r="H36" s="16">
        <v>0</v>
      </c>
      <c r="I36" s="16">
        <v>0</v>
      </c>
      <c r="J36" s="16">
        <v>3389.24</v>
      </c>
      <c r="K36" s="16">
        <v>0</v>
      </c>
      <c r="L36" s="16">
        <v>138.38</v>
      </c>
      <c r="M36" s="16">
        <v>855</v>
      </c>
      <c r="N36" s="16">
        <v>5831.4</v>
      </c>
      <c r="O36" s="16">
        <v>0</v>
      </c>
      <c r="P36" s="16">
        <v>1750.71</v>
      </c>
      <c r="Q36" s="16">
        <v>3458.19</v>
      </c>
      <c r="R36" s="16">
        <v>1065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</row>
    <row r="37" spans="1:23" x14ac:dyDescent="0.2">
      <c r="A37" s="6" t="s">
        <v>73</v>
      </c>
      <c r="B37" s="16">
        <v>1901.79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401.79</v>
      </c>
      <c r="M37" s="16">
        <v>0</v>
      </c>
      <c r="N37" s="16">
        <v>0</v>
      </c>
      <c r="O37" s="16">
        <v>0</v>
      </c>
      <c r="P37" s="16">
        <v>1500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</row>
    <row r="38" spans="1:23" x14ac:dyDescent="0.2">
      <c r="A38" s="6" t="s">
        <v>75</v>
      </c>
      <c r="B38" s="16">
        <v>7436.82</v>
      </c>
      <c r="C38" s="16">
        <v>388.51</v>
      </c>
      <c r="D38" s="16">
        <v>1659.89</v>
      </c>
      <c r="E38" s="16">
        <v>510.66</v>
      </c>
      <c r="F38" s="16">
        <v>588.86</v>
      </c>
      <c r="G38" s="16">
        <v>25.32</v>
      </c>
      <c r="H38" s="16">
        <v>509.15</v>
      </c>
      <c r="I38" s="16">
        <v>0</v>
      </c>
      <c r="J38" s="16">
        <v>1439.21</v>
      </c>
      <c r="K38" s="16">
        <v>336.8</v>
      </c>
      <c r="L38" s="16">
        <v>123.84</v>
      </c>
      <c r="M38" s="16">
        <v>346.75</v>
      </c>
      <c r="N38" s="16">
        <v>1587.63</v>
      </c>
      <c r="O38" s="16">
        <v>154.91</v>
      </c>
      <c r="P38" s="16">
        <v>108.48</v>
      </c>
      <c r="Q38" s="16">
        <v>55.35</v>
      </c>
      <c r="R38" s="16">
        <v>-655.29999999999995</v>
      </c>
      <c r="S38" s="16">
        <v>0</v>
      </c>
      <c r="T38" s="16">
        <v>187.55</v>
      </c>
      <c r="U38" s="16">
        <v>60.15</v>
      </c>
      <c r="V38" s="16">
        <v>9.06</v>
      </c>
      <c r="W38" s="16">
        <v>0</v>
      </c>
    </row>
    <row r="39" spans="1:23" x14ac:dyDescent="0.2">
      <c r="A39" s="6" t="s">
        <v>76</v>
      </c>
      <c r="B39" s="16">
        <v>6010</v>
      </c>
      <c r="C39" s="16">
        <v>1064</v>
      </c>
      <c r="D39" s="16">
        <v>1672</v>
      </c>
      <c r="E39" s="16">
        <v>304</v>
      </c>
      <c r="F39" s="16">
        <v>336</v>
      </c>
      <c r="G39" s="16">
        <v>304</v>
      </c>
      <c r="H39" s="16">
        <v>720</v>
      </c>
      <c r="I39" s="16">
        <v>0</v>
      </c>
      <c r="J39" s="16">
        <v>0</v>
      </c>
      <c r="K39" s="16">
        <v>310</v>
      </c>
      <c r="L39" s="16">
        <v>0</v>
      </c>
      <c r="M39" s="16">
        <v>360</v>
      </c>
      <c r="N39" s="16">
        <v>700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240</v>
      </c>
      <c r="U39" s="16">
        <v>0</v>
      </c>
      <c r="V39" s="16">
        <v>0</v>
      </c>
      <c r="W39" s="16">
        <v>0</v>
      </c>
    </row>
    <row r="40" spans="1:23" x14ac:dyDescent="0.2">
      <c r="A40" s="6" t="s">
        <v>291</v>
      </c>
      <c r="B40" s="21">
        <v>260284.78</v>
      </c>
      <c r="C40" s="21">
        <v>30329.66</v>
      </c>
      <c r="D40" s="21">
        <v>39761.67</v>
      </c>
      <c r="E40" s="21">
        <v>12542.41</v>
      </c>
      <c r="F40" s="21">
        <v>7665.11</v>
      </c>
      <c r="G40" s="21">
        <v>10260.89</v>
      </c>
      <c r="H40" s="21">
        <v>13656.86</v>
      </c>
      <c r="I40" s="21">
        <v>4798.93</v>
      </c>
      <c r="J40" s="21">
        <v>17427.38</v>
      </c>
      <c r="K40" s="21">
        <v>6728.38</v>
      </c>
      <c r="L40" s="21">
        <v>15794.53</v>
      </c>
      <c r="M40" s="21">
        <v>14838.7</v>
      </c>
      <c r="N40" s="21">
        <v>28616.17</v>
      </c>
      <c r="O40" s="21">
        <v>10259.219999999999</v>
      </c>
      <c r="P40" s="21">
        <v>12666.18</v>
      </c>
      <c r="Q40" s="21">
        <v>13333.11</v>
      </c>
      <c r="R40" s="21">
        <v>10459.700000000001</v>
      </c>
      <c r="S40" s="21">
        <v>4409.37</v>
      </c>
      <c r="T40" s="21">
        <v>4066.26</v>
      </c>
      <c r="U40" s="21">
        <v>2258.15</v>
      </c>
      <c r="V40" s="21">
        <v>412.1</v>
      </c>
      <c r="W40" s="21">
        <v>0</v>
      </c>
    </row>
    <row r="41" spans="1:23" x14ac:dyDescent="0.2">
      <c r="A41" s="6" t="s">
        <v>292</v>
      </c>
      <c r="B41" s="15" t="s">
        <v>70</v>
      </c>
      <c r="C41" s="15" t="s">
        <v>70</v>
      </c>
      <c r="D41" s="15" t="s">
        <v>70</v>
      </c>
      <c r="E41" s="15" t="s">
        <v>70</v>
      </c>
      <c r="F41" s="15" t="s">
        <v>70</v>
      </c>
      <c r="G41" s="15" t="s">
        <v>70</v>
      </c>
      <c r="H41" s="15" t="s">
        <v>70</v>
      </c>
      <c r="I41" s="15" t="s">
        <v>70</v>
      </c>
      <c r="J41" s="15" t="s">
        <v>70</v>
      </c>
      <c r="K41" s="15" t="s">
        <v>70</v>
      </c>
      <c r="L41" s="15" t="s">
        <v>70</v>
      </c>
      <c r="M41" s="15" t="s">
        <v>70</v>
      </c>
      <c r="N41" s="15" t="s">
        <v>70</v>
      </c>
      <c r="O41" s="15" t="s">
        <v>70</v>
      </c>
      <c r="P41" s="15" t="s">
        <v>70</v>
      </c>
      <c r="Q41" s="15" t="s">
        <v>70</v>
      </c>
      <c r="R41" s="15" t="s">
        <v>70</v>
      </c>
      <c r="S41" s="15" t="s">
        <v>70</v>
      </c>
      <c r="T41" s="15" t="s">
        <v>70</v>
      </c>
      <c r="U41" s="15" t="s">
        <v>70</v>
      </c>
      <c r="V41" s="15" t="s">
        <v>70</v>
      </c>
      <c r="W41" s="15" t="s">
        <v>70</v>
      </c>
    </row>
    <row r="42" spans="1:23" x14ac:dyDescent="0.2">
      <c r="A42" s="6" t="s">
        <v>71</v>
      </c>
      <c r="B42" s="16">
        <v>11043.46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2813.75</v>
      </c>
      <c r="K42" s="16">
        <v>0</v>
      </c>
      <c r="L42" s="16">
        <v>0</v>
      </c>
      <c r="M42" s="16">
        <v>0</v>
      </c>
      <c r="N42" s="16">
        <v>8229.7099999999991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</row>
    <row r="43" spans="1:23" x14ac:dyDescent="0.2">
      <c r="A43" s="6" t="s">
        <v>72</v>
      </c>
      <c r="B43" s="16">
        <v>189.95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189.95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</row>
    <row r="44" spans="1:23" x14ac:dyDescent="0.2">
      <c r="A44" s="6" t="s">
        <v>74</v>
      </c>
      <c r="B44" s="16">
        <v>185.71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185.71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</row>
    <row r="45" spans="1:23" x14ac:dyDescent="0.2">
      <c r="A45" s="6" t="s">
        <v>75</v>
      </c>
      <c r="B45" s="16">
        <v>-2038.51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1367.44</v>
      </c>
      <c r="K45" s="16">
        <v>0</v>
      </c>
      <c r="L45" s="16">
        <v>0</v>
      </c>
      <c r="M45" s="16">
        <v>0</v>
      </c>
      <c r="N45" s="16">
        <v>-3405.95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</row>
    <row r="46" spans="1:23" x14ac:dyDescent="0.2">
      <c r="A46" s="6" t="s">
        <v>76</v>
      </c>
      <c r="B46" s="16">
        <v>148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148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</row>
    <row r="47" spans="1:23" x14ac:dyDescent="0.2">
      <c r="A47" s="6" t="s">
        <v>293</v>
      </c>
      <c r="B47" s="21">
        <v>9528.61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4181.1899999999996</v>
      </c>
      <c r="K47" s="21">
        <v>0</v>
      </c>
      <c r="L47" s="21">
        <v>0</v>
      </c>
      <c r="M47" s="21">
        <v>0</v>
      </c>
      <c r="N47" s="21">
        <v>5347.42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</row>
    <row r="48" spans="1:23" x14ac:dyDescent="0.2">
      <c r="A48" s="6" t="s">
        <v>294</v>
      </c>
      <c r="B48" s="15" t="s">
        <v>70</v>
      </c>
      <c r="C48" s="15" t="s">
        <v>70</v>
      </c>
      <c r="D48" s="15" t="s">
        <v>70</v>
      </c>
      <c r="E48" s="15" t="s">
        <v>70</v>
      </c>
      <c r="F48" s="15" t="s">
        <v>70</v>
      </c>
      <c r="G48" s="15" t="s">
        <v>70</v>
      </c>
      <c r="H48" s="15" t="s">
        <v>70</v>
      </c>
      <c r="I48" s="15" t="s">
        <v>70</v>
      </c>
      <c r="J48" s="15" t="s">
        <v>70</v>
      </c>
      <c r="K48" s="15" t="s">
        <v>70</v>
      </c>
      <c r="L48" s="15" t="s">
        <v>70</v>
      </c>
      <c r="M48" s="15" t="s">
        <v>70</v>
      </c>
      <c r="N48" s="15" t="s">
        <v>70</v>
      </c>
      <c r="O48" s="15" t="s">
        <v>70</v>
      </c>
      <c r="P48" s="15" t="s">
        <v>70</v>
      </c>
      <c r="Q48" s="15" t="s">
        <v>70</v>
      </c>
      <c r="R48" s="15" t="s">
        <v>70</v>
      </c>
      <c r="S48" s="15" t="s">
        <v>70</v>
      </c>
      <c r="T48" s="15" t="s">
        <v>70</v>
      </c>
      <c r="U48" s="15" t="s">
        <v>70</v>
      </c>
      <c r="V48" s="15" t="s">
        <v>70</v>
      </c>
      <c r="W48" s="15" t="s">
        <v>70</v>
      </c>
    </row>
    <row r="49" spans="1:23" x14ac:dyDescent="0.2">
      <c r="A49" s="6" t="s">
        <v>71</v>
      </c>
      <c r="B49" s="16">
        <v>5913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5913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</row>
    <row r="50" spans="1:23" x14ac:dyDescent="0.2">
      <c r="A50" s="6" t="s">
        <v>72</v>
      </c>
      <c r="B50" s="16">
        <v>-94.5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-94.5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</row>
    <row r="51" spans="1:23" x14ac:dyDescent="0.2">
      <c r="A51" s="6" t="s">
        <v>75</v>
      </c>
      <c r="B51" s="16">
        <v>720.46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720.46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</row>
    <row r="52" spans="1:23" x14ac:dyDescent="0.2">
      <c r="A52" s="6" t="s">
        <v>76</v>
      </c>
      <c r="B52" s="16">
        <v>84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84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</row>
    <row r="53" spans="1:23" x14ac:dyDescent="0.2">
      <c r="A53" s="6" t="s">
        <v>295</v>
      </c>
      <c r="B53" s="21">
        <v>6622.96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6622.96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</row>
    <row r="54" spans="1:23" x14ac:dyDescent="0.2">
      <c r="A54" s="6" t="s">
        <v>296</v>
      </c>
      <c r="B54" s="15" t="s">
        <v>70</v>
      </c>
      <c r="C54" s="15" t="s">
        <v>70</v>
      </c>
      <c r="D54" s="15" t="s">
        <v>70</v>
      </c>
      <c r="E54" s="15" t="s">
        <v>70</v>
      </c>
      <c r="F54" s="15" t="s">
        <v>70</v>
      </c>
      <c r="G54" s="15" t="s">
        <v>70</v>
      </c>
      <c r="H54" s="15" t="s">
        <v>70</v>
      </c>
      <c r="I54" s="15" t="s">
        <v>70</v>
      </c>
      <c r="J54" s="15" t="s">
        <v>70</v>
      </c>
      <c r="K54" s="15" t="s">
        <v>70</v>
      </c>
      <c r="L54" s="15" t="s">
        <v>70</v>
      </c>
      <c r="M54" s="15" t="s">
        <v>70</v>
      </c>
      <c r="N54" s="15" t="s">
        <v>70</v>
      </c>
      <c r="O54" s="15" t="s">
        <v>70</v>
      </c>
      <c r="P54" s="15" t="s">
        <v>70</v>
      </c>
      <c r="Q54" s="15" t="s">
        <v>70</v>
      </c>
      <c r="R54" s="15" t="s">
        <v>70</v>
      </c>
      <c r="S54" s="15" t="s">
        <v>70</v>
      </c>
      <c r="T54" s="15" t="s">
        <v>70</v>
      </c>
      <c r="U54" s="15" t="s">
        <v>70</v>
      </c>
      <c r="V54" s="15" t="s">
        <v>70</v>
      </c>
      <c r="W54" s="15" t="s">
        <v>70</v>
      </c>
    </row>
    <row r="55" spans="1:23" x14ac:dyDescent="0.2">
      <c r="A55" s="6" t="s">
        <v>71</v>
      </c>
      <c r="B55" s="16">
        <v>81978.67</v>
      </c>
      <c r="C55" s="16">
        <v>6265.07</v>
      </c>
      <c r="D55" s="16">
        <v>6826.04</v>
      </c>
      <c r="E55" s="16">
        <v>8093.87</v>
      </c>
      <c r="F55" s="16">
        <v>5473.02</v>
      </c>
      <c r="G55" s="16">
        <v>4921.5</v>
      </c>
      <c r="H55" s="16">
        <v>910</v>
      </c>
      <c r="I55" s="16">
        <v>4666.6099999999997</v>
      </c>
      <c r="J55" s="16">
        <v>0</v>
      </c>
      <c r="K55" s="16">
        <v>0</v>
      </c>
      <c r="L55" s="16">
        <v>6794.29</v>
      </c>
      <c r="M55" s="16">
        <v>5832.5</v>
      </c>
      <c r="N55" s="16">
        <v>11489.46</v>
      </c>
      <c r="O55" s="16">
        <v>0</v>
      </c>
      <c r="P55" s="16">
        <v>6585.17</v>
      </c>
      <c r="Q55" s="16">
        <v>7017.14</v>
      </c>
      <c r="R55" s="16">
        <v>7104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</row>
    <row r="56" spans="1:23" x14ac:dyDescent="0.2">
      <c r="A56" s="6" t="s">
        <v>72</v>
      </c>
      <c r="B56" s="16">
        <v>1872.83</v>
      </c>
      <c r="C56" s="16">
        <v>209.97</v>
      </c>
      <c r="D56" s="16">
        <v>105.11</v>
      </c>
      <c r="E56" s="16">
        <v>114</v>
      </c>
      <c r="F56" s="16">
        <v>0</v>
      </c>
      <c r="G56" s="16">
        <v>25.5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927.2</v>
      </c>
      <c r="N56" s="16">
        <v>491.05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</row>
    <row r="57" spans="1:23" x14ac:dyDescent="0.2">
      <c r="A57" s="6" t="s">
        <v>73</v>
      </c>
      <c r="B57" s="16">
        <v>214.29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214.29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</row>
    <row r="58" spans="1:23" x14ac:dyDescent="0.2">
      <c r="A58" s="6" t="s">
        <v>74</v>
      </c>
      <c r="B58" s="16">
        <v>262.5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262.5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</row>
    <row r="59" spans="1:23" x14ac:dyDescent="0.2">
      <c r="A59" s="6" t="s">
        <v>75</v>
      </c>
      <c r="B59" s="16">
        <v>5163.8900000000003</v>
      </c>
      <c r="C59" s="16">
        <v>537.61</v>
      </c>
      <c r="D59" s="16">
        <v>119.1</v>
      </c>
      <c r="E59" s="16">
        <v>738.14</v>
      </c>
      <c r="F59" s="16">
        <v>6.75</v>
      </c>
      <c r="G59" s="16">
        <v>232.42</v>
      </c>
      <c r="H59" s="16">
        <v>625.89</v>
      </c>
      <c r="I59" s="16">
        <v>642.41</v>
      </c>
      <c r="J59" s="16">
        <v>0</v>
      </c>
      <c r="K59" s="16">
        <v>0</v>
      </c>
      <c r="L59" s="16">
        <v>-288.72000000000003</v>
      </c>
      <c r="M59" s="16">
        <v>387.52</v>
      </c>
      <c r="N59" s="16">
        <v>1759.55</v>
      </c>
      <c r="O59" s="16">
        <v>0</v>
      </c>
      <c r="P59" s="16">
        <v>119.26</v>
      </c>
      <c r="Q59" s="16">
        <v>154.72</v>
      </c>
      <c r="R59" s="16">
        <v>129.24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</row>
    <row r="60" spans="1:23" x14ac:dyDescent="0.2">
      <c r="A60" s="6" t="s">
        <v>76</v>
      </c>
      <c r="B60" s="16">
        <v>2594.92</v>
      </c>
      <c r="C60" s="16">
        <v>312</v>
      </c>
      <c r="D60" s="16">
        <v>288</v>
      </c>
      <c r="E60" s="16">
        <v>304</v>
      </c>
      <c r="F60" s="16">
        <v>264</v>
      </c>
      <c r="G60" s="16">
        <v>0</v>
      </c>
      <c r="H60" s="16">
        <v>0</v>
      </c>
      <c r="I60" s="16">
        <v>276</v>
      </c>
      <c r="J60" s="16">
        <v>0</v>
      </c>
      <c r="K60" s="16">
        <v>0</v>
      </c>
      <c r="L60" s="16">
        <v>328</v>
      </c>
      <c r="M60" s="16">
        <v>0</v>
      </c>
      <c r="N60" s="16">
        <v>0</v>
      </c>
      <c r="O60" s="16">
        <v>0</v>
      </c>
      <c r="P60" s="16">
        <v>326.92</v>
      </c>
      <c r="Q60" s="16">
        <v>160</v>
      </c>
      <c r="R60" s="16">
        <v>336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</row>
    <row r="61" spans="1:23" x14ac:dyDescent="0.2">
      <c r="A61" s="6" t="s">
        <v>297</v>
      </c>
      <c r="B61" s="21">
        <v>92087.1</v>
      </c>
      <c r="C61" s="21">
        <v>7324.65</v>
      </c>
      <c r="D61" s="21">
        <v>7338.25</v>
      </c>
      <c r="E61" s="21">
        <v>9250.01</v>
      </c>
      <c r="F61" s="21">
        <v>5743.77</v>
      </c>
      <c r="G61" s="21">
        <v>5179.42</v>
      </c>
      <c r="H61" s="21">
        <v>1535.89</v>
      </c>
      <c r="I61" s="21">
        <v>5585.02</v>
      </c>
      <c r="J61" s="21">
        <v>0</v>
      </c>
      <c r="K61" s="21">
        <v>0</v>
      </c>
      <c r="L61" s="21">
        <v>6833.57</v>
      </c>
      <c r="M61" s="21">
        <v>7147.22</v>
      </c>
      <c r="N61" s="21">
        <v>14002.56</v>
      </c>
      <c r="O61" s="21">
        <v>0</v>
      </c>
      <c r="P61" s="21">
        <v>7245.64</v>
      </c>
      <c r="Q61" s="21">
        <v>7331.86</v>
      </c>
      <c r="R61" s="21">
        <v>7569.24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</row>
    <row r="62" spans="1:23" x14ac:dyDescent="0.2">
      <c r="A62" s="6" t="s">
        <v>298</v>
      </c>
      <c r="B62" s="15" t="s">
        <v>70</v>
      </c>
      <c r="C62" s="15" t="s">
        <v>70</v>
      </c>
      <c r="D62" s="15" t="s">
        <v>70</v>
      </c>
      <c r="E62" s="15" t="s">
        <v>70</v>
      </c>
      <c r="F62" s="15" t="s">
        <v>70</v>
      </c>
      <c r="G62" s="15" t="s">
        <v>70</v>
      </c>
      <c r="H62" s="15" t="s">
        <v>70</v>
      </c>
      <c r="I62" s="15" t="s">
        <v>70</v>
      </c>
      <c r="J62" s="15" t="s">
        <v>70</v>
      </c>
      <c r="K62" s="15" t="s">
        <v>70</v>
      </c>
      <c r="L62" s="15" t="s">
        <v>70</v>
      </c>
      <c r="M62" s="15" t="s">
        <v>70</v>
      </c>
      <c r="N62" s="15" t="s">
        <v>70</v>
      </c>
      <c r="O62" s="15" t="s">
        <v>70</v>
      </c>
      <c r="P62" s="15" t="s">
        <v>70</v>
      </c>
      <c r="Q62" s="15" t="s">
        <v>70</v>
      </c>
      <c r="R62" s="15" t="s">
        <v>70</v>
      </c>
      <c r="S62" s="15" t="s">
        <v>70</v>
      </c>
      <c r="T62" s="15" t="s">
        <v>70</v>
      </c>
      <c r="U62" s="15" t="s">
        <v>70</v>
      </c>
      <c r="V62" s="15" t="s">
        <v>70</v>
      </c>
      <c r="W62" s="15" t="s">
        <v>70</v>
      </c>
    </row>
    <row r="63" spans="1:23" x14ac:dyDescent="0.2">
      <c r="A63" s="6" t="s">
        <v>71</v>
      </c>
      <c r="B63" s="16">
        <v>509931.18</v>
      </c>
      <c r="C63" s="16">
        <v>10005.709999999999</v>
      </c>
      <c r="D63" s="16">
        <v>9864.7099999999991</v>
      </c>
      <c r="E63" s="16">
        <v>19873.87</v>
      </c>
      <c r="F63" s="16">
        <v>24556.95</v>
      </c>
      <c r="G63" s="16">
        <v>20933.52</v>
      </c>
      <c r="H63" s="16">
        <v>22306.2</v>
      </c>
      <c r="I63" s="16">
        <v>15325.77</v>
      </c>
      <c r="J63" s="16">
        <v>22046.98</v>
      </c>
      <c r="K63" s="16">
        <v>24590.89</v>
      </c>
      <c r="L63" s="16">
        <v>46725.07</v>
      </c>
      <c r="M63" s="16">
        <v>39207.040000000001</v>
      </c>
      <c r="N63" s="16">
        <v>57790.28</v>
      </c>
      <c r="O63" s="16">
        <v>45404.63</v>
      </c>
      <c r="P63" s="16">
        <v>46223.86</v>
      </c>
      <c r="Q63" s="16">
        <v>44204.63</v>
      </c>
      <c r="R63" s="16">
        <v>36377.89</v>
      </c>
      <c r="S63" s="16">
        <v>4755.18</v>
      </c>
      <c r="T63" s="16">
        <v>3632.25</v>
      </c>
      <c r="U63" s="16">
        <v>6678.48</v>
      </c>
      <c r="V63" s="16">
        <v>9427.27</v>
      </c>
      <c r="W63" s="16">
        <v>0</v>
      </c>
    </row>
    <row r="64" spans="1:23" x14ac:dyDescent="0.2">
      <c r="A64" s="6" t="s">
        <v>72</v>
      </c>
      <c r="B64" s="16">
        <v>66043.72</v>
      </c>
      <c r="C64" s="16">
        <v>1708.29</v>
      </c>
      <c r="D64" s="16">
        <v>1138.29</v>
      </c>
      <c r="E64" s="16">
        <v>5094.33</v>
      </c>
      <c r="F64" s="16">
        <v>5456.8</v>
      </c>
      <c r="G64" s="16">
        <v>3707.54</v>
      </c>
      <c r="H64" s="16">
        <v>1614.92</v>
      </c>
      <c r="I64" s="16">
        <v>945.43</v>
      </c>
      <c r="J64" s="16">
        <v>2068.8200000000002</v>
      </c>
      <c r="K64" s="16">
        <v>3193.14</v>
      </c>
      <c r="L64" s="16">
        <v>4516.28</v>
      </c>
      <c r="M64" s="16">
        <v>2180.89</v>
      </c>
      <c r="N64" s="16">
        <v>9808.7099999999991</v>
      </c>
      <c r="O64" s="16">
        <v>3459.61</v>
      </c>
      <c r="P64" s="16">
        <v>7195.1</v>
      </c>
      <c r="Q64" s="16">
        <v>5862.11</v>
      </c>
      <c r="R64" s="16">
        <v>8093.46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</row>
    <row r="65" spans="1:23" x14ac:dyDescent="0.2">
      <c r="A65" s="6" t="s">
        <v>73</v>
      </c>
      <c r="B65" s="16">
        <v>17473.21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8116.07</v>
      </c>
      <c r="M65" s="16">
        <v>0</v>
      </c>
      <c r="N65" s="16">
        <v>1500</v>
      </c>
      <c r="O65" s="16">
        <v>0</v>
      </c>
      <c r="P65" s="16">
        <v>7857.14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</row>
    <row r="66" spans="1:23" x14ac:dyDescent="0.2">
      <c r="A66" s="6" t="s">
        <v>74</v>
      </c>
      <c r="B66" s="16">
        <v>1290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775</v>
      </c>
      <c r="M66" s="16">
        <v>0</v>
      </c>
      <c r="N66" s="16">
        <v>0</v>
      </c>
      <c r="O66" s="16">
        <v>515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</row>
    <row r="67" spans="1:23" x14ac:dyDescent="0.2">
      <c r="A67" s="6" t="s">
        <v>75</v>
      </c>
      <c r="B67" s="16">
        <v>18106.810000000001</v>
      </c>
      <c r="C67" s="16">
        <v>479.69</v>
      </c>
      <c r="D67" s="16">
        <v>146.69</v>
      </c>
      <c r="E67" s="16">
        <v>-44.15</v>
      </c>
      <c r="F67" s="16">
        <v>544.29999999999995</v>
      </c>
      <c r="G67" s="16">
        <v>198.67</v>
      </c>
      <c r="H67" s="16">
        <v>-603.47</v>
      </c>
      <c r="I67" s="16">
        <v>157.44</v>
      </c>
      <c r="J67" s="16">
        <v>786.84</v>
      </c>
      <c r="K67" s="16">
        <v>0</v>
      </c>
      <c r="L67" s="16">
        <v>993.5</v>
      </c>
      <c r="M67" s="16">
        <v>1237.6600000000001</v>
      </c>
      <c r="N67" s="16">
        <v>6649.81</v>
      </c>
      <c r="O67" s="16">
        <v>2031.6</v>
      </c>
      <c r="P67" s="16">
        <v>1692.51</v>
      </c>
      <c r="Q67" s="16">
        <v>1883.48</v>
      </c>
      <c r="R67" s="16">
        <v>809.94</v>
      </c>
      <c r="S67" s="16">
        <v>-678.34</v>
      </c>
      <c r="T67" s="16">
        <v>865.62</v>
      </c>
      <c r="U67" s="16">
        <v>425.7</v>
      </c>
      <c r="V67" s="16">
        <v>529.32000000000005</v>
      </c>
      <c r="W67" s="16">
        <v>0</v>
      </c>
    </row>
    <row r="68" spans="1:23" x14ac:dyDescent="0.2">
      <c r="A68" s="6" t="s">
        <v>76</v>
      </c>
      <c r="B68" s="16">
        <v>14098.51</v>
      </c>
      <c r="C68" s="16">
        <v>512</v>
      </c>
      <c r="D68" s="16">
        <v>582.91999999999996</v>
      </c>
      <c r="E68" s="16">
        <v>504</v>
      </c>
      <c r="F68" s="16">
        <v>1724</v>
      </c>
      <c r="G68" s="16">
        <v>776</v>
      </c>
      <c r="H68" s="16">
        <v>1076</v>
      </c>
      <c r="I68" s="16">
        <v>488</v>
      </c>
      <c r="J68" s="16">
        <v>607.44000000000005</v>
      </c>
      <c r="K68" s="16">
        <v>638.75</v>
      </c>
      <c r="L68" s="16">
        <v>0</v>
      </c>
      <c r="M68" s="16">
        <v>849.75</v>
      </c>
      <c r="N68" s="16">
        <v>1511.25</v>
      </c>
      <c r="O68" s="16">
        <v>1680.25</v>
      </c>
      <c r="P68" s="16">
        <v>891.92</v>
      </c>
      <c r="Q68" s="16">
        <v>479.5</v>
      </c>
      <c r="R68" s="16">
        <v>1263.8499999999999</v>
      </c>
      <c r="S68" s="16">
        <v>0</v>
      </c>
      <c r="T68" s="16">
        <v>165</v>
      </c>
      <c r="U68" s="16">
        <v>0</v>
      </c>
      <c r="V68" s="16">
        <v>347.88</v>
      </c>
      <c r="W68" s="16">
        <v>0</v>
      </c>
    </row>
    <row r="69" spans="1:23" x14ac:dyDescent="0.2">
      <c r="A69" s="6" t="s">
        <v>299</v>
      </c>
      <c r="B69" s="21">
        <v>626943.43000000005</v>
      </c>
      <c r="C69" s="21">
        <v>12705.69</v>
      </c>
      <c r="D69" s="21">
        <v>11732.61</v>
      </c>
      <c r="E69" s="21">
        <v>25428.05</v>
      </c>
      <c r="F69" s="21">
        <v>32282.05</v>
      </c>
      <c r="G69" s="21">
        <v>25615.73</v>
      </c>
      <c r="H69" s="21">
        <v>24393.65</v>
      </c>
      <c r="I69" s="21">
        <v>16916.64</v>
      </c>
      <c r="J69" s="21">
        <v>25510.080000000002</v>
      </c>
      <c r="K69" s="21">
        <v>28422.78</v>
      </c>
      <c r="L69" s="21">
        <v>61125.919999999998</v>
      </c>
      <c r="M69" s="21">
        <v>43475.34</v>
      </c>
      <c r="N69" s="21">
        <v>77260.05</v>
      </c>
      <c r="O69" s="21">
        <v>53091.09</v>
      </c>
      <c r="P69" s="21">
        <v>63860.53</v>
      </c>
      <c r="Q69" s="21">
        <v>52429.72</v>
      </c>
      <c r="R69" s="21">
        <v>46545.14</v>
      </c>
      <c r="S69" s="21">
        <v>4076.84</v>
      </c>
      <c r="T69" s="21">
        <v>4662.87</v>
      </c>
      <c r="U69" s="21">
        <v>7104.18</v>
      </c>
      <c r="V69" s="21">
        <v>10304.469999999999</v>
      </c>
      <c r="W69" s="21">
        <v>0</v>
      </c>
    </row>
    <row r="70" spans="1:23" x14ac:dyDescent="0.2">
      <c r="A70" s="6" t="s">
        <v>300</v>
      </c>
      <c r="B70" s="15" t="s">
        <v>70</v>
      </c>
      <c r="C70" s="15" t="s">
        <v>70</v>
      </c>
      <c r="D70" s="15" t="s">
        <v>70</v>
      </c>
      <c r="E70" s="15" t="s">
        <v>70</v>
      </c>
      <c r="F70" s="15" t="s">
        <v>70</v>
      </c>
      <c r="G70" s="15" t="s">
        <v>70</v>
      </c>
      <c r="H70" s="15" t="s">
        <v>70</v>
      </c>
      <c r="I70" s="15" t="s">
        <v>70</v>
      </c>
      <c r="J70" s="15" t="s">
        <v>70</v>
      </c>
      <c r="K70" s="15" t="s">
        <v>70</v>
      </c>
      <c r="L70" s="15" t="s">
        <v>70</v>
      </c>
      <c r="M70" s="15" t="s">
        <v>70</v>
      </c>
      <c r="N70" s="15" t="s">
        <v>70</v>
      </c>
      <c r="O70" s="15" t="s">
        <v>70</v>
      </c>
      <c r="P70" s="15" t="s">
        <v>70</v>
      </c>
      <c r="Q70" s="15" t="s">
        <v>70</v>
      </c>
      <c r="R70" s="15" t="s">
        <v>70</v>
      </c>
      <c r="S70" s="15" t="s">
        <v>70</v>
      </c>
      <c r="T70" s="15" t="s">
        <v>70</v>
      </c>
      <c r="U70" s="15" t="s">
        <v>70</v>
      </c>
      <c r="V70" s="15" t="s">
        <v>70</v>
      </c>
      <c r="W70" s="15" t="s">
        <v>70</v>
      </c>
    </row>
    <row r="71" spans="1:23" x14ac:dyDescent="0.2">
      <c r="A71" s="6" t="s">
        <v>71</v>
      </c>
      <c r="B71" s="16">
        <v>1062957.73</v>
      </c>
      <c r="C71" s="16">
        <v>47159.3</v>
      </c>
      <c r="D71" s="16">
        <v>55571.519999999997</v>
      </c>
      <c r="E71" s="16">
        <v>65560.88</v>
      </c>
      <c r="F71" s="16">
        <v>60269.26</v>
      </c>
      <c r="G71" s="16">
        <v>53101.77</v>
      </c>
      <c r="H71" s="16">
        <v>44072.42</v>
      </c>
      <c r="I71" s="16">
        <v>39330.54</v>
      </c>
      <c r="J71" s="16">
        <v>54057.09</v>
      </c>
      <c r="K71" s="16">
        <v>40952.75</v>
      </c>
      <c r="L71" s="16">
        <v>63573.56</v>
      </c>
      <c r="M71" s="16">
        <v>69719.41</v>
      </c>
      <c r="N71" s="16">
        <v>135497.12</v>
      </c>
      <c r="O71" s="16">
        <v>78742.66</v>
      </c>
      <c r="P71" s="16">
        <v>99439.8</v>
      </c>
      <c r="Q71" s="16">
        <v>73902.880000000005</v>
      </c>
      <c r="R71" s="16">
        <v>59465.03</v>
      </c>
      <c r="S71" s="16">
        <v>5569.12</v>
      </c>
      <c r="T71" s="16">
        <v>1560.22</v>
      </c>
      <c r="U71" s="16">
        <v>4342.51</v>
      </c>
      <c r="V71" s="16">
        <v>8360.66</v>
      </c>
      <c r="W71" s="16">
        <v>2709.23</v>
      </c>
    </row>
    <row r="72" spans="1:23" x14ac:dyDescent="0.2">
      <c r="A72" s="6" t="s">
        <v>72</v>
      </c>
      <c r="B72" s="16">
        <v>81954.45</v>
      </c>
      <c r="C72" s="16">
        <v>7451.28</v>
      </c>
      <c r="D72" s="16">
        <v>1416.76</v>
      </c>
      <c r="E72" s="16">
        <v>1479.99</v>
      </c>
      <c r="F72" s="16">
        <v>3128.77</v>
      </c>
      <c r="G72" s="16">
        <v>1923.43</v>
      </c>
      <c r="H72" s="16">
        <v>143.51</v>
      </c>
      <c r="I72" s="16">
        <v>1054.32</v>
      </c>
      <c r="J72" s="16">
        <v>2986.34</v>
      </c>
      <c r="K72" s="16">
        <v>1580.28</v>
      </c>
      <c r="L72" s="16">
        <v>2345.15</v>
      </c>
      <c r="M72" s="16">
        <v>3476.47</v>
      </c>
      <c r="N72" s="16">
        <v>8254.09</v>
      </c>
      <c r="O72" s="16">
        <v>6570.49</v>
      </c>
      <c r="P72" s="16">
        <v>10627.26</v>
      </c>
      <c r="Q72" s="16">
        <v>15385.73</v>
      </c>
      <c r="R72" s="16">
        <v>13298.95</v>
      </c>
      <c r="S72" s="16">
        <v>0</v>
      </c>
      <c r="T72" s="16">
        <v>2.4900000000000002</v>
      </c>
      <c r="U72" s="16">
        <v>658.78</v>
      </c>
      <c r="V72" s="16">
        <v>170.36</v>
      </c>
      <c r="W72" s="16">
        <v>0</v>
      </c>
    </row>
    <row r="73" spans="1:23" x14ac:dyDescent="0.2">
      <c r="A73" s="6" t="s">
        <v>73</v>
      </c>
      <c r="B73" s="16">
        <v>1750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750</v>
      </c>
      <c r="M73" s="16">
        <v>0</v>
      </c>
      <c r="N73" s="16">
        <v>0</v>
      </c>
      <c r="O73" s="16">
        <v>0</v>
      </c>
      <c r="P73" s="16">
        <v>1000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</row>
    <row r="74" spans="1:23" x14ac:dyDescent="0.2">
      <c r="A74" s="6" t="s">
        <v>74</v>
      </c>
      <c r="B74" s="16">
        <v>1729.61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100</v>
      </c>
      <c r="O74" s="16">
        <v>995</v>
      </c>
      <c r="P74" s="16">
        <v>0</v>
      </c>
      <c r="Q74" s="16">
        <v>50</v>
      </c>
      <c r="R74" s="16">
        <v>584.61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</row>
    <row r="75" spans="1:23" x14ac:dyDescent="0.2">
      <c r="A75" s="6" t="s">
        <v>75</v>
      </c>
      <c r="B75" s="16">
        <v>56079.95</v>
      </c>
      <c r="C75" s="16">
        <v>700.75</v>
      </c>
      <c r="D75" s="16">
        <v>4599.12</v>
      </c>
      <c r="E75" s="16">
        <v>3130.51</v>
      </c>
      <c r="F75" s="16">
        <v>3281.05</v>
      </c>
      <c r="G75" s="16">
        <v>2363.56</v>
      </c>
      <c r="H75" s="16">
        <v>2877.53</v>
      </c>
      <c r="I75" s="16">
        <v>1160.01</v>
      </c>
      <c r="J75" s="16">
        <v>1356.66</v>
      </c>
      <c r="K75" s="16">
        <v>2319.94</v>
      </c>
      <c r="L75" s="16">
        <v>5396.13</v>
      </c>
      <c r="M75" s="16">
        <v>531.84</v>
      </c>
      <c r="N75" s="16">
        <v>10318.950000000001</v>
      </c>
      <c r="O75" s="16">
        <v>6343.35</v>
      </c>
      <c r="P75" s="16">
        <v>2905.67</v>
      </c>
      <c r="Q75" s="16">
        <v>4033.26</v>
      </c>
      <c r="R75" s="16">
        <v>4442.72</v>
      </c>
      <c r="S75" s="16">
        <v>120.68</v>
      </c>
      <c r="T75" s="16">
        <v>-167.51</v>
      </c>
      <c r="U75" s="16">
        <v>118.97</v>
      </c>
      <c r="V75" s="16">
        <v>176.92</v>
      </c>
      <c r="W75" s="16">
        <v>69.84</v>
      </c>
    </row>
    <row r="76" spans="1:23" x14ac:dyDescent="0.2">
      <c r="A76" s="6" t="s">
        <v>76</v>
      </c>
      <c r="B76" s="16">
        <v>31428.85</v>
      </c>
      <c r="C76" s="16">
        <v>812</v>
      </c>
      <c r="D76" s="16">
        <v>2304</v>
      </c>
      <c r="E76" s="16">
        <v>2108</v>
      </c>
      <c r="F76" s="16">
        <v>3260</v>
      </c>
      <c r="G76" s="16">
        <v>1872</v>
      </c>
      <c r="H76" s="16">
        <v>2806</v>
      </c>
      <c r="I76" s="16">
        <v>1924</v>
      </c>
      <c r="J76" s="16">
        <v>1399.63</v>
      </c>
      <c r="K76" s="16">
        <v>1029.01</v>
      </c>
      <c r="L76" s="16">
        <v>0</v>
      </c>
      <c r="M76" s="16">
        <v>1653.77</v>
      </c>
      <c r="N76" s="16">
        <v>4611.1400000000003</v>
      </c>
      <c r="O76" s="16">
        <v>2155.64</v>
      </c>
      <c r="P76" s="16">
        <v>3255.61</v>
      </c>
      <c r="Q76" s="16">
        <v>1108.95</v>
      </c>
      <c r="R76" s="16">
        <v>974.1</v>
      </c>
      <c r="S76" s="16">
        <v>0</v>
      </c>
      <c r="T76" s="16">
        <v>0</v>
      </c>
      <c r="U76" s="16">
        <v>0</v>
      </c>
      <c r="V76" s="16">
        <v>155</v>
      </c>
      <c r="W76" s="16">
        <v>0</v>
      </c>
    </row>
    <row r="77" spans="1:23" x14ac:dyDescent="0.2">
      <c r="A77" s="6" t="s">
        <v>301</v>
      </c>
      <c r="B77" s="21">
        <v>1235900.5900000001</v>
      </c>
      <c r="C77" s="21">
        <v>56123.33</v>
      </c>
      <c r="D77" s="21">
        <v>63891.4</v>
      </c>
      <c r="E77" s="21">
        <v>72279.38</v>
      </c>
      <c r="F77" s="21">
        <v>69939.08</v>
      </c>
      <c r="G77" s="21">
        <v>59260.76</v>
      </c>
      <c r="H77" s="21">
        <v>49899.46</v>
      </c>
      <c r="I77" s="21">
        <v>43468.87</v>
      </c>
      <c r="J77" s="21">
        <v>59799.72</v>
      </c>
      <c r="K77" s="21">
        <v>45881.98</v>
      </c>
      <c r="L77" s="21">
        <v>72064.84</v>
      </c>
      <c r="M77" s="21">
        <v>75381.490000000005</v>
      </c>
      <c r="N77" s="21">
        <v>158781.29999999999</v>
      </c>
      <c r="O77" s="21">
        <v>94807.14</v>
      </c>
      <c r="P77" s="21">
        <v>117228.34</v>
      </c>
      <c r="Q77" s="21">
        <v>94480.82</v>
      </c>
      <c r="R77" s="21">
        <v>78765.41</v>
      </c>
      <c r="S77" s="21">
        <v>5689.8</v>
      </c>
      <c r="T77" s="21">
        <v>1395.2</v>
      </c>
      <c r="U77" s="21">
        <v>5120.26</v>
      </c>
      <c r="V77" s="21">
        <v>8862.94</v>
      </c>
      <c r="W77" s="21">
        <v>2779.07</v>
      </c>
    </row>
    <row r="78" spans="1:23" x14ac:dyDescent="0.2">
      <c r="A78" s="6" t="s">
        <v>302</v>
      </c>
      <c r="B78" s="15" t="s">
        <v>70</v>
      </c>
      <c r="C78" s="15" t="s">
        <v>70</v>
      </c>
      <c r="D78" s="15" t="s">
        <v>70</v>
      </c>
      <c r="E78" s="15" t="s">
        <v>70</v>
      </c>
      <c r="F78" s="15" t="s">
        <v>70</v>
      </c>
      <c r="G78" s="15" t="s">
        <v>70</v>
      </c>
      <c r="H78" s="15" t="s">
        <v>70</v>
      </c>
      <c r="I78" s="15" t="s">
        <v>70</v>
      </c>
      <c r="J78" s="15" t="s">
        <v>70</v>
      </c>
      <c r="K78" s="15" t="s">
        <v>70</v>
      </c>
      <c r="L78" s="15" t="s">
        <v>70</v>
      </c>
      <c r="M78" s="15" t="s">
        <v>70</v>
      </c>
      <c r="N78" s="15" t="s">
        <v>70</v>
      </c>
      <c r="O78" s="15" t="s">
        <v>70</v>
      </c>
      <c r="P78" s="15" t="s">
        <v>70</v>
      </c>
      <c r="Q78" s="15" t="s">
        <v>70</v>
      </c>
      <c r="R78" s="15" t="s">
        <v>70</v>
      </c>
      <c r="S78" s="15" t="s">
        <v>70</v>
      </c>
      <c r="T78" s="15" t="s">
        <v>70</v>
      </c>
      <c r="U78" s="15" t="s">
        <v>70</v>
      </c>
      <c r="V78" s="15" t="s">
        <v>70</v>
      </c>
      <c r="W78" s="15" t="s">
        <v>70</v>
      </c>
    </row>
    <row r="79" spans="1:23" x14ac:dyDescent="0.2">
      <c r="A79" s="6" t="s">
        <v>71</v>
      </c>
      <c r="B79" s="16">
        <v>41860.04</v>
      </c>
      <c r="C79" s="16">
        <v>2671.07</v>
      </c>
      <c r="D79" s="16">
        <v>2245.61</v>
      </c>
      <c r="E79" s="16">
        <v>2942.5</v>
      </c>
      <c r="F79" s="16">
        <v>3586.87</v>
      </c>
      <c r="G79" s="16">
        <v>125.2</v>
      </c>
      <c r="H79" s="16">
        <v>2625.29</v>
      </c>
      <c r="I79" s="16">
        <v>3053.57</v>
      </c>
      <c r="J79" s="16">
        <v>0</v>
      </c>
      <c r="K79" s="16">
        <v>0</v>
      </c>
      <c r="L79" s="16">
        <v>3721.14</v>
      </c>
      <c r="M79" s="16">
        <v>621</v>
      </c>
      <c r="N79" s="16">
        <v>4147.25</v>
      </c>
      <c r="O79" s="16">
        <v>4024.73</v>
      </c>
      <c r="P79" s="16">
        <v>4769.24</v>
      </c>
      <c r="Q79" s="16">
        <v>4128.57</v>
      </c>
      <c r="R79" s="16">
        <v>3198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</row>
    <row r="80" spans="1:23" x14ac:dyDescent="0.2">
      <c r="A80" s="6" t="s">
        <v>72</v>
      </c>
      <c r="B80" s="16">
        <v>310.86</v>
      </c>
      <c r="C80" s="16">
        <v>10.119999999999999</v>
      </c>
      <c r="D80" s="16">
        <v>12.77</v>
      </c>
      <c r="E80" s="16">
        <v>101.72</v>
      </c>
      <c r="F80" s="16">
        <v>60.2</v>
      </c>
      <c r="G80" s="16">
        <v>0</v>
      </c>
      <c r="H80" s="16">
        <v>37.340000000000003</v>
      </c>
      <c r="I80" s="16">
        <v>88.71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</row>
    <row r="81" spans="1:23" x14ac:dyDescent="0.2">
      <c r="A81" s="6" t="s">
        <v>73</v>
      </c>
      <c r="B81" s="16">
        <v>500</v>
      </c>
      <c r="C81" s="16">
        <v>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500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</row>
    <row r="82" spans="1:23" x14ac:dyDescent="0.2">
      <c r="A82" s="6" t="s">
        <v>75</v>
      </c>
      <c r="B82" s="16">
        <v>1760.05</v>
      </c>
      <c r="C82" s="16">
        <v>411.59</v>
      </c>
      <c r="D82" s="16">
        <v>102.25</v>
      </c>
      <c r="E82" s="16">
        <v>108.36</v>
      </c>
      <c r="F82" s="16">
        <v>0</v>
      </c>
      <c r="G82" s="16">
        <v>0</v>
      </c>
      <c r="H82" s="16">
        <v>241.87</v>
      </c>
      <c r="I82" s="16">
        <v>114.22</v>
      </c>
      <c r="J82" s="16">
        <v>0</v>
      </c>
      <c r="K82" s="16">
        <v>0</v>
      </c>
      <c r="L82" s="16">
        <v>67.59</v>
      </c>
      <c r="M82" s="16">
        <v>0</v>
      </c>
      <c r="N82" s="16">
        <v>75.33</v>
      </c>
      <c r="O82" s="16">
        <v>-80.94</v>
      </c>
      <c r="P82" s="16">
        <v>82.71</v>
      </c>
      <c r="Q82" s="16">
        <v>153.84</v>
      </c>
      <c r="R82" s="16">
        <v>483.23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</row>
    <row r="83" spans="1:23" x14ac:dyDescent="0.2">
      <c r="A83" s="6" t="s">
        <v>76</v>
      </c>
      <c r="B83" s="16">
        <v>1700.46</v>
      </c>
      <c r="C83" s="16">
        <v>144</v>
      </c>
      <c r="D83" s="16">
        <v>136</v>
      </c>
      <c r="E83" s="16">
        <v>140</v>
      </c>
      <c r="F83" s="16">
        <v>168</v>
      </c>
      <c r="G83" s="16">
        <v>0</v>
      </c>
      <c r="H83" s="16">
        <v>136</v>
      </c>
      <c r="I83" s="16">
        <v>144</v>
      </c>
      <c r="J83" s="16">
        <v>0</v>
      </c>
      <c r="K83" s="16">
        <v>0</v>
      </c>
      <c r="L83" s="16">
        <v>176</v>
      </c>
      <c r="M83" s="16">
        <v>0</v>
      </c>
      <c r="N83" s="16">
        <v>196.15</v>
      </c>
      <c r="O83" s="16">
        <v>192.31</v>
      </c>
      <c r="P83" s="16">
        <v>0</v>
      </c>
      <c r="Q83" s="16">
        <v>100</v>
      </c>
      <c r="R83" s="16">
        <v>168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</row>
    <row r="84" spans="1:23" x14ac:dyDescent="0.2">
      <c r="A84" s="6" t="s">
        <v>303</v>
      </c>
      <c r="B84" s="21">
        <v>46131.41</v>
      </c>
      <c r="C84" s="21">
        <v>3236.78</v>
      </c>
      <c r="D84" s="21">
        <v>2496.63</v>
      </c>
      <c r="E84" s="21">
        <v>3292.58</v>
      </c>
      <c r="F84" s="21">
        <v>3815.07</v>
      </c>
      <c r="G84" s="21">
        <v>125.2</v>
      </c>
      <c r="H84" s="21">
        <v>3040.5</v>
      </c>
      <c r="I84" s="21">
        <v>3400.5</v>
      </c>
      <c r="J84" s="21">
        <v>0</v>
      </c>
      <c r="K84" s="21">
        <v>0</v>
      </c>
      <c r="L84" s="21">
        <v>3964.73</v>
      </c>
      <c r="M84" s="21">
        <v>621</v>
      </c>
      <c r="N84" s="21">
        <v>4418.7299999999996</v>
      </c>
      <c r="O84" s="21">
        <v>4136.1000000000004</v>
      </c>
      <c r="P84" s="21">
        <v>5351.95</v>
      </c>
      <c r="Q84" s="21">
        <v>4382.41</v>
      </c>
      <c r="R84" s="21">
        <v>3849.23</v>
      </c>
      <c r="S84" s="21">
        <v>0</v>
      </c>
      <c r="T84" s="21">
        <v>0</v>
      </c>
      <c r="U84" s="21">
        <v>0</v>
      </c>
      <c r="V84" s="21">
        <v>0</v>
      </c>
      <c r="W84" s="21">
        <v>0</v>
      </c>
    </row>
    <row r="85" spans="1:23" x14ac:dyDescent="0.2">
      <c r="A85" s="6" t="s">
        <v>304</v>
      </c>
      <c r="B85" s="15" t="s">
        <v>70</v>
      </c>
      <c r="C85" s="15" t="s">
        <v>70</v>
      </c>
      <c r="D85" s="15" t="s">
        <v>70</v>
      </c>
      <c r="E85" s="15" t="s">
        <v>70</v>
      </c>
      <c r="F85" s="15" t="s">
        <v>70</v>
      </c>
      <c r="G85" s="15" t="s">
        <v>70</v>
      </c>
      <c r="H85" s="15" t="s">
        <v>70</v>
      </c>
      <c r="I85" s="15" t="s">
        <v>70</v>
      </c>
      <c r="J85" s="15" t="s">
        <v>70</v>
      </c>
      <c r="K85" s="15" t="s">
        <v>70</v>
      </c>
      <c r="L85" s="15" t="s">
        <v>70</v>
      </c>
      <c r="M85" s="15" t="s">
        <v>70</v>
      </c>
      <c r="N85" s="15" t="s">
        <v>70</v>
      </c>
      <c r="O85" s="15" t="s">
        <v>70</v>
      </c>
      <c r="P85" s="15" t="s">
        <v>70</v>
      </c>
      <c r="Q85" s="15" t="s">
        <v>70</v>
      </c>
      <c r="R85" s="15" t="s">
        <v>70</v>
      </c>
      <c r="S85" s="15" t="s">
        <v>70</v>
      </c>
      <c r="T85" s="15" t="s">
        <v>70</v>
      </c>
      <c r="U85" s="15" t="s">
        <v>70</v>
      </c>
      <c r="V85" s="15" t="s">
        <v>70</v>
      </c>
      <c r="W85" s="15" t="s">
        <v>70</v>
      </c>
    </row>
    <row r="86" spans="1:23" x14ac:dyDescent="0.2">
      <c r="A86" s="6" t="s">
        <v>71</v>
      </c>
      <c r="B86" s="16">
        <v>13195.72</v>
      </c>
      <c r="C86" s="16">
        <v>0</v>
      </c>
      <c r="D86" s="16">
        <v>0</v>
      </c>
      <c r="E86" s="16">
        <v>0</v>
      </c>
      <c r="F86" s="16">
        <v>1468</v>
      </c>
      <c r="G86" s="16">
        <v>1744.71</v>
      </c>
      <c r="H86" s="16">
        <v>0</v>
      </c>
      <c r="I86" s="16">
        <v>0</v>
      </c>
      <c r="J86" s="16">
        <v>2521.96</v>
      </c>
      <c r="K86" s="16">
        <v>0</v>
      </c>
      <c r="L86" s="16">
        <v>0</v>
      </c>
      <c r="M86" s="16">
        <v>0</v>
      </c>
      <c r="N86" s="16">
        <v>5485.71</v>
      </c>
      <c r="O86" s="16">
        <v>0</v>
      </c>
      <c r="P86" s="16">
        <v>1975.34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</row>
    <row r="87" spans="1:23" x14ac:dyDescent="0.2">
      <c r="A87" s="6" t="s">
        <v>72</v>
      </c>
      <c r="B87" s="16">
        <v>78.099999999999994</v>
      </c>
      <c r="C87" s="16">
        <v>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1.49</v>
      </c>
      <c r="K87" s="16">
        <v>0</v>
      </c>
      <c r="L87" s="16">
        <v>0</v>
      </c>
      <c r="M87" s="16">
        <v>0</v>
      </c>
      <c r="N87" s="16">
        <v>76.61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</row>
    <row r="88" spans="1:23" x14ac:dyDescent="0.2">
      <c r="A88" s="6" t="s">
        <v>74</v>
      </c>
      <c r="B88" s="16">
        <v>250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250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</row>
    <row r="89" spans="1:23" x14ac:dyDescent="0.2">
      <c r="A89" s="6" t="s">
        <v>75</v>
      </c>
      <c r="B89" s="16">
        <v>1076.3699999999999</v>
      </c>
      <c r="C89" s="16">
        <v>0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524.07000000000005</v>
      </c>
      <c r="K89" s="16">
        <v>0</v>
      </c>
      <c r="L89" s="16">
        <v>0</v>
      </c>
      <c r="M89" s="16">
        <v>0</v>
      </c>
      <c r="N89" s="16">
        <v>373.89</v>
      </c>
      <c r="O89" s="16">
        <v>0</v>
      </c>
      <c r="P89" s="16">
        <v>178.41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</row>
    <row r="90" spans="1:23" x14ac:dyDescent="0.2">
      <c r="A90" s="6" t="s">
        <v>76</v>
      </c>
      <c r="B90" s="16">
        <v>264.29000000000002</v>
      </c>
      <c r="C90" s="16">
        <v>0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160</v>
      </c>
      <c r="O90" s="16">
        <v>0</v>
      </c>
      <c r="P90" s="16">
        <v>104.29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</row>
    <row r="91" spans="1:23" x14ac:dyDescent="0.2">
      <c r="A91" s="6" t="s">
        <v>305</v>
      </c>
      <c r="B91" s="21">
        <v>14864.48</v>
      </c>
      <c r="C91" s="21">
        <v>0</v>
      </c>
      <c r="D91" s="21">
        <v>0</v>
      </c>
      <c r="E91" s="21">
        <v>0</v>
      </c>
      <c r="F91" s="21">
        <v>1468</v>
      </c>
      <c r="G91" s="21">
        <v>1744.71</v>
      </c>
      <c r="H91" s="21">
        <v>0</v>
      </c>
      <c r="I91" s="21">
        <v>0</v>
      </c>
      <c r="J91" s="21">
        <v>3047.52</v>
      </c>
      <c r="K91" s="21">
        <v>0</v>
      </c>
      <c r="L91" s="21">
        <v>0</v>
      </c>
      <c r="M91" s="21">
        <v>0</v>
      </c>
      <c r="N91" s="21">
        <v>6096.21</v>
      </c>
      <c r="O91" s="21">
        <v>0</v>
      </c>
      <c r="P91" s="21">
        <v>2508.04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</row>
    <row r="92" spans="1:23" x14ac:dyDescent="0.2">
      <c r="A92" s="6" t="s">
        <v>306</v>
      </c>
      <c r="B92" s="15" t="s">
        <v>70</v>
      </c>
      <c r="C92" s="15" t="s">
        <v>70</v>
      </c>
      <c r="D92" s="15" t="s">
        <v>70</v>
      </c>
      <c r="E92" s="15" t="s">
        <v>70</v>
      </c>
      <c r="F92" s="15" t="s">
        <v>70</v>
      </c>
      <c r="G92" s="15" t="s">
        <v>70</v>
      </c>
      <c r="H92" s="15" t="s">
        <v>70</v>
      </c>
      <c r="I92" s="15" t="s">
        <v>70</v>
      </c>
      <c r="J92" s="15" t="s">
        <v>70</v>
      </c>
      <c r="K92" s="15" t="s">
        <v>70</v>
      </c>
      <c r="L92" s="15" t="s">
        <v>70</v>
      </c>
      <c r="M92" s="15" t="s">
        <v>70</v>
      </c>
      <c r="N92" s="15" t="s">
        <v>70</v>
      </c>
      <c r="O92" s="15" t="s">
        <v>70</v>
      </c>
      <c r="P92" s="15" t="s">
        <v>70</v>
      </c>
      <c r="Q92" s="15" t="s">
        <v>70</v>
      </c>
      <c r="R92" s="15" t="s">
        <v>70</v>
      </c>
      <c r="S92" s="15" t="s">
        <v>70</v>
      </c>
      <c r="T92" s="15" t="s">
        <v>70</v>
      </c>
      <c r="U92" s="15" t="s">
        <v>70</v>
      </c>
      <c r="V92" s="15" t="s">
        <v>70</v>
      </c>
      <c r="W92" s="15" t="s">
        <v>70</v>
      </c>
    </row>
    <row r="93" spans="1:23" x14ac:dyDescent="0.2">
      <c r="A93" s="6" t="s">
        <v>71</v>
      </c>
      <c r="B93" s="16">
        <v>411.63</v>
      </c>
      <c r="C93" s="16">
        <v>0</v>
      </c>
      <c r="D93" s="16">
        <v>0</v>
      </c>
      <c r="E93" s="16">
        <v>0</v>
      </c>
      <c r="F93" s="16">
        <v>0</v>
      </c>
      <c r="G93" s="16">
        <v>411.63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</row>
    <row r="94" spans="1:23" x14ac:dyDescent="0.2">
      <c r="A94" s="6" t="s">
        <v>307</v>
      </c>
      <c r="B94" s="21">
        <v>411.63</v>
      </c>
      <c r="C94" s="21">
        <v>0</v>
      </c>
      <c r="D94" s="21">
        <v>0</v>
      </c>
      <c r="E94" s="21">
        <v>0</v>
      </c>
      <c r="F94" s="21">
        <v>0</v>
      </c>
      <c r="G94" s="21">
        <v>411.63</v>
      </c>
      <c r="H94" s="21">
        <v>0</v>
      </c>
      <c r="I94" s="21">
        <v>0</v>
      </c>
      <c r="J94" s="21">
        <v>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0</v>
      </c>
      <c r="T94" s="21">
        <v>0</v>
      </c>
      <c r="U94" s="21">
        <v>0</v>
      </c>
      <c r="V94" s="21">
        <v>0</v>
      </c>
      <c r="W94" s="21">
        <v>0</v>
      </c>
    </row>
    <row r="95" spans="1:23" x14ac:dyDescent="0.2">
      <c r="A95" s="6" t="s">
        <v>308</v>
      </c>
      <c r="B95" s="15" t="s">
        <v>70</v>
      </c>
      <c r="C95" s="15" t="s">
        <v>70</v>
      </c>
      <c r="D95" s="15" t="s">
        <v>70</v>
      </c>
      <c r="E95" s="15" t="s">
        <v>70</v>
      </c>
      <c r="F95" s="15" t="s">
        <v>70</v>
      </c>
      <c r="G95" s="15" t="s">
        <v>70</v>
      </c>
      <c r="H95" s="15" t="s">
        <v>70</v>
      </c>
      <c r="I95" s="15" t="s">
        <v>70</v>
      </c>
      <c r="J95" s="15" t="s">
        <v>70</v>
      </c>
      <c r="K95" s="15" t="s">
        <v>70</v>
      </c>
      <c r="L95" s="15" t="s">
        <v>70</v>
      </c>
      <c r="M95" s="15" t="s">
        <v>70</v>
      </c>
      <c r="N95" s="15" t="s">
        <v>70</v>
      </c>
      <c r="O95" s="15" t="s">
        <v>70</v>
      </c>
      <c r="P95" s="15" t="s">
        <v>70</v>
      </c>
      <c r="Q95" s="15" t="s">
        <v>70</v>
      </c>
      <c r="R95" s="15" t="s">
        <v>70</v>
      </c>
      <c r="S95" s="15" t="s">
        <v>70</v>
      </c>
      <c r="T95" s="15" t="s">
        <v>70</v>
      </c>
      <c r="U95" s="15" t="s">
        <v>70</v>
      </c>
      <c r="V95" s="15" t="s">
        <v>70</v>
      </c>
      <c r="W95" s="15" t="s">
        <v>70</v>
      </c>
    </row>
    <row r="96" spans="1:23" x14ac:dyDescent="0.2">
      <c r="A96" s="6" t="s">
        <v>71</v>
      </c>
      <c r="B96" s="16">
        <v>42431.83</v>
      </c>
      <c r="C96" s="16">
        <v>2766.16</v>
      </c>
      <c r="D96" s="16">
        <v>2374.86</v>
      </c>
      <c r="E96" s="16">
        <v>2610.96</v>
      </c>
      <c r="F96" s="16">
        <v>2914.07</v>
      </c>
      <c r="G96" s="16">
        <v>1763.78</v>
      </c>
      <c r="H96" s="16">
        <v>179.14</v>
      </c>
      <c r="I96" s="16">
        <v>2681.71</v>
      </c>
      <c r="J96" s="16">
        <v>3380.62</v>
      </c>
      <c r="K96" s="16">
        <v>2988.64</v>
      </c>
      <c r="L96" s="16">
        <v>4176.1400000000003</v>
      </c>
      <c r="M96" s="16">
        <v>1943.93</v>
      </c>
      <c r="N96" s="16">
        <v>3111.11</v>
      </c>
      <c r="O96" s="16">
        <v>2900.57</v>
      </c>
      <c r="P96" s="16">
        <v>2822.46</v>
      </c>
      <c r="Q96" s="16">
        <v>3554.29</v>
      </c>
      <c r="R96" s="16">
        <v>2263.39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</row>
    <row r="97" spans="1:23" x14ac:dyDescent="0.2">
      <c r="A97" s="6" t="s">
        <v>72</v>
      </c>
      <c r="B97" s="16">
        <v>1189.73</v>
      </c>
      <c r="C97" s="16">
        <v>193.75</v>
      </c>
      <c r="D97" s="16">
        <v>102</v>
      </c>
      <c r="E97" s="16">
        <v>0</v>
      </c>
      <c r="F97" s="16">
        <v>91.12</v>
      </c>
      <c r="G97" s="16">
        <v>6.9399999999999995</v>
      </c>
      <c r="H97" s="16">
        <v>0</v>
      </c>
      <c r="I97" s="16">
        <v>78</v>
      </c>
      <c r="J97" s="16">
        <v>330.76</v>
      </c>
      <c r="K97" s="16">
        <v>22.66</v>
      </c>
      <c r="L97" s="16">
        <v>0</v>
      </c>
      <c r="M97" s="16">
        <v>0</v>
      </c>
      <c r="N97" s="16">
        <v>364.5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</row>
    <row r="98" spans="1:23" x14ac:dyDescent="0.2">
      <c r="A98" s="6" t="s">
        <v>75</v>
      </c>
      <c r="B98" s="16">
        <v>960.3</v>
      </c>
      <c r="C98" s="16">
        <v>222.16</v>
      </c>
      <c r="D98" s="16">
        <v>-83.85</v>
      </c>
      <c r="E98" s="16">
        <v>385.98</v>
      </c>
      <c r="F98" s="16">
        <v>-227.46</v>
      </c>
      <c r="G98" s="16">
        <v>-106.62</v>
      </c>
      <c r="H98" s="16">
        <v>-97.88</v>
      </c>
      <c r="I98" s="16">
        <v>48.47</v>
      </c>
      <c r="J98" s="16">
        <v>-93.46</v>
      </c>
      <c r="K98" s="16">
        <v>0</v>
      </c>
      <c r="L98" s="16">
        <v>150.53</v>
      </c>
      <c r="M98" s="16">
        <v>356.01</v>
      </c>
      <c r="N98" s="16">
        <v>-7.5600000000000005</v>
      </c>
      <c r="O98" s="16">
        <v>199.3</v>
      </c>
      <c r="P98" s="16">
        <v>143.79</v>
      </c>
      <c r="Q98" s="16">
        <v>31.65</v>
      </c>
      <c r="R98" s="16">
        <v>39.24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</row>
    <row r="99" spans="1:23" x14ac:dyDescent="0.2">
      <c r="A99" s="6" t="s">
        <v>76</v>
      </c>
      <c r="B99" s="16">
        <v>1361.73</v>
      </c>
      <c r="C99" s="16">
        <v>136.47999999999999</v>
      </c>
      <c r="D99" s="16">
        <v>0</v>
      </c>
      <c r="E99" s="16">
        <v>144</v>
      </c>
      <c r="F99" s="16">
        <v>0</v>
      </c>
      <c r="G99" s="16">
        <v>0</v>
      </c>
      <c r="H99" s="16">
        <v>0</v>
      </c>
      <c r="I99" s="16">
        <v>128</v>
      </c>
      <c r="J99" s="16">
        <v>173.25</v>
      </c>
      <c r="K99" s="16">
        <v>144</v>
      </c>
      <c r="L99" s="16">
        <v>196</v>
      </c>
      <c r="M99" s="16">
        <v>0</v>
      </c>
      <c r="N99" s="16">
        <v>72</v>
      </c>
      <c r="O99" s="16">
        <v>144</v>
      </c>
      <c r="P99" s="16">
        <v>144</v>
      </c>
      <c r="Q99" s="16">
        <v>80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</row>
    <row r="100" spans="1:23" x14ac:dyDescent="0.2">
      <c r="A100" s="6" t="s">
        <v>309</v>
      </c>
      <c r="B100" s="21">
        <v>45943.59</v>
      </c>
      <c r="C100" s="21">
        <v>3318.55</v>
      </c>
      <c r="D100" s="21">
        <v>2393.0100000000002</v>
      </c>
      <c r="E100" s="21">
        <v>3140.94</v>
      </c>
      <c r="F100" s="21">
        <v>2777.73</v>
      </c>
      <c r="G100" s="21">
        <v>1664.1</v>
      </c>
      <c r="H100" s="21">
        <v>81.260000000000005</v>
      </c>
      <c r="I100" s="21">
        <v>2936.18</v>
      </c>
      <c r="J100" s="21">
        <v>3791.17</v>
      </c>
      <c r="K100" s="21">
        <v>3155.3</v>
      </c>
      <c r="L100" s="21">
        <v>4522.67</v>
      </c>
      <c r="M100" s="21">
        <v>2299.94</v>
      </c>
      <c r="N100" s="21">
        <v>3540.05</v>
      </c>
      <c r="O100" s="21">
        <v>3243.87</v>
      </c>
      <c r="P100" s="21">
        <v>3110.25</v>
      </c>
      <c r="Q100" s="21">
        <v>3665.94</v>
      </c>
      <c r="R100" s="21">
        <v>2302.63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</row>
    <row r="101" spans="1:23" x14ac:dyDescent="0.2">
      <c r="A101" s="6" t="s">
        <v>310</v>
      </c>
      <c r="B101" s="15" t="s">
        <v>70</v>
      </c>
      <c r="C101" s="15" t="s">
        <v>70</v>
      </c>
      <c r="D101" s="15" t="s">
        <v>70</v>
      </c>
      <c r="E101" s="15" t="s">
        <v>70</v>
      </c>
      <c r="F101" s="15" t="s">
        <v>70</v>
      </c>
      <c r="G101" s="15" t="s">
        <v>70</v>
      </c>
      <c r="H101" s="15" t="s">
        <v>70</v>
      </c>
      <c r="I101" s="15" t="s">
        <v>70</v>
      </c>
      <c r="J101" s="15" t="s">
        <v>70</v>
      </c>
      <c r="K101" s="15" t="s">
        <v>70</v>
      </c>
      <c r="L101" s="15" t="s">
        <v>70</v>
      </c>
      <c r="M101" s="15" t="s">
        <v>70</v>
      </c>
      <c r="N101" s="15" t="s">
        <v>70</v>
      </c>
      <c r="O101" s="15" t="s">
        <v>70</v>
      </c>
      <c r="P101" s="15" t="s">
        <v>70</v>
      </c>
      <c r="Q101" s="15" t="s">
        <v>70</v>
      </c>
      <c r="R101" s="15" t="s">
        <v>70</v>
      </c>
      <c r="S101" s="15" t="s">
        <v>70</v>
      </c>
      <c r="T101" s="15" t="s">
        <v>70</v>
      </c>
      <c r="U101" s="15" t="s">
        <v>70</v>
      </c>
      <c r="V101" s="15" t="s">
        <v>70</v>
      </c>
      <c r="W101" s="15" t="s">
        <v>70</v>
      </c>
    </row>
    <row r="102" spans="1:23" x14ac:dyDescent="0.2">
      <c r="A102" s="6" t="s">
        <v>71</v>
      </c>
      <c r="B102" s="16">
        <v>34043.910000000003</v>
      </c>
      <c r="C102" s="16">
        <v>2570</v>
      </c>
      <c r="D102" s="16">
        <v>0</v>
      </c>
      <c r="E102" s="16">
        <v>2947.92</v>
      </c>
      <c r="F102" s="16">
        <v>0</v>
      </c>
      <c r="G102" s="16">
        <v>0</v>
      </c>
      <c r="H102" s="16">
        <v>548</v>
      </c>
      <c r="I102" s="16">
        <v>0</v>
      </c>
      <c r="J102" s="16">
        <v>3248.84</v>
      </c>
      <c r="K102" s="16">
        <v>1416.43</v>
      </c>
      <c r="L102" s="16">
        <v>1517.41</v>
      </c>
      <c r="M102" s="16">
        <v>3929.58</v>
      </c>
      <c r="N102" s="16">
        <v>8550.27</v>
      </c>
      <c r="O102" s="16">
        <v>1960.71</v>
      </c>
      <c r="P102" s="16">
        <v>4768.5200000000004</v>
      </c>
      <c r="Q102" s="16">
        <v>0</v>
      </c>
      <c r="R102" s="16">
        <v>2586.23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</row>
    <row r="103" spans="1:23" x14ac:dyDescent="0.2">
      <c r="A103" s="6" t="s">
        <v>72</v>
      </c>
      <c r="B103" s="16">
        <v>1346.79</v>
      </c>
      <c r="C103" s="16">
        <v>163.71</v>
      </c>
      <c r="D103" s="16">
        <v>0</v>
      </c>
      <c r="E103" s="16">
        <v>34.96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438.36</v>
      </c>
      <c r="N103" s="16">
        <v>148.27000000000001</v>
      </c>
      <c r="O103" s="16">
        <v>0</v>
      </c>
      <c r="P103" s="16">
        <v>11.26</v>
      </c>
      <c r="Q103" s="16">
        <v>0</v>
      </c>
      <c r="R103" s="16">
        <v>550.23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</row>
    <row r="104" spans="1:23" x14ac:dyDescent="0.2">
      <c r="A104" s="6" t="s">
        <v>75</v>
      </c>
      <c r="B104" s="16">
        <v>2707.99</v>
      </c>
      <c r="C104" s="16">
        <v>231.97</v>
      </c>
      <c r="D104" s="16">
        <v>0</v>
      </c>
      <c r="E104" s="16">
        <v>0</v>
      </c>
      <c r="F104" s="16">
        <v>0</v>
      </c>
      <c r="G104" s="16">
        <v>0</v>
      </c>
      <c r="H104" s="16">
        <v>224</v>
      </c>
      <c r="I104" s="16">
        <v>0</v>
      </c>
      <c r="J104" s="16">
        <v>46.15</v>
      </c>
      <c r="K104" s="16">
        <v>0</v>
      </c>
      <c r="L104" s="16">
        <v>27.15</v>
      </c>
      <c r="M104" s="16">
        <v>91.63</v>
      </c>
      <c r="N104" s="16">
        <v>1339.03</v>
      </c>
      <c r="O104" s="16">
        <v>35.06</v>
      </c>
      <c r="P104" s="16">
        <v>581.75</v>
      </c>
      <c r="Q104" s="16">
        <v>0</v>
      </c>
      <c r="R104" s="16">
        <v>131.25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</row>
    <row r="105" spans="1:23" x14ac:dyDescent="0.2">
      <c r="A105" s="6" t="s">
        <v>76</v>
      </c>
      <c r="B105" s="16">
        <v>1110.54</v>
      </c>
      <c r="C105" s="16">
        <v>128</v>
      </c>
      <c r="D105" s="16">
        <v>0</v>
      </c>
      <c r="E105" s="16">
        <v>120</v>
      </c>
      <c r="F105" s="16">
        <v>0</v>
      </c>
      <c r="G105" s="16">
        <v>0</v>
      </c>
      <c r="H105" s="16">
        <v>0</v>
      </c>
      <c r="I105" s="16">
        <v>0</v>
      </c>
      <c r="J105" s="16">
        <v>120</v>
      </c>
      <c r="K105" s="16">
        <v>0</v>
      </c>
      <c r="L105" s="16">
        <v>0</v>
      </c>
      <c r="M105" s="16">
        <v>123.75</v>
      </c>
      <c r="N105" s="16">
        <v>240</v>
      </c>
      <c r="O105" s="16">
        <v>120</v>
      </c>
      <c r="P105" s="16">
        <v>127.46</v>
      </c>
      <c r="Q105" s="16">
        <v>0</v>
      </c>
      <c r="R105" s="16">
        <v>131.33000000000001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</row>
    <row r="106" spans="1:23" x14ac:dyDescent="0.2">
      <c r="A106" s="6" t="s">
        <v>311</v>
      </c>
      <c r="B106" s="21">
        <v>39209.230000000003</v>
      </c>
      <c r="C106" s="21">
        <v>3093.68</v>
      </c>
      <c r="D106" s="21">
        <v>0</v>
      </c>
      <c r="E106" s="21">
        <v>3102.88</v>
      </c>
      <c r="F106" s="21">
        <v>0</v>
      </c>
      <c r="G106" s="21">
        <v>0</v>
      </c>
      <c r="H106" s="21">
        <v>772</v>
      </c>
      <c r="I106" s="21">
        <v>0</v>
      </c>
      <c r="J106" s="21">
        <v>3414.99</v>
      </c>
      <c r="K106" s="21">
        <v>1416.43</v>
      </c>
      <c r="L106" s="21">
        <v>1544.56</v>
      </c>
      <c r="M106" s="21">
        <v>4583.32</v>
      </c>
      <c r="N106" s="21">
        <v>10277.57</v>
      </c>
      <c r="O106" s="21">
        <v>2115.77</v>
      </c>
      <c r="P106" s="21">
        <v>5488.99</v>
      </c>
      <c r="Q106" s="21">
        <v>0</v>
      </c>
      <c r="R106" s="21">
        <v>3399.04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</row>
    <row r="107" spans="1:23" x14ac:dyDescent="0.2">
      <c r="A107" s="6" t="s">
        <v>312</v>
      </c>
      <c r="B107" s="15" t="s">
        <v>70</v>
      </c>
      <c r="C107" s="15" t="s">
        <v>70</v>
      </c>
      <c r="D107" s="15" t="s">
        <v>70</v>
      </c>
      <c r="E107" s="15" t="s">
        <v>70</v>
      </c>
      <c r="F107" s="15" t="s">
        <v>70</v>
      </c>
      <c r="G107" s="15" t="s">
        <v>70</v>
      </c>
      <c r="H107" s="15" t="s">
        <v>70</v>
      </c>
      <c r="I107" s="15" t="s">
        <v>70</v>
      </c>
      <c r="J107" s="15" t="s">
        <v>70</v>
      </c>
      <c r="K107" s="15" t="s">
        <v>70</v>
      </c>
      <c r="L107" s="15" t="s">
        <v>70</v>
      </c>
      <c r="M107" s="15" t="s">
        <v>70</v>
      </c>
      <c r="N107" s="15" t="s">
        <v>70</v>
      </c>
      <c r="O107" s="15" t="s">
        <v>70</v>
      </c>
      <c r="P107" s="15" t="s">
        <v>70</v>
      </c>
      <c r="Q107" s="15" t="s">
        <v>70</v>
      </c>
      <c r="R107" s="15" t="s">
        <v>70</v>
      </c>
      <c r="S107" s="15" t="s">
        <v>70</v>
      </c>
      <c r="T107" s="15" t="s">
        <v>70</v>
      </c>
      <c r="U107" s="15" t="s">
        <v>70</v>
      </c>
      <c r="V107" s="15" t="s">
        <v>70</v>
      </c>
      <c r="W107" s="15" t="s">
        <v>70</v>
      </c>
    </row>
    <row r="108" spans="1:23" x14ac:dyDescent="0.2">
      <c r="A108" s="6" t="s">
        <v>71</v>
      </c>
      <c r="B108" s="16">
        <v>85926.5</v>
      </c>
      <c r="C108" s="16">
        <v>7880.86</v>
      </c>
      <c r="D108" s="16">
        <v>0</v>
      </c>
      <c r="E108" s="16">
        <v>224.75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1975.71</v>
      </c>
      <c r="L108" s="16">
        <v>0</v>
      </c>
      <c r="M108" s="16">
        <v>0</v>
      </c>
      <c r="N108" s="16">
        <v>6334.82</v>
      </c>
      <c r="O108" s="16">
        <v>0</v>
      </c>
      <c r="P108" s="16">
        <v>0</v>
      </c>
      <c r="Q108" s="16">
        <v>0</v>
      </c>
      <c r="R108" s="16">
        <v>0</v>
      </c>
      <c r="S108" s="16">
        <v>21449.66</v>
      </c>
      <c r="T108" s="16">
        <v>21023.59</v>
      </c>
      <c r="U108" s="16">
        <v>7986.25</v>
      </c>
      <c r="V108" s="16">
        <v>9801.59</v>
      </c>
      <c r="W108" s="16">
        <v>9249.27</v>
      </c>
    </row>
    <row r="109" spans="1:23" x14ac:dyDescent="0.2">
      <c r="A109" s="6" t="s">
        <v>72</v>
      </c>
      <c r="B109" s="16">
        <v>5035.25</v>
      </c>
      <c r="C109" s="16">
        <v>1151.57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614.24</v>
      </c>
      <c r="T109" s="16">
        <v>3010.46</v>
      </c>
      <c r="U109" s="16">
        <v>35.85</v>
      </c>
      <c r="V109" s="16">
        <v>223.13</v>
      </c>
      <c r="W109" s="16">
        <v>0</v>
      </c>
    </row>
    <row r="110" spans="1:23" x14ac:dyDescent="0.2">
      <c r="A110" s="6" t="s">
        <v>74</v>
      </c>
      <c r="B110" s="16">
        <v>300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300</v>
      </c>
      <c r="U110" s="16">
        <v>0</v>
      </c>
      <c r="V110" s="16">
        <v>0</v>
      </c>
      <c r="W110" s="16">
        <v>0</v>
      </c>
    </row>
    <row r="111" spans="1:23" x14ac:dyDescent="0.2">
      <c r="A111" s="6" t="s">
        <v>75</v>
      </c>
      <c r="B111" s="16">
        <v>1498.62</v>
      </c>
      <c r="C111" s="16">
        <v>-17.510000000000002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-608.78</v>
      </c>
      <c r="O111" s="16">
        <v>0</v>
      </c>
      <c r="P111" s="16">
        <v>0</v>
      </c>
      <c r="Q111" s="16">
        <v>0</v>
      </c>
      <c r="R111" s="16">
        <v>0</v>
      </c>
      <c r="S111" s="16">
        <v>-456.36</v>
      </c>
      <c r="T111" s="16">
        <v>719.98</v>
      </c>
      <c r="U111" s="16">
        <v>153.46</v>
      </c>
      <c r="V111" s="16">
        <v>-281.61</v>
      </c>
      <c r="W111" s="16">
        <v>1989.44</v>
      </c>
    </row>
    <row r="112" spans="1:23" x14ac:dyDescent="0.2">
      <c r="A112" s="6" t="s">
        <v>76</v>
      </c>
      <c r="B112" s="16">
        <v>2069.34</v>
      </c>
      <c r="C112" s="16">
        <v>256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195</v>
      </c>
      <c r="O112" s="16">
        <v>0</v>
      </c>
      <c r="P112" s="16">
        <v>0</v>
      </c>
      <c r="Q112" s="16">
        <v>0</v>
      </c>
      <c r="R112" s="16">
        <v>0</v>
      </c>
      <c r="S112" s="16">
        <v>279.92</v>
      </c>
      <c r="T112" s="16">
        <v>507.75</v>
      </c>
      <c r="U112" s="16">
        <v>0</v>
      </c>
      <c r="V112" s="16">
        <v>451</v>
      </c>
      <c r="W112" s="16">
        <v>379.67</v>
      </c>
    </row>
    <row r="113" spans="1:23" x14ac:dyDescent="0.2">
      <c r="A113" s="6" t="s">
        <v>313</v>
      </c>
      <c r="B113" s="21">
        <v>94829.71</v>
      </c>
      <c r="C113" s="21">
        <v>9270.92</v>
      </c>
      <c r="D113" s="21">
        <v>0</v>
      </c>
      <c r="E113" s="21">
        <v>224.75</v>
      </c>
      <c r="F113" s="21">
        <v>0</v>
      </c>
      <c r="G113" s="21">
        <v>0</v>
      </c>
      <c r="H113" s="21">
        <v>0</v>
      </c>
      <c r="I113" s="21">
        <v>0</v>
      </c>
      <c r="J113" s="21">
        <v>0</v>
      </c>
      <c r="K113" s="21">
        <v>1975.71</v>
      </c>
      <c r="L113" s="21">
        <v>0</v>
      </c>
      <c r="M113" s="21">
        <v>0</v>
      </c>
      <c r="N113" s="21">
        <v>5921.04</v>
      </c>
      <c r="O113" s="21">
        <v>0</v>
      </c>
      <c r="P113" s="21">
        <v>0</v>
      </c>
      <c r="Q113" s="21">
        <v>0</v>
      </c>
      <c r="R113" s="21">
        <v>0</v>
      </c>
      <c r="S113" s="21">
        <v>21887.46</v>
      </c>
      <c r="T113" s="21">
        <v>25561.78</v>
      </c>
      <c r="U113" s="21">
        <v>8175.56</v>
      </c>
      <c r="V113" s="21">
        <v>10194.11</v>
      </c>
      <c r="W113" s="21">
        <v>11618.38</v>
      </c>
    </row>
    <row r="114" spans="1:23" x14ac:dyDescent="0.2">
      <c r="A114" s="6" t="s">
        <v>314</v>
      </c>
      <c r="B114" s="15" t="s">
        <v>70</v>
      </c>
      <c r="C114" s="15" t="s">
        <v>70</v>
      </c>
      <c r="D114" s="15" t="s">
        <v>70</v>
      </c>
      <c r="E114" s="15" t="s">
        <v>70</v>
      </c>
      <c r="F114" s="15" t="s">
        <v>70</v>
      </c>
      <c r="G114" s="15" t="s">
        <v>70</v>
      </c>
      <c r="H114" s="15" t="s">
        <v>70</v>
      </c>
      <c r="I114" s="15" t="s">
        <v>70</v>
      </c>
      <c r="J114" s="15" t="s">
        <v>70</v>
      </c>
      <c r="K114" s="15" t="s">
        <v>70</v>
      </c>
      <c r="L114" s="15" t="s">
        <v>70</v>
      </c>
      <c r="M114" s="15" t="s">
        <v>70</v>
      </c>
      <c r="N114" s="15" t="s">
        <v>70</v>
      </c>
      <c r="O114" s="15" t="s">
        <v>70</v>
      </c>
      <c r="P114" s="15" t="s">
        <v>70</v>
      </c>
      <c r="Q114" s="15" t="s">
        <v>70</v>
      </c>
      <c r="R114" s="15" t="s">
        <v>70</v>
      </c>
      <c r="S114" s="15" t="s">
        <v>70</v>
      </c>
      <c r="T114" s="15" t="s">
        <v>70</v>
      </c>
      <c r="U114" s="15" t="s">
        <v>70</v>
      </c>
      <c r="V114" s="15" t="s">
        <v>70</v>
      </c>
      <c r="W114" s="15" t="s">
        <v>70</v>
      </c>
    </row>
    <row r="115" spans="1:23" x14ac:dyDescent="0.2">
      <c r="A115" s="6" t="s">
        <v>71</v>
      </c>
      <c r="B115" s="16">
        <v>29119.47</v>
      </c>
      <c r="C115" s="16">
        <v>0</v>
      </c>
      <c r="D115" s="16">
        <v>3906.7</v>
      </c>
      <c r="E115" s="16">
        <v>0</v>
      </c>
      <c r="F115" s="16">
        <v>2726.37</v>
      </c>
      <c r="G115" s="16">
        <v>0</v>
      </c>
      <c r="H115" s="16">
        <v>0</v>
      </c>
      <c r="I115" s="16">
        <v>0</v>
      </c>
      <c r="J115" s="16">
        <v>24</v>
      </c>
      <c r="K115" s="16">
        <v>15.75</v>
      </c>
      <c r="L115" s="16">
        <v>0</v>
      </c>
      <c r="M115" s="16">
        <v>3542.86</v>
      </c>
      <c r="N115" s="16">
        <v>6286.77</v>
      </c>
      <c r="O115" s="16">
        <v>2733.93</v>
      </c>
      <c r="P115" s="16">
        <v>3747.89</v>
      </c>
      <c r="Q115" s="16">
        <v>2534.8200000000002</v>
      </c>
      <c r="R115" s="16">
        <v>2673.86</v>
      </c>
      <c r="S115" s="16">
        <v>0</v>
      </c>
      <c r="T115" s="16">
        <v>373.93</v>
      </c>
      <c r="U115" s="16">
        <v>0</v>
      </c>
      <c r="V115" s="16">
        <v>552.59</v>
      </c>
      <c r="W115" s="16">
        <v>0</v>
      </c>
    </row>
    <row r="116" spans="1:23" x14ac:dyDescent="0.2">
      <c r="A116" s="6" t="s">
        <v>72</v>
      </c>
      <c r="B116" s="16">
        <v>1160.45</v>
      </c>
      <c r="C116" s="16">
        <v>0</v>
      </c>
      <c r="D116" s="16">
        <v>338.18</v>
      </c>
      <c r="E116" s="16">
        <v>0</v>
      </c>
      <c r="F116" s="16">
        <v>76.5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632.14</v>
      </c>
      <c r="N116" s="16">
        <v>0</v>
      </c>
      <c r="O116" s="16">
        <v>90</v>
      </c>
      <c r="P116" s="16">
        <v>0</v>
      </c>
      <c r="Q116" s="16">
        <v>-33.75</v>
      </c>
      <c r="R116" s="16">
        <v>57.38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</row>
    <row r="117" spans="1:23" x14ac:dyDescent="0.2">
      <c r="A117" s="6" t="s">
        <v>73</v>
      </c>
      <c r="B117" s="16">
        <v>860.16</v>
      </c>
      <c r="C117" s="16">
        <v>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628.72</v>
      </c>
      <c r="O117" s="16">
        <v>0</v>
      </c>
      <c r="P117" s="16">
        <v>231.44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</row>
    <row r="118" spans="1:23" x14ac:dyDescent="0.2">
      <c r="A118" s="6" t="s">
        <v>75</v>
      </c>
      <c r="B118" s="16">
        <v>1475.82</v>
      </c>
      <c r="C118" s="16">
        <v>0</v>
      </c>
      <c r="D118" s="16">
        <v>548.46</v>
      </c>
      <c r="E118" s="16">
        <v>0</v>
      </c>
      <c r="F118" s="16">
        <v>156.4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61.44</v>
      </c>
      <c r="N118" s="16">
        <v>181.32</v>
      </c>
      <c r="O118" s="16">
        <v>114.03</v>
      </c>
      <c r="P118" s="16">
        <v>128.52000000000001</v>
      </c>
      <c r="Q118" s="16">
        <v>4.68</v>
      </c>
      <c r="R118" s="16">
        <v>240.62</v>
      </c>
      <c r="S118" s="16">
        <v>0</v>
      </c>
      <c r="T118" s="16">
        <v>6.6899999999999995</v>
      </c>
      <c r="U118" s="16">
        <v>0</v>
      </c>
      <c r="V118" s="16">
        <v>33.659999999999997</v>
      </c>
      <c r="W118" s="16">
        <v>0</v>
      </c>
    </row>
    <row r="119" spans="1:23" x14ac:dyDescent="0.2">
      <c r="A119" s="6" t="s">
        <v>76</v>
      </c>
      <c r="B119" s="16">
        <v>629</v>
      </c>
      <c r="C119" s="16">
        <v>0</v>
      </c>
      <c r="D119" s="16">
        <v>200</v>
      </c>
      <c r="E119" s="16">
        <v>0</v>
      </c>
      <c r="F119" s="16">
        <v>136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85</v>
      </c>
      <c r="N119" s="16">
        <v>68</v>
      </c>
      <c r="O119" s="16">
        <v>140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</row>
    <row r="120" spans="1:23" x14ac:dyDescent="0.2">
      <c r="A120" s="6" t="s">
        <v>315</v>
      </c>
      <c r="B120" s="21">
        <v>33244.9</v>
      </c>
      <c r="C120" s="21">
        <v>0</v>
      </c>
      <c r="D120" s="21">
        <v>4993.34</v>
      </c>
      <c r="E120" s="21">
        <v>0</v>
      </c>
      <c r="F120" s="21">
        <v>3095.27</v>
      </c>
      <c r="G120" s="21">
        <v>0</v>
      </c>
      <c r="H120" s="21">
        <v>0</v>
      </c>
      <c r="I120" s="21">
        <v>0</v>
      </c>
      <c r="J120" s="21">
        <v>24</v>
      </c>
      <c r="K120" s="21">
        <v>15.75</v>
      </c>
      <c r="L120" s="21">
        <v>0</v>
      </c>
      <c r="M120" s="21">
        <v>4321.4399999999996</v>
      </c>
      <c r="N120" s="21">
        <v>7164.81</v>
      </c>
      <c r="O120" s="21">
        <v>3077.96</v>
      </c>
      <c r="P120" s="21">
        <v>4107.8500000000004</v>
      </c>
      <c r="Q120" s="21">
        <v>2505.75</v>
      </c>
      <c r="R120" s="21">
        <v>2971.86</v>
      </c>
      <c r="S120" s="21">
        <v>0</v>
      </c>
      <c r="T120" s="21">
        <v>380.62</v>
      </c>
      <c r="U120" s="21">
        <v>0</v>
      </c>
      <c r="V120" s="21">
        <v>586.25</v>
      </c>
      <c r="W120" s="21">
        <v>0</v>
      </c>
    </row>
    <row r="121" spans="1:23" x14ac:dyDescent="0.2">
      <c r="A121" s="6" t="s">
        <v>316</v>
      </c>
      <c r="B121" s="15" t="s">
        <v>70</v>
      </c>
      <c r="C121" s="15" t="s">
        <v>70</v>
      </c>
      <c r="D121" s="15" t="s">
        <v>70</v>
      </c>
      <c r="E121" s="15" t="s">
        <v>70</v>
      </c>
      <c r="F121" s="15" t="s">
        <v>70</v>
      </c>
      <c r="G121" s="15" t="s">
        <v>70</v>
      </c>
      <c r="H121" s="15" t="s">
        <v>70</v>
      </c>
      <c r="I121" s="15" t="s">
        <v>70</v>
      </c>
      <c r="J121" s="15" t="s">
        <v>70</v>
      </c>
      <c r="K121" s="15" t="s">
        <v>70</v>
      </c>
      <c r="L121" s="15" t="s">
        <v>70</v>
      </c>
      <c r="M121" s="15" t="s">
        <v>70</v>
      </c>
      <c r="N121" s="15" t="s">
        <v>70</v>
      </c>
      <c r="O121" s="15" t="s">
        <v>70</v>
      </c>
      <c r="P121" s="15" t="s">
        <v>70</v>
      </c>
      <c r="Q121" s="15" t="s">
        <v>70</v>
      </c>
      <c r="R121" s="15" t="s">
        <v>70</v>
      </c>
      <c r="S121" s="15" t="s">
        <v>70</v>
      </c>
      <c r="T121" s="15" t="s">
        <v>70</v>
      </c>
      <c r="U121" s="15" t="s">
        <v>70</v>
      </c>
      <c r="V121" s="15" t="s">
        <v>70</v>
      </c>
      <c r="W121" s="15" t="s">
        <v>70</v>
      </c>
    </row>
    <row r="122" spans="1:23" x14ac:dyDescent="0.2">
      <c r="A122" s="6" t="s">
        <v>71</v>
      </c>
      <c r="B122" s="16">
        <v>35769.370000000003</v>
      </c>
      <c r="C122" s="16">
        <v>2728.86</v>
      </c>
      <c r="D122" s="16">
        <v>2506.8200000000002</v>
      </c>
      <c r="E122" s="16">
        <v>2771.07</v>
      </c>
      <c r="F122" s="16">
        <v>2911.36</v>
      </c>
      <c r="G122" s="16">
        <v>2917.93</v>
      </c>
      <c r="H122" s="16">
        <v>254.09</v>
      </c>
      <c r="I122" s="16">
        <v>3188.57</v>
      </c>
      <c r="J122" s="16">
        <v>0</v>
      </c>
      <c r="K122" s="16">
        <v>0</v>
      </c>
      <c r="L122" s="16">
        <v>0</v>
      </c>
      <c r="M122" s="16">
        <v>0</v>
      </c>
      <c r="N122" s="16">
        <v>3254.79</v>
      </c>
      <c r="O122" s="16">
        <v>0</v>
      </c>
      <c r="P122" s="16">
        <v>3134.14</v>
      </c>
      <c r="Q122" s="16">
        <v>3478.44</v>
      </c>
      <c r="R122" s="16">
        <v>4566.8599999999997</v>
      </c>
      <c r="S122" s="16">
        <v>1499.14</v>
      </c>
      <c r="T122" s="16">
        <v>0</v>
      </c>
      <c r="U122" s="16">
        <v>1253.3</v>
      </c>
      <c r="V122" s="16">
        <v>0</v>
      </c>
      <c r="W122" s="16">
        <v>1304</v>
      </c>
    </row>
    <row r="123" spans="1:23" x14ac:dyDescent="0.2">
      <c r="A123" s="6" t="s">
        <v>72</v>
      </c>
      <c r="B123" s="16">
        <v>1857.84</v>
      </c>
      <c r="C123" s="16">
        <v>815.57</v>
      </c>
      <c r="D123" s="16">
        <v>89.28</v>
      </c>
      <c r="E123" s="16">
        <v>230.69</v>
      </c>
      <c r="F123" s="16">
        <v>277.64999999999998</v>
      </c>
      <c r="G123" s="16">
        <v>268.67</v>
      </c>
      <c r="H123" s="16">
        <v>0</v>
      </c>
      <c r="I123" s="16">
        <v>101.73</v>
      </c>
      <c r="J123" s="16">
        <v>0</v>
      </c>
      <c r="K123" s="16">
        <v>0</v>
      </c>
      <c r="L123" s="16">
        <v>0</v>
      </c>
      <c r="M123" s="16">
        <v>0</v>
      </c>
      <c r="N123" s="16">
        <v>74.25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</row>
    <row r="124" spans="1:23" x14ac:dyDescent="0.2">
      <c r="A124" s="6" t="s">
        <v>75</v>
      </c>
      <c r="B124" s="16">
        <v>1983.67</v>
      </c>
      <c r="C124" s="16">
        <v>-402.29</v>
      </c>
      <c r="D124" s="16">
        <v>328.67</v>
      </c>
      <c r="E124" s="16">
        <v>404.69</v>
      </c>
      <c r="F124" s="16">
        <v>53.85</v>
      </c>
      <c r="G124" s="16">
        <v>60.21</v>
      </c>
      <c r="H124" s="16">
        <v>-416.58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121.12</v>
      </c>
      <c r="O124" s="16">
        <v>0</v>
      </c>
      <c r="P124" s="16">
        <v>1269.44</v>
      </c>
      <c r="Q124" s="16">
        <v>185.44</v>
      </c>
      <c r="R124" s="16">
        <v>332.31</v>
      </c>
      <c r="S124" s="16">
        <v>4.33</v>
      </c>
      <c r="T124" s="16">
        <v>0</v>
      </c>
      <c r="U124" s="16">
        <v>42.48</v>
      </c>
      <c r="V124" s="16">
        <v>0</v>
      </c>
      <c r="W124" s="16">
        <v>0</v>
      </c>
    </row>
    <row r="125" spans="1:23" x14ac:dyDescent="0.2">
      <c r="A125" s="6" t="s">
        <v>76</v>
      </c>
      <c r="B125" s="16">
        <v>1394.11</v>
      </c>
      <c r="C125" s="16">
        <v>128</v>
      </c>
      <c r="D125" s="16">
        <v>132</v>
      </c>
      <c r="E125" s="16">
        <v>128</v>
      </c>
      <c r="F125" s="16">
        <v>131.6</v>
      </c>
      <c r="G125" s="16">
        <v>136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194.15</v>
      </c>
      <c r="Q125" s="16">
        <v>80.36</v>
      </c>
      <c r="R125" s="16">
        <v>216</v>
      </c>
      <c r="S125" s="16">
        <v>120</v>
      </c>
      <c r="T125" s="16">
        <v>0</v>
      </c>
      <c r="U125" s="16">
        <v>0</v>
      </c>
      <c r="V125" s="16">
        <v>0</v>
      </c>
      <c r="W125" s="16">
        <v>128</v>
      </c>
    </row>
    <row r="126" spans="1:23" x14ac:dyDescent="0.2">
      <c r="A126" s="6" t="s">
        <v>317</v>
      </c>
      <c r="B126" s="21">
        <v>41004.99</v>
      </c>
      <c r="C126" s="21">
        <v>3270.14</v>
      </c>
      <c r="D126" s="21">
        <v>3056.77</v>
      </c>
      <c r="E126" s="21">
        <v>3534.45</v>
      </c>
      <c r="F126" s="21">
        <v>3374.46</v>
      </c>
      <c r="G126" s="21">
        <v>3382.81</v>
      </c>
      <c r="H126" s="21">
        <v>-162.49</v>
      </c>
      <c r="I126" s="21">
        <v>3290.3</v>
      </c>
      <c r="J126" s="21">
        <v>0</v>
      </c>
      <c r="K126" s="21">
        <v>0</v>
      </c>
      <c r="L126" s="21">
        <v>0</v>
      </c>
      <c r="M126" s="21">
        <v>0</v>
      </c>
      <c r="N126" s="21">
        <v>3450.16</v>
      </c>
      <c r="O126" s="21">
        <v>0</v>
      </c>
      <c r="P126" s="21">
        <v>4597.7299999999996</v>
      </c>
      <c r="Q126" s="21">
        <v>3744.24</v>
      </c>
      <c r="R126" s="21">
        <v>5115.17</v>
      </c>
      <c r="S126" s="21">
        <v>1623.47</v>
      </c>
      <c r="T126" s="21">
        <v>0</v>
      </c>
      <c r="U126" s="21">
        <v>1295.78</v>
      </c>
      <c r="V126" s="21">
        <v>0</v>
      </c>
      <c r="W126" s="21">
        <v>1432</v>
      </c>
    </row>
    <row r="127" spans="1:23" x14ac:dyDescent="0.2">
      <c r="A127" s="6" t="s">
        <v>318</v>
      </c>
      <c r="B127" s="15" t="s">
        <v>70</v>
      </c>
      <c r="C127" s="15" t="s">
        <v>70</v>
      </c>
      <c r="D127" s="15" t="s">
        <v>70</v>
      </c>
      <c r="E127" s="15" t="s">
        <v>70</v>
      </c>
      <c r="F127" s="15" t="s">
        <v>70</v>
      </c>
      <c r="G127" s="15" t="s">
        <v>70</v>
      </c>
      <c r="H127" s="15" t="s">
        <v>70</v>
      </c>
      <c r="I127" s="15" t="s">
        <v>70</v>
      </c>
      <c r="J127" s="15" t="s">
        <v>70</v>
      </c>
      <c r="K127" s="15" t="s">
        <v>70</v>
      </c>
      <c r="L127" s="15" t="s">
        <v>70</v>
      </c>
      <c r="M127" s="15" t="s">
        <v>70</v>
      </c>
      <c r="N127" s="15" t="s">
        <v>70</v>
      </c>
      <c r="O127" s="15" t="s">
        <v>70</v>
      </c>
      <c r="P127" s="15" t="s">
        <v>70</v>
      </c>
      <c r="Q127" s="15" t="s">
        <v>70</v>
      </c>
      <c r="R127" s="15" t="s">
        <v>70</v>
      </c>
      <c r="S127" s="15" t="s">
        <v>70</v>
      </c>
      <c r="T127" s="15" t="s">
        <v>70</v>
      </c>
      <c r="U127" s="15" t="s">
        <v>70</v>
      </c>
      <c r="V127" s="15" t="s">
        <v>70</v>
      </c>
      <c r="W127" s="15" t="s">
        <v>70</v>
      </c>
    </row>
    <row r="128" spans="1:23" x14ac:dyDescent="0.2">
      <c r="A128" s="6" t="s">
        <v>71</v>
      </c>
      <c r="B128" s="16">
        <v>172657.93</v>
      </c>
      <c r="C128" s="16">
        <v>10149.26</v>
      </c>
      <c r="D128" s="16">
        <v>11094.11</v>
      </c>
      <c r="E128" s="16">
        <v>8272.69</v>
      </c>
      <c r="F128" s="16">
        <v>9254.2000000000007</v>
      </c>
      <c r="G128" s="16">
        <v>8691.9599999999991</v>
      </c>
      <c r="H128" s="16">
        <v>11377.99</v>
      </c>
      <c r="I128" s="16">
        <v>5088.82</v>
      </c>
      <c r="J128" s="16">
        <v>7881.77</v>
      </c>
      <c r="K128" s="16">
        <v>6915.04</v>
      </c>
      <c r="L128" s="16">
        <v>10244.77</v>
      </c>
      <c r="M128" s="16">
        <v>11387.52</v>
      </c>
      <c r="N128" s="16">
        <v>27396.29</v>
      </c>
      <c r="O128" s="16">
        <v>10526.62</v>
      </c>
      <c r="P128" s="16">
        <v>10334.469999999999</v>
      </c>
      <c r="Q128" s="16">
        <v>10182.06</v>
      </c>
      <c r="R128" s="16">
        <v>13759.61</v>
      </c>
      <c r="S128" s="16">
        <v>0</v>
      </c>
      <c r="T128" s="16">
        <v>100.75</v>
      </c>
      <c r="U128" s="16">
        <v>0</v>
      </c>
      <c r="V128" s="16">
        <v>0</v>
      </c>
      <c r="W128" s="16">
        <v>0</v>
      </c>
    </row>
    <row r="129" spans="1:23" x14ac:dyDescent="0.2">
      <c r="A129" s="6" t="s">
        <v>72</v>
      </c>
      <c r="B129" s="16">
        <v>2674.05</v>
      </c>
      <c r="C129" s="16">
        <v>94.42</v>
      </c>
      <c r="D129" s="16">
        <v>0</v>
      </c>
      <c r="E129" s="16">
        <v>113.73</v>
      </c>
      <c r="F129" s="16">
        <v>5.63</v>
      </c>
      <c r="G129" s="16">
        <v>45.41</v>
      </c>
      <c r="H129" s="16">
        <v>0</v>
      </c>
      <c r="I129" s="16">
        <v>26.52</v>
      </c>
      <c r="J129" s="16">
        <v>3.62</v>
      </c>
      <c r="K129" s="16">
        <v>760.21</v>
      </c>
      <c r="L129" s="16">
        <v>207.35</v>
      </c>
      <c r="M129" s="16">
        <v>1129.3699999999999</v>
      </c>
      <c r="N129" s="16">
        <v>153.49</v>
      </c>
      <c r="O129" s="16">
        <v>0</v>
      </c>
      <c r="P129" s="16">
        <v>128.66999999999999</v>
      </c>
      <c r="Q129" s="16">
        <v>5.63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</row>
    <row r="130" spans="1:23" x14ac:dyDescent="0.2">
      <c r="A130" s="6" t="s">
        <v>75</v>
      </c>
      <c r="B130" s="16">
        <v>7532.01</v>
      </c>
      <c r="C130" s="16">
        <v>-53.54</v>
      </c>
      <c r="D130" s="16">
        <v>456.04</v>
      </c>
      <c r="E130" s="16">
        <v>-487.82</v>
      </c>
      <c r="F130" s="16">
        <v>44.04</v>
      </c>
      <c r="G130" s="16">
        <v>101.07</v>
      </c>
      <c r="H130" s="16">
        <v>466.67</v>
      </c>
      <c r="I130" s="16">
        <v>261.8</v>
      </c>
      <c r="J130" s="16">
        <v>175.5</v>
      </c>
      <c r="K130" s="16">
        <v>689.44</v>
      </c>
      <c r="L130" s="16">
        <v>321.91000000000003</v>
      </c>
      <c r="M130" s="16">
        <v>586.54999999999995</v>
      </c>
      <c r="N130" s="16">
        <v>2045.78</v>
      </c>
      <c r="O130" s="16">
        <v>734.3</v>
      </c>
      <c r="P130" s="16">
        <v>749.04</v>
      </c>
      <c r="Q130" s="16">
        <v>835.24</v>
      </c>
      <c r="R130" s="16">
        <v>715.22</v>
      </c>
      <c r="S130" s="16">
        <v>0</v>
      </c>
      <c r="T130" s="16">
        <v>-109.23</v>
      </c>
      <c r="U130" s="16">
        <v>0</v>
      </c>
      <c r="V130" s="16">
        <v>0</v>
      </c>
      <c r="W130" s="16">
        <v>0</v>
      </c>
    </row>
    <row r="131" spans="1:23" x14ac:dyDescent="0.2">
      <c r="A131" s="6" t="s">
        <v>76</v>
      </c>
      <c r="B131" s="16">
        <v>5137.2700000000004</v>
      </c>
      <c r="C131" s="16">
        <v>300</v>
      </c>
      <c r="D131" s="16">
        <v>480</v>
      </c>
      <c r="E131" s="16">
        <v>236</v>
      </c>
      <c r="F131" s="16">
        <v>480</v>
      </c>
      <c r="G131" s="16">
        <v>180</v>
      </c>
      <c r="H131" s="16">
        <v>598</v>
      </c>
      <c r="I131" s="16">
        <v>120</v>
      </c>
      <c r="J131" s="16">
        <v>165</v>
      </c>
      <c r="K131" s="16">
        <v>204.15</v>
      </c>
      <c r="L131" s="16">
        <v>0</v>
      </c>
      <c r="M131" s="16">
        <v>406.5</v>
      </c>
      <c r="N131" s="16">
        <v>878</v>
      </c>
      <c r="O131" s="16">
        <v>330</v>
      </c>
      <c r="P131" s="16">
        <v>340.51</v>
      </c>
      <c r="Q131" s="16">
        <v>170.63</v>
      </c>
      <c r="R131" s="16">
        <v>248.48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</row>
    <row r="132" spans="1:23" x14ac:dyDescent="0.2">
      <c r="A132" s="6" t="s">
        <v>319</v>
      </c>
      <c r="B132" s="21">
        <v>188001.26</v>
      </c>
      <c r="C132" s="21">
        <v>10490.14</v>
      </c>
      <c r="D132" s="21">
        <v>12030.15</v>
      </c>
      <c r="E132" s="21">
        <v>8134.6</v>
      </c>
      <c r="F132" s="21">
        <v>9783.8700000000008</v>
      </c>
      <c r="G132" s="21">
        <v>9018.44</v>
      </c>
      <c r="H132" s="21">
        <v>12442.66</v>
      </c>
      <c r="I132" s="21">
        <v>5497.14</v>
      </c>
      <c r="J132" s="21">
        <v>8225.89</v>
      </c>
      <c r="K132" s="21">
        <v>8568.84</v>
      </c>
      <c r="L132" s="21">
        <v>10774.03</v>
      </c>
      <c r="M132" s="21">
        <v>13509.94</v>
      </c>
      <c r="N132" s="21">
        <v>30473.56</v>
      </c>
      <c r="O132" s="21">
        <v>11590.92</v>
      </c>
      <c r="P132" s="21">
        <v>11552.69</v>
      </c>
      <c r="Q132" s="21">
        <v>11193.56</v>
      </c>
      <c r="R132" s="21">
        <v>14723.31</v>
      </c>
      <c r="S132" s="21">
        <v>0</v>
      </c>
      <c r="T132" s="21">
        <v>-8.48</v>
      </c>
      <c r="U132" s="21">
        <v>0</v>
      </c>
      <c r="V132" s="21">
        <v>0</v>
      </c>
      <c r="W132" s="21">
        <v>0</v>
      </c>
    </row>
    <row r="133" spans="1:23" x14ac:dyDescent="0.2">
      <c r="A133" s="6" t="s">
        <v>320</v>
      </c>
      <c r="B133" s="15" t="s">
        <v>70</v>
      </c>
      <c r="C133" s="15" t="s">
        <v>70</v>
      </c>
      <c r="D133" s="15" t="s">
        <v>70</v>
      </c>
      <c r="E133" s="15" t="s">
        <v>70</v>
      </c>
      <c r="F133" s="15" t="s">
        <v>70</v>
      </c>
      <c r="G133" s="15" t="s">
        <v>70</v>
      </c>
      <c r="H133" s="15" t="s">
        <v>70</v>
      </c>
      <c r="I133" s="15" t="s">
        <v>70</v>
      </c>
      <c r="J133" s="15" t="s">
        <v>70</v>
      </c>
      <c r="K133" s="15" t="s">
        <v>70</v>
      </c>
      <c r="L133" s="15" t="s">
        <v>70</v>
      </c>
      <c r="M133" s="15" t="s">
        <v>70</v>
      </c>
      <c r="N133" s="15" t="s">
        <v>70</v>
      </c>
      <c r="O133" s="15" t="s">
        <v>70</v>
      </c>
      <c r="P133" s="15" t="s">
        <v>70</v>
      </c>
      <c r="Q133" s="15" t="s">
        <v>70</v>
      </c>
      <c r="R133" s="15" t="s">
        <v>70</v>
      </c>
      <c r="S133" s="15" t="s">
        <v>70</v>
      </c>
      <c r="T133" s="15" t="s">
        <v>70</v>
      </c>
      <c r="U133" s="15" t="s">
        <v>70</v>
      </c>
      <c r="V133" s="15" t="s">
        <v>70</v>
      </c>
      <c r="W133" s="15" t="s">
        <v>70</v>
      </c>
    </row>
    <row r="134" spans="1:23" x14ac:dyDescent="0.2">
      <c r="A134" s="6" t="s">
        <v>71</v>
      </c>
      <c r="B134" s="16">
        <v>65443.65</v>
      </c>
      <c r="C134" s="16">
        <v>2997.32</v>
      </c>
      <c r="D134" s="16">
        <v>3063.89</v>
      </c>
      <c r="E134" s="16">
        <v>3778.07</v>
      </c>
      <c r="F134" s="16">
        <v>2143.5</v>
      </c>
      <c r="G134" s="16">
        <v>3352.14</v>
      </c>
      <c r="H134" s="16">
        <v>3686.57</v>
      </c>
      <c r="I134" s="16">
        <v>3561.64</v>
      </c>
      <c r="J134" s="16">
        <v>70.709999999999994</v>
      </c>
      <c r="K134" s="16">
        <v>3907.54</v>
      </c>
      <c r="L134" s="16">
        <v>4059.43</v>
      </c>
      <c r="M134" s="16">
        <v>3412.86</v>
      </c>
      <c r="N134" s="16">
        <v>3425.14</v>
      </c>
      <c r="O134" s="16">
        <v>3867.43</v>
      </c>
      <c r="P134" s="16">
        <v>3897.32</v>
      </c>
      <c r="Q134" s="16">
        <v>4328.57</v>
      </c>
      <c r="R134" s="16">
        <v>4228.57</v>
      </c>
      <c r="S134" s="16">
        <v>3585.31</v>
      </c>
      <c r="T134" s="16">
        <v>2897.21</v>
      </c>
      <c r="U134" s="16">
        <v>1296.25</v>
      </c>
      <c r="V134" s="16">
        <v>3884.18</v>
      </c>
      <c r="W134" s="16">
        <v>0</v>
      </c>
    </row>
    <row r="135" spans="1:23" x14ac:dyDescent="0.2">
      <c r="A135" s="6" t="s">
        <v>72</v>
      </c>
      <c r="B135" s="16">
        <v>2571.2600000000002</v>
      </c>
      <c r="C135" s="16">
        <v>19.29</v>
      </c>
      <c r="D135" s="16">
        <v>1.52</v>
      </c>
      <c r="E135" s="16">
        <v>329.54</v>
      </c>
      <c r="F135" s="16">
        <v>0</v>
      </c>
      <c r="G135" s="16">
        <v>105</v>
      </c>
      <c r="H135" s="16">
        <v>49.5</v>
      </c>
      <c r="I135" s="16">
        <v>94.29</v>
      </c>
      <c r="J135" s="16">
        <v>0</v>
      </c>
      <c r="K135" s="16">
        <v>25.88</v>
      </c>
      <c r="L135" s="16">
        <v>0</v>
      </c>
      <c r="M135" s="16">
        <v>1330.18</v>
      </c>
      <c r="N135" s="16">
        <v>0</v>
      </c>
      <c r="O135" s="16">
        <v>0</v>
      </c>
      <c r="P135" s="16">
        <v>281.26</v>
      </c>
      <c r="Q135" s="16">
        <v>0</v>
      </c>
      <c r="R135" s="16">
        <v>0</v>
      </c>
      <c r="S135" s="16">
        <v>77.430000000000007</v>
      </c>
      <c r="T135" s="16">
        <v>133.62</v>
      </c>
      <c r="U135" s="16">
        <v>0</v>
      </c>
      <c r="V135" s="16">
        <v>123.75</v>
      </c>
      <c r="W135" s="16">
        <v>0</v>
      </c>
    </row>
    <row r="136" spans="1:23" x14ac:dyDescent="0.2">
      <c r="A136" s="6" t="s">
        <v>74</v>
      </c>
      <c r="B136" s="16">
        <v>532.14</v>
      </c>
      <c r="C136" s="16">
        <v>0</v>
      </c>
      <c r="D136" s="16">
        <v>0</v>
      </c>
      <c r="E136" s="16">
        <v>0</v>
      </c>
      <c r="F136" s="16">
        <v>0</v>
      </c>
      <c r="G136" s="16">
        <v>0</v>
      </c>
      <c r="H136" s="16">
        <v>0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0</v>
      </c>
      <c r="O136" s="16">
        <v>32.14</v>
      </c>
      <c r="P136" s="16">
        <v>500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</row>
    <row r="137" spans="1:23" x14ac:dyDescent="0.2">
      <c r="A137" s="6" t="s">
        <v>75</v>
      </c>
      <c r="B137" s="16">
        <v>2589.89</v>
      </c>
      <c r="C137" s="16">
        <v>-176</v>
      </c>
      <c r="D137" s="16">
        <v>167.77</v>
      </c>
      <c r="E137" s="16">
        <v>280.06</v>
      </c>
      <c r="F137" s="16">
        <v>0</v>
      </c>
      <c r="G137" s="16">
        <v>0</v>
      </c>
      <c r="H137" s="16">
        <v>99.06</v>
      </c>
      <c r="I137" s="16">
        <v>0</v>
      </c>
      <c r="J137" s="16">
        <v>-178.91</v>
      </c>
      <c r="K137" s="16">
        <v>216.06</v>
      </c>
      <c r="L137" s="16">
        <v>204.25</v>
      </c>
      <c r="M137" s="16">
        <v>221.44</v>
      </c>
      <c r="N137" s="16">
        <v>249.23</v>
      </c>
      <c r="O137" s="16">
        <v>295.39</v>
      </c>
      <c r="P137" s="16">
        <v>383.05</v>
      </c>
      <c r="Q137" s="16">
        <v>153.84</v>
      </c>
      <c r="R137" s="16">
        <v>153.84</v>
      </c>
      <c r="S137" s="16">
        <v>157.59</v>
      </c>
      <c r="T137" s="16">
        <v>144.27000000000001</v>
      </c>
      <c r="U137" s="16">
        <v>86.11</v>
      </c>
      <c r="V137" s="16">
        <v>132.84</v>
      </c>
      <c r="W137" s="16">
        <v>0</v>
      </c>
    </row>
    <row r="138" spans="1:23" x14ac:dyDescent="0.2">
      <c r="A138" s="6" t="s">
        <v>76</v>
      </c>
      <c r="B138" s="16">
        <v>1972.25</v>
      </c>
      <c r="C138" s="16">
        <v>144</v>
      </c>
      <c r="D138" s="16">
        <v>151.12</v>
      </c>
      <c r="E138" s="16">
        <v>176</v>
      </c>
      <c r="F138" s="16">
        <v>0</v>
      </c>
      <c r="G138" s="16">
        <v>0</v>
      </c>
      <c r="H138" s="16">
        <v>176</v>
      </c>
      <c r="I138" s="16">
        <v>0</v>
      </c>
      <c r="J138" s="16">
        <v>0</v>
      </c>
      <c r="K138" s="16">
        <v>0</v>
      </c>
      <c r="L138" s="16">
        <v>192</v>
      </c>
      <c r="M138" s="16">
        <v>75</v>
      </c>
      <c r="N138" s="16">
        <v>162</v>
      </c>
      <c r="O138" s="16">
        <v>192</v>
      </c>
      <c r="P138" s="16">
        <v>200</v>
      </c>
      <c r="Q138" s="16">
        <v>0</v>
      </c>
      <c r="R138" s="16">
        <v>200</v>
      </c>
      <c r="S138" s="16">
        <v>128.13</v>
      </c>
      <c r="T138" s="16">
        <v>0</v>
      </c>
      <c r="U138" s="16">
        <v>0</v>
      </c>
      <c r="V138" s="16">
        <v>176</v>
      </c>
      <c r="W138" s="16">
        <v>0</v>
      </c>
    </row>
    <row r="139" spans="1:23" x14ac:dyDescent="0.2">
      <c r="A139" s="6" t="s">
        <v>321</v>
      </c>
      <c r="B139" s="21">
        <v>73109.19</v>
      </c>
      <c r="C139" s="21">
        <v>2984.61</v>
      </c>
      <c r="D139" s="21">
        <v>3384.3</v>
      </c>
      <c r="E139" s="21">
        <v>4563.67</v>
      </c>
      <c r="F139" s="21">
        <v>2143.5</v>
      </c>
      <c r="G139" s="21">
        <v>3457.14</v>
      </c>
      <c r="H139" s="21">
        <v>4011.13</v>
      </c>
      <c r="I139" s="21">
        <v>3655.93</v>
      </c>
      <c r="J139" s="21">
        <v>-108.2</v>
      </c>
      <c r="K139" s="21">
        <v>4149.4799999999996</v>
      </c>
      <c r="L139" s="21">
        <v>4455.68</v>
      </c>
      <c r="M139" s="21">
        <v>5039.4799999999996</v>
      </c>
      <c r="N139" s="21">
        <v>3836.37</v>
      </c>
      <c r="O139" s="21">
        <v>4386.96</v>
      </c>
      <c r="P139" s="21">
        <v>5261.63</v>
      </c>
      <c r="Q139" s="21">
        <v>4482.41</v>
      </c>
      <c r="R139" s="21">
        <v>4582.41</v>
      </c>
      <c r="S139" s="21">
        <v>3948.46</v>
      </c>
      <c r="T139" s="21">
        <v>3175.1</v>
      </c>
      <c r="U139" s="21">
        <v>1382.36</v>
      </c>
      <c r="V139" s="21">
        <v>4316.7700000000004</v>
      </c>
      <c r="W139" s="21">
        <v>0</v>
      </c>
    </row>
    <row r="140" spans="1:23" x14ac:dyDescent="0.2">
      <c r="A140" s="6" t="s">
        <v>322</v>
      </c>
      <c r="B140" s="15" t="s">
        <v>70</v>
      </c>
      <c r="C140" s="15" t="s">
        <v>70</v>
      </c>
      <c r="D140" s="15" t="s">
        <v>70</v>
      </c>
      <c r="E140" s="15" t="s">
        <v>70</v>
      </c>
      <c r="F140" s="15" t="s">
        <v>70</v>
      </c>
      <c r="G140" s="15" t="s">
        <v>70</v>
      </c>
      <c r="H140" s="15" t="s">
        <v>70</v>
      </c>
      <c r="I140" s="15" t="s">
        <v>70</v>
      </c>
      <c r="J140" s="15" t="s">
        <v>70</v>
      </c>
      <c r="K140" s="15" t="s">
        <v>70</v>
      </c>
      <c r="L140" s="15" t="s">
        <v>70</v>
      </c>
      <c r="M140" s="15" t="s">
        <v>70</v>
      </c>
      <c r="N140" s="15" t="s">
        <v>70</v>
      </c>
      <c r="O140" s="15" t="s">
        <v>70</v>
      </c>
      <c r="P140" s="15" t="s">
        <v>70</v>
      </c>
      <c r="Q140" s="15" t="s">
        <v>70</v>
      </c>
      <c r="R140" s="15" t="s">
        <v>70</v>
      </c>
      <c r="S140" s="15" t="s">
        <v>70</v>
      </c>
      <c r="T140" s="15" t="s">
        <v>70</v>
      </c>
      <c r="U140" s="15" t="s">
        <v>70</v>
      </c>
      <c r="V140" s="15" t="s">
        <v>70</v>
      </c>
      <c r="W140" s="15" t="s">
        <v>70</v>
      </c>
    </row>
    <row r="141" spans="1:23" x14ac:dyDescent="0.2">
      <c r="A141" s="6" t="s">
        <v>71</v>
      </c>
      <c r="B141" s="16">
        <v>10591.46</v>
      </c>
      <c r="C141" s="16">
        <v>0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107.68</v>
      </c>
      <c r="K141" s="16">
        <v>0</v>
      </c>
      <c r="L141" s="16">
        <v>0</v>
      </c>
      <c r="M141" s="16">
        <v>0</v>
      </c>
      <c r="N141" s="16">
        <v>2032.14</v>
      </c>
      <c r="O141" s="16">
        <v>3166.8</v>
      </c>
      <c r="P141" s="16">
        <v>3255.7</v>
      </c>
      <c r="Q141" s="16">
        <v>1836.64</v>
      </c>
      <c r="R141" s="16">
        <v>0</v>
      </c>
      <c r="S141" s="16">
        <v>0</v>
      </c>
      <c r="T141" s="16">
        <v>0</v>
      </c>
      <c r="U141" s="16">
        <v>192.5</v>
      </c>
      <c r="V141" s="16">
        <v>0</v>
      </c>
      <c r="W141" s="16">
        <v>0</v>
      </c>
    </row>
    <row r="142" spans="1:23" x14ac:dyDescent="0.2">
      <c r="A142" s="6" t="s">
        <v>72</v>
      </c>
      <c r="B142" s="16">
        <v>243.18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89.21</v>
      </c>
      <c r="P142" s="16">
        <v>153.97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</row>
    <row r="143" spans="1:23" x14ac:dyDescent="0.2">
      <c r="A143" s="6" t="s">
        <v>74</v>
      </c>
      <c r="B143" s="16">
        <v>500</v>
      </c>
      <c r="C143" s="16">
        <v>0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500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</row>
    <row r="144" spans="1:23" x14ac:dyDescent="0.2">
      <c r="A144" s="6" t="s">
        <v>75</v>
      </c>
      <c r="B144" s="16">
        <v>544.86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68.48</v>
      </c>
      <c r="O144" s="16">
        <v>167.14</v>
      </c>
      <c r="P144" s="16">
        <v>309.24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</row>
    <row r="145" spans="1:23" x14ac:dyDescent="0.2">
      <c r="A145" s="6" t="s">
        <v>76</v>
      </c>
      <c r="B145" s="16">
        <v>260.5</v>
      </c>
      <c r="C145" s="16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92.5</v>
      </c>
      <c r="P145" s="16">
        <v>168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</row>
    <row r="146" spans="1:23" x14ac:dyDescent="0.2">
      <c r="A146" s="6" t="s">
        <v>323</v>
      </c>
      <c r="B146" s="21">
        <v>12140</v>
      </c>
      <c r="C146" s="21">
        <v>0</v>
      </c>
      <c r="D146" s="21">
        <v>0</v>
      </c>
      <c r="E146" s="21">
        <v>0</v>
      </c>
      <c r="F146" s="21">
        <v>0</v>
      </c>
      <c r="G146" s="21">
        <v>0</v>
      </c>
      <c r="H146" s="21">
        <v>0</v>
      </c>
      <c r="I146" s="21">
        <v>0</v>
      </c>
      <c r="J146" s="21">
        <v>107.68</v>
      </c>
      <c r="K146" s="21">
        <v>0</v>
      </c>
      <c r="L146" s="21">
        <v>0</v>
      </c>
      <c r="M146" s="21">
        <v>0</v>
      </c>
      <c r="N146" s="21">
        <v>2100.62</v>
      </c>
      <c r="O146" s="21">
        <v>3515.65</v>
      </c>
      <c r="P146" s="21">
        <v>4386.91</v>
      </c>
      <c r="Q146" s="21">
        <v>1836.64</v>
      </c>
      <c r="R146" s="21">
        <v>0</v>
      </c>
      <c r="S146" s="21">
        <v>0</v>
      </c>
      <c r="T146" s="21">
        <v>0</v>
      </c>
      <c r="U146" s="21">
        <v>192.5</v>
      </c>
      <c r="V146" s="21">
        <v>0</v>
      </c>
      <c r="W146" s="21">
        <v>0</v>
      </c>
    </row>
    <row r="147" spans="1:23" x14ac:dyDescent="0.2">
      <c r="A147" s="6" t="s">
        <v>324</v>
      </c>
      <c r="B147" s="15" t="s">
        <v>70</v>
      </c>
      <c r="C147" s="15" t="s">
        <v>70</v>
      </c>
      <c r="D147" s="15" t="s">
        <v>70</v>
      </c>
      <c r="E147" s="15" t="s">
        <v>70</v>
      </c>
      <c r="F147" s="15" t="s">
        <v>70</v>
      </c>
      <c r="G147" s="15" t="s">
        <v>70</v>
      </c>
      <c r="H147" s="15" t="s">
        <v>70</v>
      </c>
      <c r="I147" s="15" t="s">
        <v>70</v>
      </c>
      <c r="J147" s="15" t="s">
        <v>70</v>
      </c>
      <c r="K147" s="15" t="s">
        <v>70</v>
      </c>
      <c r="L147" s="15" t="s">
        <v>70</v>
      </c>
      <c r="M147" s="15" t="s">
        <v>70</v>
      </c>
      <c r="N147" s="15" t="s">
        <v>70</v>
      </c>
      <c r="O147" s="15" t="s">
        <v>70</v>
      </c>
      <c r="P147" s="15" t="s">
        <v>70</v>
      </c>
      <c r="Q147" s="15" t="s">
        <v>70</v>
      </c>
      <c r="R147" s="15" t="s">
        <v>70</v>
      </c>
      <c r="S147" s="15" t="s">
        <v>70</v>
      </c>
      <c r="T147" s="15" t="s">
        <v>70</v>
      </c>
      <c r="U147" s="15" t="s">
        <v>70</v>
      </c>
      <c r="V147" s="15" t="s">
        <v>70</v>
      </c>
      <c r="W147" s="15" t="s">
        <v>70</v>
      </c>
    </row>
    <row r="148" spans="1:23" x14ac:dyDescent="0.2">
      <c r="A148" s="6" t="s">
        <v>71</v>
      </c>
      <c r="B148" s="16">
        <v>58887.42</v>
      </c>
      <c r="C148" s="16">
        <v>1993.75</v>
      </c>
      <c r="D148" s="16">
        <v>2834.68</v>
      </c>
      <c r="E148" s="16">
        <v>2169</v>
      </c>
      <c r="F148" s="16">
        <v>3462.93</v>
      </c>
      <c r="G148" s="16">
        <v>3138.21</v>
      </c>
      <c r="H148" s="16">
        <v>2791.95</v>
      </c>
      <c r="I148" s="16">
        <v>3044.57</v>
      </c>
      <c r="J148" s="16">
        <v>2814.71</v>
      </c>
      <c r="K148" s="16">
        <v>2983.36</v>
      </c>
      <c r="L148" s="16">
        <v>3890.29</v>
      </c>
      <c r="M148" s="16">
        <v>3542.86</v>
      </c>
      <c r="N148" s="16">
        <v>3537.35</v>
      </c>
      <c r="O148" s="16">
        <v>3743.35</v>
      </c>
      <c r="P148" s="16">
        <v>3560.36</v>
      </c>
      <c r="Q148" s="16">
        <v>3252.86</v>
      </c>
      <c r="R148" s="16">
        <v>3467.43</v>
      </c>
      <c r="S148" s="16">
        <v>0</v>
      </c>
      <c r="T148" s="16">
        <v>722.57</v>
      </c>
      <c r="U148" s="16">
        <v>2562.39</v>
      </c>
      <c r="V148" s="16">
        <v>3284.23</v>
      </c>
      <c r="W148" s="16">
        <v>2090.5700000000002</v>
      </c>
    </row>
    <row r="149" spans="1:23" x14ac:dyDescent="0.2">
      <c r="A149" s="6" t="s">
        <v>72</v>
      </c>
      <c r="B149" s="16">
        <v>6180.32</v>
      </c>
      <c r="C149" s="16">
        <v>503.25</v>
      </c>
      <c r="D149" s="16">
        <v>114.75</v>
      </c>
      <c r="E149" s="16">
        <v>362.25</v>
      </c>
      <c r="F149" s="16">
        <v>92.14</v>
      </c>
      <c r="G149" s="16">
        <v>1000.71</v>
      </c>
      <c r="H149" s="16">
        <v>51</v>
      </c>
      <c r="I149" s="16">
        <v>879.43</v>
      </c>
      <c r="J149" s="16">
        <v>0</v>
      </c>
      <c r="K149" s="16">
        <v>0</v>
      </c>
      <c r="L149" s="16">
        <v>0</v>
      </c>
      <c r="M149" s="16">
        <v>2122.67</v>
      </c>
      <c r="N149" s="16">
        <v>138.38999999999999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166.34</v>
      </c>
      <c r="U149" s="16">
        <v>0</v>
      </c>
      <c r="V149" s="16">
        <v>749.39</v>
      </c>
      <c r="W149" s="16">
        <v>0</v>
      </c>
    </row>
    <row r="150" spans="1:23" x14ac:dyDescent="0.2">
      <c r="A150" s="6" t="s">
        <v>74</v>
      </c>
      <c r="B150" s="16">
        <v>10.71</v>
      </c>
      <c r="C150" s="16">
        <v>0</v>
      </c>
      <c r="D150" s="16">
        <v>0</v>
      </c>
      <c r="E150" s="16">
        <v>0</v>
      </c>
      <c r="F150" s="16">
        <v>0</v>
      </c>
      <c r="G150" s="16">
        <v>0</v>
      </c>
      <c r="H150" s="16">
        <v>0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10.71</v>
      </c>
      <c r="W150" s="16">
        <v>0</v>
      </c>
    </row>
    <row r="151" spans="1:23" x14ac:dyDescent="0.2">
      <c r="A151" s="6" t="s">
        <v>75</v>
      </c>
      <c r="B151" s="16">
        <v>994.32</v>
      </c>
      <c r="C151" s="16">
        <v>-298.44</v>
      </c>
      <c r="D151" s="16">
        <v>-35.22</v>
      </c>
      <c r="E151" s="16">
        <v>0</v>
      </c>
      <c r="F151" s="16">
        <v>0</v>
      </c>
      <c r="G151" s="16">
        <v>0</v>
      </c>
      <c r="H151" s="16">
        <v>90.21</v>
      </c>
      <c r="I151" s="16">
        <v>143.43</v>
      </c>
      <c r="J151" s="16">
        <v>123.79</v>
      </c>
      <c r="K151" s="16">
        <v>0</v>
      </c>
      <c r="L151" s="16">
        <v>438.95</v>
      </c>
      <c r="M151" s="16">
        <v>61.44</v>
      </c>
      <c r="N151" s="16">
        <v>181.4</v>
      </c>
      <c r="O151" s="16">
        <v>471.75</v>
      </c>
      <c r="P151" s="16">
        <v>58.37</v>
      </c>
      <c r="Q151" s="16">
        <v>-133.19</v>
      </c>
      <c r="R151" s="16">
        <v>252.31</v>
      </c>
      <c r="S151" s="16">
        <v>0</v>
      </c>
      <c r="T151" s="16">
        <v>-207.36</v>
      </c>
      <c r="U151" s="16">
        <v>-421.22</v>
      </c>
      <c r="V151" s="16">
        <v>171.14</v>
      </c>
      <c r="W151" s="16">
        <v>96.96</v>
      </c>
    </row>
    <row r="152" spans="1:23" x14ac:dyDescent="0.2">
      <c r="A152" s="6" t="s">
        <v>76</v>
      </c>
      <c r="B152" s="16">
        <v>1880.94</v>
      </c>
      <c r="C152" s="16">
        <v>0</v>
      </c>
      <c r="D152" s="16">
        <v>144</v>
      </c>
      <c r="E152" s="16">
        <v>0</v>
      </c>
      <c r="F152" s="16">
        <v>0</v>
      </c>
      <c r="G152" s="16">
        <v>160</v>
      </c>
      <c r="H152" s="16">
        <v>136</v>
      </c>
      <c r="I152" s="16">
        <v>144</v>
      </c>
      <c r="J152" s="16">
        <v>72.25</v>
      </c>
      <c r="K152" s="16">
        <v>0</v>
      </c>
      <c r="L152" s="16">
        <v>184</v>
      </c>
      <c r="M152" s="16">
        <v>135</v>
      </c>
      <c r="N152" s="16">
        <v>82</v>
      </c>
      <c r="O152" s="16">
        <v>185.84</v>
      </c>
      <c r="P152" s="16">
        <v>160</v>
      </c>
      <c r="Q152" s="16">
        <v>96</v>
      </c>
      <c r="R152" s="16">
        <v>164</v>
      </c>
      <c r="S152" s="16">
        <v>0</v>
      </c>
      <c r="T152" s="16">
        <v>0</v>
      </c>
      <c r="U152" s="16">
        <v>0</v>
      </c>
      <c r="V152" s="16">
        <v>217.85</v>
      </c>
      <c r="W152" s="16">
        <v>0</v>
      </c>
    </row>
    <row r="153" spans="1:23" x14ac:dyDescent="0.2">
      <c r="A153" s="6" t="s">
        <v>325</v>
      </c>
      <c r="B153" s="21">
        <v>67953.710000000006</v>
      </c>
      <c r="C153" s="21">
        <v>2198.56</v>
      </c>
      <c r="D153" s="21">
        <v>3058.21</v>
      </c>
      <c r="E153" s="21">
        <v>2531.25</v>
      </c>
      <c r="F153" s="21">
        <v>3555.07</v>
      </c>
      <c r="G153" s="21">
        <v>4298.92</v>
      </c>
      <c r="H153" s="21">
        <v>3069.16</v>
      </c>
      <c r="I153" s="21">
        <v>4211.43</v>
      </c>
      <c r="J153" s="21">
        <v>3010.75</v>
      </c>
      <c r="K153" s="21">
        <v>2983.36</v>
      </c>
      <c r="L153" s="21">
        <v>4513.24</v>
      </c>
      <c r="M153" s="21">
        <v>5861.97</v>
      </c>
      <c r="N153" s="21">
        <v>3939.14</v>
      </c>
      <c r="O153" s="21">
        <v>4400.9399999999996</v>
      </c>
      <c r="P153" s="21">
        <v>3778.73</v>
      </c>
      <c r="Q153" s="21">
        <v>3215.67</v>
      </c>
      <c r="R153" s="21">
        <v>3883.74</v>
      </c>
      <c r="S153" s="21">
        <v>0</v>
      </c>
      <c r="T153" s="21">
        <v>681.55</v>
      </c>
      <c r="U153" s="21">
        <v>2141.17</v>
      </c>
      <c r="V153" s="21">
        <v>4433.32</v>
      </c>
      <c r="W153" s="21">
        <v>2187.5300000000002</v>
      </c>
    </row>
    <row r="154" spans="1:23" x14ac:dyDescent="0.2">
      <c r="A154" s="6" t="s">
        <v>326</v>
      </c>
      <c r="B154" s="15" t="s">
        <v>70</v>
      </c>
      <c r="C154" s="15" t="s">
        <v>70</v>
      </c>
      <c r="D154" s="15" t="s">
        <v>70</v>
      </c>
      <c r="E154" s="15" t="s">
        <v>70</v>
      </c>
      <c r="F154" s="15" t="s">
        <v>70</v>
      </c>
      <c r="G154" s="15" t="s">
        <v>70</v>
      </c>
      <c r="H154" s="15" t="s">
        <v>70</v>
      </c>
      <c r="I154" s="15" t="s">
        <v>70</v>
      </c>
      <c r="J154" s="15" t="s">
        <v>70</v>
      </c>
      <c r="K154" s="15" t="s">
        <v>70</v>
      </c>
      <c r="L154" s="15" t="s">
        <v>70</v>
      </c>
      <c r="M154" s="15" t="s">
        <v>70</v>
      </c>
      <c r="N154" s="15" t="s">
        <v>70</v>
      </c>
      <c r="O154" s="15" t="s">
        <v>70</v>
      </c>
      <c r="P154" s="15" t="s">
        <v>70</v>
      </c>
      <c r="Q154" s="15" t="s">
        <v>70</v>
      </c>
      <c r="R154" s="15" t="s">
        <v>70</v>
      </c>
      <c r="S154" s="15" t="s">
        <v>70</v>
      </c>
      <c r="T154" s="15" t="s">
        <v>70</v>
      </c>
      <c r="U154" s="15" t="s">
        <v>70</v>
      </c>
      <c r="V154" s="15" t="s">
        <v>70</v>
      </c>
      <c r="W154" s="15" t="s">
        <v>70</v>
      </c>
    </row>
    <row r="155" spans="1:23" x14ac:dyDescent="0.2">
      <c r="A155" s="6" t="s">
        <v>71</v>
      </c>
      <c r="B155" s="16">
        <v>2990.57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0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2990.57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</row>
    <row r="156" spans="1:23" x14ac:dyDescent="0.2">
      <c r="A156" s="6" t="s">
        <v>72</v>
      </c>
      <c r="B156" s="16">
        <v>310.98</v>
      </c>
      <c r="C156" s="16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310.98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</row>
    <row r="157" spans="1:23" x14ac:dyDescent="0.2">
      <c r="A157" s="6" t="s">
        <v>75</v>
      </c>
      <c r="B157" s="16">
        <v>398.59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398.59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</row>
    <row r="158" spans="1:23" x14ac:dyDescent="0.2">
      <c r="A158" s="6" t="s">
        <v>76</v>
      </c>
      <c r="B158" s="16">
        <v>144</v>
      </c>
      <c r="C158" s="16">
        <v>0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144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</row>
    <row r="159" spans="1:23" x14ac:dyDescent="0.2">
      <c r="A159" s="6" t="s">
        <v>327</v>
      </c>
      <c r="B159" s="21">
        <v>3844.14</v>
      </c>
      <c r="C159" s="21">
        <v>0</v>
      </c>
      <c r="D159" s="21">
        <v>0</v>
      </c>
      <c r="E159" s="21">
        <v>0</v>
      </c>
      <c r="F159" s="21">
        <v>0</v>
      </c>
      <c r="G159" s="21">
        <v>0</v>
      </c>
      <c r="H159" s="21">
        <v>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3844.14</v>
      </c>
      <c r="O159" s="21">
        <v>0</v>
      </c>
      <c r="P159" s="21">
        <v>0</v>
      </c>
      <c r="Q159" s="21">
        <v>0</v>
      </c>
      <c r="R159" s="21">
        <v>0</v>
      </c>
      <c r="S159" s="21">
        <v>0</v>
      </c>
      <c r="T159" s="21">
        <v>0</v>
      </c>
      <c r="U159" s="21">
        <v>0</v>
      </c>
      <c r="V159" s="21">
        <v>0</v>
      </c>
      <c r="W159" s="21">
        <v>0</v>
      </c>
    </row>
    <row r="160" spans="1:23" x14ac:dyDescent="0.2">
      <c r="A160" s="6" t="s">
        <v>328</v>
      </c>
      <c r="B160" s="15" t="s">
        <v>70</v>
      </c>
      <c r="C160" s="15" t="s">
        <v>70</v>
      </c>
      <c r="D160" s="15" t="s">
        <v>70</v>
      </c>
      <c r="E160" s="15" t="s">
        <v>70</v>
      </c>
      <c r="F160" s="15" t="s">
        <v>70</v>
      </c>
      <c r="G160" s="15" t="s">
        <v>70</v>
      </c>
      <c r="H160" s="15" t="s">
        <v>70</v>
      </c>
      <c r="I160" s="15" t="s">
        <v>70</v>
      </c>
      <c r="J160" s="15" t="s">
        <v>70</v>
      </c>
      <c r="K160" s="15" t="s">
        <v>70</v>
      </c>
      <c r="L160" s="15" t="s">
        <v>70</v>
      </c>
      <c r="M160" s="15" t="s">
        <v>70</v>
      </c>
      <c r="N160" s="15" t="s">
        <v>70</v>
      </c>
      <c r="O160" s="15" t="s">
        <v>70</v>
      </c>
      <c r="P160" s="15" t="s">
        <v>70</v>
      </c>
      <c r="Q160" s="15" t="s">
        <v>70</v>
      </c>
      <c r="R160" s="15" t="s">
        <v>70</v>
      </c>
      <c r="S160" s="15" t="s">
        <v>70</v>
      </c>
      <c r="T160" s="15" t="s">
        <v>70</v>
      </c>
      <c r="U160" s="15" t="s">
        <v>70</v>
      </c>
      <c r="V160" s="15" t="s">
        <v>70</v>
      </c>
      <c r="W160" s="15" t="s">
        <v>70</v>
      </c>
    </row>
    <row r="161" spans="1:23" x14ac:dyDescent="0.2">
      <c r="A161" s="6" t="s">
        <v>71</v>
      </c>
      <c r="B161" s="16">
        <v>142448.39000000001</v>
      </c>
      <c r="C161" s="16">
        <v>5101.53</v>
      </c>
      <c r="D161" s="16">
        <v>14540.39</v>
      </c>
      <c r="E161" s="16">
        <v>8086.09</v>
      </c>
      <c r="F161" s="16">
        <v>12239.97</v>
      </c>
      <c r="G161" s="16">
        <v>5604.37</v>
      </c>
      <c r="H161" s="16">
        <v>8446.07</v>
      </c>
      <c r="I161" s="16">
        <v>5166.8</v>
      </c>
      <c r="J161" s="16">
        <v>5949.11</v>
      </c>
      <c r="K161" s="16">
        <v>2802.32</v>
      </c>
      <c r="L161" s="16">
        <v>9786.5</v>
      </c>
      <c r="M161" s="16">
        <v>10127.14</v>
      </c>
      <c r="N161" s="16">
        <v>19646.93</v>
      </c>
      <c r="O161" s="16">
        <v>8912.9500000000007</v>
      </c>
      <c r="P161" s="16">
        <v>10442.18</v>
      </c>
      <c r="Q161" s="16">
        <v>2660.45</v>
      </c>
      <c r="R161" s="16">
        <v>7441.3</v>
      </c>
      <c r="S161" s="16">
        <v>0</v>
      </c>
      <c r="T161" s="16">
        <v>1776.43</v>
      </c>
      <c r="U161" s="16">
        <v>0</v>
      </c>
      <c r="V161" s="16">
        <v>3717.86</v>
      </c>
      <c r="W161" s="16">
        <v>0</v>
      </c>
    </row>
    <row r="162" spans="1:23" x14ac:dyDescent="0.2">
      <c r="A162" s="6" t="s">
        <v>72</v>
      </c>
      <c r="B162" s="16">
        <v>1677.71</v>
      </c>
      <c r="C162" s="16">
        <v>202.5</v>
      </c>
      <c r="D162" s="16">
        <v>0</v>
      </c>
      <c r="E162" s="16">
        <v>716.2</v>
      </c>
      <c r="F162" s="16">
        <v>47.82</v>
      </c>
      <c r="G162" s="16">
        <v>45</v>
      </c>
      <c r="H162" s="16">
        <v>26.92</v>
      </c>
      <c r="I162" s="16">
        <v>2.41</v>
      </c>
      <c r="J162" s="16">
        <v>0</v>
      </c>
      <c r="K162" s="16">
        <v>0</v>
      </c>
      <c r="L162" s="16">
        <v>422.14</v>
      </c>
      <c r="M162" s="16">
        <v>45</v>
      </c>
      <c r="N162" s="16">
        <v>40.340000000000003</v>
      </c>
      <c r="O162" s="16">
        <v>129.38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</row>
    <row r="163" spans="1:23" x14ac:dyDescent="0.2">
      <c r="A163" s="6" t="s">
        <v>75</v>
      </c>
      <c r="B163" s="16">
        <v>7029.95</v>
      </c>
      <c r="C163" s="16">
        <v>104.12</v>
      </c>
      <c r="D163" s="16">
        <v>717.97</v>
      </c>
      <c r="E163" s="16">
        <v>34.28</v>
      </c>
      <c r="F163" s="16">
        <v>589.4</v>
      </c>
      <c r="G163" s="16">
        <v>-144.80000000000001</v>
      </c>
      <c r="H163" s="16">
        <v>523.07000000000005</v>
      </c>
      <c r="I163" s="16">
        <v>599.76</v>
      </c>
      <c r="J163" s="16">
        <v>108.26</v>
      </c>
      <c r="K163" s="16">
        <v>189.98</v>
      </c>
      <c r="L163" s="16">
        <v>681.54</v>
      </c>
      <c r="M163" s="16">
        <v>202.67</v>
      </c>
      <c r="N163" s="16">
        <v>1951.97</v>
      </c>
      <c r="O163" s="16">
        <v>617.97</v>
      </c>
      <c r="P163" s="16">
        <v>202.51</v>
      </c>
      <c r="Q163" s="16">
        <v>100.88</v>
      </c>
      <c r="R163" s="16">
        <v>328.11</v>
      </c>
      <c r="S163" s="16">
        <v>0</v>
      </c>
      <c r="T163" s="16">
        <v>30.6</v>
      </c>
      <c r="U163" s="16">
        <v>0</v>
      </c>
      <c r="V163" s="16">
        <v>191.66</v>
      </c>
      <c r="W163" s="16">
        <v>0</v>
      </c>
    </row>
    <row r="164" spans="1:23" x14ac:dyDescent="0.2">
      <c r="A164" s="6" t="s">
        <v>76</v>
      </c>
      <c r="B164" s="16">
        <v>4882.79</v>
      </c>
      <c r="C164" s="16">
        <v>240</v>
      </c>
      <c r="D164" s="16">
        <v>912</v>
      </c>
      <c r="E164" s="16">
        <v>176</v>
      </c>
      <c r="F164" s="16">
        <v>405</v>
      </c>
      <c r="G164" s="16">
        <v>120</v>
      </c>
      <c r="H164" s="16">
        <v>420</v>
      </c>
      <c r="I164" s="16">
        <v>240</v>
      </c>
      <c r="J164" s="16">
        <v>311.25</v>
      </c>
      <c r="K164" s="16">
        <v>37.5</v>
      </c>
      <c r="L164" s="16">
        <v>0</v>
      </c>
      <c r="M164" s="16">
        <v>356.25</v>
      </c>
      <c r="N164" s="16">
        <v>735.5</v>
      </c>
      <c r="O164" s="16">
        <v>292.5</v>
      </c>
      <c r="P164" s="16">
        <v>135</v>
      </c>
      <c r="Q164" s="16">
        <v>46.35</v>
      </c>
      <c r="R164" s="16">
        <v>230.44</v>
      </c>
      <c r="S164" s="16">
        <v>0</v>
      </c>
      <c r="T164" s="16">
        <v>101.25</v>
      </c>
      <c r="U164" s="16">
        <v>0</v>
      </c>
      <c r="V164" s="16">
        <v>123.75</v>
      </c>
      <c r="W164" s="16">
        <v>0</v>
      </c>
    </row>
    <row r="165" spans="1:23" x14ac:dyDescent="0.2">
      <c r="A165" s="6" t="s">
        <v>329</v>
      </c>
      <c r="B165" s="21">
        <v>156038.84</v>
      </c>
      <c r="C165" s="21">
        <v>5648.15</v>
      </c>
      <c r="D165" s="21">
        <v>16170.36</v>
      </c>
      <c r="E165" s="21">
        <v>9012.57</v>
      </c>
      <c r="F165" s="21">
        <v>13282.19</v>
      </c>
      <c r="G165" s="21">
        <v>5624.57</v>
      </c>
      <c r="H165" s="21">
        <v>9416.06</v>
      </c>
      <c r="I165" s="21">
        <v>6008.97</v>
      </c>
      <c r="J165" s="21">
        <v>6368.62</v>
      </c>
      <c r="K165" s="21">
        <v>3029.8</v>
      </c>
      <c r="L165" s="21">
        <v>10890.18</v>
      </c>
      <c r="M165" s="21">
        <v>10731.06</v>
      </c>
      <c r="N165" s="21">
        <v>22374.74</v>
      </c>
      <c r="O165" s="21">
        <v>9952.7999999999993</v>
      </c>
      <c r="P165" s="21">
        <v>10779.69</v>
      </c>
      <c r="Q165" s="21">
        <v>2807.68</v>
      </c>
      <c r="R165" s="21">
        <v>7999.85</v>
      </c>
      <c r="S165" s="21">
        <v>0</v>
      </c>
      <c r="T165" s="21">
        <v>1908.28</v>
      </c>
      <c r="U165" s="21">
        <v>0</v>
      </c>
      <c r="V165" s="21">
        <v>4033.27</v>
      </c>
      <c r="W165" s="21">
        <v>0</v>
      </c>
    </row>
    <row r="166" spans="1:23" x14ac:dyDescent="0.2">
      <c r="A166" s="6" t="s">
        <v>330</v>
      </c>
      <c r="B166" s="15" t="s">
        <v>70</v>
      </c>
      <c r="C166" s="15" t="s">
        <v>70</v>
      </c>
      <c r="D166" s="15" t="s">
        <v>70</v>
      </c>
      <c r="E166" s="15" t="s">
        <v>70</v>
      </c>
      <c r="F166" s="15" t="s">
        <v>70</v>
      </c>
      <c r="G166" s="15" t="s">
        <v>70</v>
      </c>
      <c r="H166" s="15" t="s">
        <v>70</v>
      </c>
      <c r="I166" s="15" t="s">
        <v>70</v>
      </c>
      <c r="J166" s="15" t="s">
        <v>70</v>
      </c>
      <c r="K166" s="15" t="s">
        <v>70</v>
      </c>
      <c r="L166" s="15" t="s">
        <v>70</v>
      </c>
      <c r="M166" s="15" t="s">
        <v>70</v>
      </c>
      <c r="N166" s="15" t="s">
        <v>70</v>
      </c>
      <c r="O166" s="15" t="s">
        <v>70</v>
      </c>
      <c r="P166" s="15" t="s">
        <v>70</v>
      </c>
      <c r="Q166" s="15" t="s">
        <v>70</v>
      </c>
      <c r="R166" s="15" t="s">
        <v>70</v>
      </c>
      <c r="S166" s="15" t="s">
        <v>70</v>
      </c>
      <c r="T166" s="15" t="s">
        <v>70</v>
      </c>
      <c r="U166" s="15" t="s">
        <v>70</v>
      </c>
      <c r="V166" s="15" t="s">
        <v>70</v>
      </c>
      <c r="W166" s="15" t="s">
        <v>70</v>
      </c>
    </row>
    <row r="167" spans="1:23" x14ac:dyDescent="0.2">
      <c r="A167" s="6" t="s">
        <v>71</v>
      </c>
      <c r="B167" s="16">
        <v>110170.25</v>
      </c>
      <c r="C167" s="16">
        <v>7547.5</v>
      </c>
      <c r="D167" s="16">
        <v>0</v>
      </c>
      <c r="E167" s="16">
        <v>3812.22</v>
      </c>
      <c r="F167" s="16">
        <v>786.96</v>
      </c>
      <c r="G167" s="16">
        <v>10604.2</v>
      </c>
      <c r="H167" s="16">
        <v>3053.38</v>
      </c>
      <c r="I167" s="16">
        <v>4154.92</v>
      </c>
      <c r="J167" s="16">
        <v>7735.18</v>
      </c>
      <c r="K167" s="16">
        <v>7032.17</v>
      </c>
      <c r="L167" s="16">
        <v>4818</v>
      </c>
      <c r="M167" s="16">
        <v>5576.74</v>
      </c>
      <c r="N167" s="16">
        <v>6082.57</v>
      </c>
      <c r="O167" s="16">
        <v>7111.07</v>
      </c>
      <c r="P167" s="16">
        <v>5831.57</v>
      </c>
      <c r="Q167" s="16">
        <v>10270.120000000001</v>
      </c>
      <c r="R167" s="16">
        <v>7135.13</v>
      </c>
      <c r="S167" s="16">
        <v>0</v>
      </c>
      <c r="T167" s="16">
        <v>7682.31</v>
      </c>
      <c r="U167" s="16">
        <v>3936.96</v>
      </c>
      <c r="V167" s="16">
        <v>2840.77</v>
      </c>
      <c r="W167" s="16">
        <v>4158.4799999999996</v>
      </c>
    </row>
    <row r="168" spans="1:23" x14ac:dyDescent="0.2">
      <c r="A168" s="6" t="s">
        <v>72</v>
      </c>
      <c r="B168" s="16">
        <v>5086.22</v>
      </c>
      <c r="C168" s="16">
        <v>569.76</v>
      </c>
      <c r="D168" s="16">
        <v>0</v>
      </c>
      <c r="E168" s="16">
        <v>0</v>
      </c>
      <c r="F168" s="16">
        <v>0</v>
      </c>
      <c r="G168" s="16">
        <v>1015.34</v>
      </c>
      <c r="H168" s="16">
        <v>0</v>
      </c>
      <c r="I168" s="16">
        <v>27.19</v>
      </c>
      <c r="J168" s="16">
        <v>0</v>
      </c>
      <c r="K168" s="16">
        <v>253.13</v>
      </c>
      <c r="L168" s="16">
        <v>66</v>
      </c>
      <c r="M168" s="16">
        <v>0</v>
      </c>
      <c r="N168" s="16">
        <v>0</v>
      </c>
      <c r="O168" s="16">
        <v>151.88</v>
      </c>
      <c r="P168" s="16">
        <v>651.42999999999995</v>
      </c>
      <c r="Q168" s="16">
        <v>924.03</v>
      </c>
      <c r="R168" s="16">
        <v>62.82</v>
      </c>
      <c r="S168" s="16">
        <v>0</v>
      </c>
      <c r="T168" s="16">
        <v>1342.14</v>
      </c>
      <c r="U168" s="16">
        <v>0</v>
      </c>
      <c r="V168" s="16">
        <v>22.5</v>
      </c>
      <c r="W168" s="16">
        <v>0</v>
      </c>
    </row>
    <row r="169" spans="1:23" x14ac:dyDescent="0.2">
      <c r="A169" s="6" t="s">
        <v>75</v>
      </c>
      <c r="B169" s="16">
        <v>2920.51</v>
      </c>
      <c r="C169" s="16">
        <v>194.38</v>
      </c>
      <c r="D169" s="16">
        <v>0</v>
      </c>
      <c r="E169" s="16">
        <v>20.88</v>
      </c>
      <c r="F169" s="16">
        <v>0</v>
      </c>
      <c r="G169" s="16">
        <v>123.59</v>
      </c>
      <c r="H169" s="16">
        <v>94.28</v>
      </c>
      <c r="I169" s="16">
        <v>-296.07</v>
      </c>
      <c r="J169" s="16">
        <v>285.45</v>
      </c>
      <c r="K169" s="16">
        <v>441.09</v>
      </c>
      <c r="L169" s="16">
        <v>106.67</v>
      </c>
      <c r="M169" s="16">
        <v>242.65</v>
      </c>
      <c r="N169" s="16">
        <v>122.88</v>
      </c>
      <c r="O169" s="16">
        <v>315.52</v>
      </c>
      <c r="P169" s="16">
        <v>435.38</v>
      </c>
      <c r="Q169" s="16">
        <v>260.95999999999998</v>
      </c>
      <c r="R169" s="16">
        <v>224.31</v>
      </c>
      <c r="S169" s="16">
        <v>0</v>
      </c>
      <c r="T169" s="16">
        <v>-25.64</v>
      </c>
      <c r="U169" s="16">
        <v>87.48</v>
      </c>
      <c r="V169" s="16">
        <v>88.71</v>
      </c>
      <c r="W169" s="16">
        <v>197.99</v>
      </c>
    </row>
    <row r="170" spans="1:23" x14ac:dyDescent="0.2">
      <c r="A170" s="6" t="s">
        <v>76</v>
      </c>
      <c r="B170" s="16">
        <v>2785.99</v>
      </c>
      <c r="C170" s="16">
        <v>392</v>
      </c>
      <c r="D170" s="16">
        <v>0</v>
      </c>
      <c r="E170" s="16">
        <v>120</v>
      </c>
      <c r="F170" s="16">
        <v>0</v>
      </c>
      <c r="G170" s="16">
        <v>180</v>
      </c>
      <c r="H170" s="16">
        <v>180</v>
      </c>
      <c r="I170" s="16">
        <v>0</v>
      </c>
      <c r="J170" s="16">
        <v>123.75</v>
      </c>
      <c r="K170" s="16">
        <v>258.75</v>
      </c>
      <c r="L170" s="16">
        <v>0</v>
      </c>
      <c r="M170" s="16">
        <v>120</v>
      </c>
      <c r="N170" s="16">
        <v>88</v>
      </c>
      <c r="O170" s="16">
        <v>285</v>
      </c>
      <c r="P170" s="16">
        <v>248</v>
      </c>
      <c r="Q170" s="16">
        <v>123.25</v>
      </c>
      <c r="R170" s="16">
        <v>247.24</v>
      </c>
      <c r="S170" s="16">
        <v>0</v>
      </c>
      <c r="T170" s="16">
        <v>217.5</v>
      </c>
      <c r="U170" s="16">
        <v>0</v>
      </c>
      <c r="V170" s="16">
        <v>0</v>
      </c>
      <c r="W170" s="16">
        <v>202.5</v>
      </c>
    </row>
    <row r="171" spans="1:23" x14ac:dyDescent="0.2">
      <c r="A171" s="6" t="s">
        <v>331</v>
      </c>
      <c r="B171" s="21">
        <v>120962.97</v>
      </c>
      <c r="C171" s="21">
        <v>8703.64</v>
      </c>
      <c r="D171" s="21">
        <v>0</v>
      </c>
      <c r="E171" s="21">
        <v>3953.1</v>
      </c>
      <c r="F171" s="21">
        <v>786.96</v>
      </c>
      <c r="G171" s="21">
        <v>11923.13</v>
      </c>
      <c r="H171" s="21">
        <v>3327.66</v>
      </c>
      <c r="I171" s="21">
        <v>3886.04</v>
      </c>
      <c r="J171" s="21">
        <v>8144.38</v>
      </c>
      <c r="K171" s="21">
        <v>7985.14</v>
      </c>
      <c r="L171" s="21">
        <v>4990.67</v>
      </c>
      <c r="M171" s="21">
        <v>5939.39</v>
      </c>
      <c r="N171" s="21">
        <v>6293.45</v>
      </c>
      <c r="O171" s="21">
        <v>7863.47</v>
      </c>
      <c r="P171" s="21">
        <v>7166.38</v>
      </c>
      <c r="Q171" s="21">
        <v>11578.36</v>
      </c>
      <c r="R171" s="21">
        <v>7669.5</v>
      </c>
      <c r="S171" s="21">
        <v>0</v>
      </c>
      <c r="T171" s="21">
        <v>9216.31</v>
      </c>
      <c r="U171" s="21">
        <v>4024.44</v>
      </c>
      <c r="V171" s="21">
        <v>2951.98</v>
      </c>
      <c r="W171" s="21">
        <v>4558.97</v>
      </c>
    </row>
    <row r="172" spans="1:23" x14ac:dyDescent="0.2">
      <c r="A172" s="6" t="s">
        <v>332</v>
      </c>
      <c r="B172" s="15" t="s">
        <v>70</v>
      </c>
      <c r="C172" s="15" t="s">
        <v>70</v>
      </c>
      <c r="D172" s="15" t="s">
        <v>70</v>
      </c>
      <c r="E172" s="15" t="s">
        <v>70</v>
      </c>
      <c r="F172" s="15" t="s">
        <v>70</v>
      </c>
      <c r="G172" s="15" t="s">
        <v>70</v>
      </c>
      <c r="H172" s="15" t="s">
        <v>70</v>
      </c>
      <c r="I172" s="15" t="s">
        <v>70</v>
      </c>
      <c r="J172" s="15" t="s">
        <v>70</v>
      </c>
      <c r="K172" s="15" t="s">
        <v>70</v>
      </c>
      <c r="L172" s="15" t="s">
        <v>70</v>
      </c>
      <c r="M172" s="15" t="s">
        <v>70</v>
      </c>
      <c r="N172" s="15" t="s">
        <v>70</v>
      </c>
      <c r="O172" s="15" t="s">
        <v>70</v>
      </c>
      <c r="P172" s="15" t="s">
        <v>70</v>
      </c>
      <c r="Q172" s="15" t="s">
        <v>70</v>
      </c>
      <c r="R172" s="15" t="s">
        <v>70</v>
      </c>
      <c r="S172" s="15" t="s">
        <v>70</v>
      </c>
      <c r="T172" s="15" t="s">
        <v>70</v>
      </c>
      <c r="U172" s="15" t="s">
        <v>70</v>
      </c>
      <c r="V172" s="15" t="s">
        <v>70</v>
      </c>
      <c r="W172" s="15" t="s">
        <v>70</v>
      </c>
    </row>
    <row r="173" spans="1:23" x14ac:dyDescent="0.2">
      <c r="A173" s="6" t="s">
        <v>71</v>
      </c>
      <c r="B173" s="16">
        <v>41346.81</v>
      </c>
      <c r="C173" s="16">
        <v>0</v>
      </c>
      <c r="D173" s="16">
        <v>0</v>
      </c>
      <c r="E173" s="16">
        <v>4075.18</v>
      </c>
      <c r="F173" s="16">
        <v>0</v>
      </c>
      <c r="G173" s="16">
        <v>1766.52</v>
      </c>
      <c r="H173" s="16">
        <v>1431.7</v>
      </c>
      <c r="I173" s="16">
        <v>0</v>
      </c>
      <c r="J173" s="16">
        <v>5994.91</v>
      </c>
      <c r="K173" s="16">
        <v>1149.3699999999999</v>
      </c>
      <c r="L173" s="16">
        <v>3867.81</v>
      </c>
      <c r="M173" s="16">
        <v>3766.34</v>
      </c>
      <c r="N173" s="16">
        <v>6080.09</v>
      </c>
      <c r="O173" s="16">
        <v>6961.87</v>
      </c>
      <c r="P173" s="16">
        <v>1421.25</v>
      </c>
      <c r="Q173" s="16">
        <v>4831.7700000000004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</row>
    <row r="174" spans="1:23" x14ac:dyDescent="0.2">
      <c r="A174" s="6" t="s">
        <v>72</v>
      </c>
      <c r="B174" s="16">
        <v>248.46</v>
      </c>
      <c r="C174" s="16">
        <v>0</v>
      </c>
      <c r="D174" s="16">
        <v>0</v>
      </c>
      <c r="E174" s="16">
        <v>19.809999999999999</v>
      </c>
      <c r="F174" s="16">
        <v>0</v>
      </c>
      <c r="G174" s="16">
        <v>6.03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90</v>
      </c>
      <c r="N174" s="16">
        <v>0</v>
      </c>
      <c r="O174" s="16">
        <v>132.62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</row>
    <row r="175" spans="1:23" x14ac:dyDescent="0.2">
      <c r="A175" s="6" t="s">
        <v>75</v>
      </c>
      <c r="B175" s="16">
        <v>1537.19</v>
      </c>
      <c r="C175" s="16">
        <v>0</v>
      </c>
      <c r="D175" s="16">
        <v>0</v>
      </c>
      <c r="E175" s="16">
        <v>103.9</v>
      </c>
      <c r="F175" s="16">
        <v>0</v>
      </c>
      <c r="G175" s="16">
        <v>224.48</v>
      </c>
      <c r="H175" s="16">
        <v>50.4</v>
      </c>
      <c r="I175" s="16">
        <v>0</v>
      </c>
      <c r="J175" s="16">
        <v>-276.98</v>
      </c>
      <c r="K175" s="16">
        <v>179.48</v>
      </c>
      <c r="L175" s="16">
        <v>557.63</v>
      </c>
      <c r="M175" s="16">
        <v>129.74</v>
      </c>
      <c r="N175" s="16">
        <v>1.9100000000000001</v>
      </c>
      <c r="O175" s="16">
        <v>400.49</v>
      </c>
      <c r="P175" s="16">
        <v>25.99</v>
      </c>
      <c r="Q175" s="16">
        <v>140.15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</row>
    <row r="176" spans="1:23" x14ac:dyDescent="0.2">
      <c r="A176" s="6" t="s">
        <v>76</v>
      </c>
      <c r="B176" s="16">
        <v>1145.6300000000001</v>
      </c>
      <c r="C176" s="16">
        <v>0</v>
      </c>
      <c r="D176" s="16">
        <v>0</v>
      </c>
      <c r="E176" s="16">
        <v>0</v>
      </c>
      <c r="F176" s="16">
        <v>0</v>
      </c>
      <c r="G176" s="16">
        <v>60</v>
      </c>
      <c r="H176" s="16">
        <v>60</v>
      </c>
      <c r="I176" s="16">
        <v>0</v>
      </c>
      <c r="J176" s="16">
        <v>213.75</v>
      </c>
      <c r="K176" s="16">
        <v>71.25</v>
      </c>
      <c r="L176" s="16">
        <v>0</v>
      </c>
      <c r="M176" s="16">
        <v>112.5</v>
      </c>
      <c r="N176" s="16">
        <v>326.25</v>
      </c>
      <c r="O176" s="16">
        <v>247.5</v>
      </c>
      <c r="P176" s="16">
        <v>0</v>
      </c>
      <c r="Q176" s="16">
        <v>54.38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</row>
    <row r="177" spans="1:23" x14ac:dyDescent="0.2">
      <c r="A177" s="6" t="s">
        <v>333</v>
      </c>
      <c r="B177" s="21">
        <v>44278.09</v>
      </c>
      <c r="C177" s="21">
        <v>0</v>
      </c>
      <c r="D177" s="21">
        <v>0</v>
      </c>
      <c r="E177" s="21">
        <v>4198.8900000000003</v>
      </c>
      <c r="F177" s="21">
        <v>0</v>
      </c>
      <c r="G177" s="21">
        <v>2057.0300000000002</v>
      </c>
      <c r="H177" s="21">
        <v>1542.1</v>
      </c>
      <c r="I177" s="21">
        <v>0</v>
      </c>
      <c r="J177" s="21">
        <v>5931.68</v>
      </c>
      <c r="K177" s="21">
        <v>1400.1</v>
      </c>
      <c r="L177" s="21">
        <v>4425.4399999999996</v>
      </c>
      <c r="M177" s="21">
        <v>4098.58</v>
      </c>
      <c r="N177" s="21">
        <v>6408.25</v>
      </c>
      <c r="O177" s="21">
        <v>7742.48</v>
      </c>
      <c r="P177" s="21">
        <v>1447.24</v>
      </c>
      <c r="Q177" s="21">
        <v>5026.3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  <c r="W177" s="21">
        <v>0</v>
      </c>
    </row>
    <row r="178" spans="1:23" x14ac:dyDescent="0.2">
      <c r="A178" s="6" t="s">
        <v>334</v>
      </c>
      <c r="B178" s="15" t="s">
        <v>70</v>
      </c>
      <c r="C178" s="15" t="s">
        <v>70</v>
      </c>
      <c r="D178" s="15" t="s">
        <v>70</v>
      </c>
      <c r="E178" s="15" t="s">
        <v>70</v>
      </c>
      <c r="F178" s="15" t="s">
        <v>70</v>
      </c>
      <c r="G178" s="15" t="s">
        <v>70</v>
      </c>
      <c r="H178" s="15" t="s">
        <v>70</v>
      </c>
      <c r="I178" s="15" t="s">
        <v>70</v>
      </c>
      <c r="J178" s="15" t="s">
        <v>70</v>
      </c>
      <c r="K178" s="15" t="s">
        <v>70</v>
      </c>
      <c r="L178" s="15" t="s">
        <v>70</v>
      </c>
      <c r="M178" s="15" t="s">
        <v>70</v>
      </c>
      <c r="N178" s="15" t="s">
        <v>70</v>
      </c>
      <c r="O178" s="15" t="s">
        <v>70</v>
      </c>
      <c r="P178" s="15" t="s">
        <v>70</v>
      </c>
      <c r="Q178" s="15" t="s">
        <v>70</v>
      </c>
      <c r="R178" s="15" t="s">
        <v>70</v>
      </c>
      <c r="S178" s="15" t="s">
        <v>70</v>
      </c>
      <c r="T178" s="15" t="s">
        <v>70</v>
      </c>
      <c r="U178" s="15" t="s">
        <v>70</v>
      </c>
      <c r="V178" s="15" t="s">
        <v>70</v>
      </c>
      <c r="W178" s="15" t="s">
        <v>70</v>
      </c>
    </row>
    <row r="179" spans="1:23" x14ac:dyDescent="0.2">
      <c r="A179" s="6" t="s">
        <v>71</v>
      </c>
      <c r="B179" s="16">
        <v>8829.1200000000008</v>
      </c>
      <c r="C179" s="16">
        <v>0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453.3</v>
      </c>
      <c r="M179" s="16">
        <v>0</v>
      </c>
      <c r="N179" s="16">
        <v>0</v>
      </c>
      <c r="O179" s="16">
        <v>0</v>
      </c>
      <c r="P179" s="16">
        <v>4472.53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3903.29</v>
      </c>
      <c r="W179" s="16">
        <v>0</v>
      </c>
    </row>
    <row r="180" spans="1:23" x14ac:dyDescent="0.2">
      <c r="A180" s="6" t="s">
        <v>75</v>
      </c>
      <c r="B180" s="16">
        <v>310.31</v>
      </c>
      <c r="C180" s="16">
        <v>0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87.3</v>
      </c>
      <c r="M180" s="16">
        <v>0</v>
      </c>
      <c r="N180" s="16">
        <v>0</v>
      </c>
      <c r="O180" s="16">
        <v>0</v>
      </c>
      <c r="P180" s="16">
        <v>81.23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141.78</v>
      </c>
      <c r="W180" s="16">
        <v>0</v>
      </c>
    </row>
    <row r="181" spans="1:23" x14ac:dyDescent="0.2">
      <c r="A181" s="6" t="s">
        <v>76</v>
      </c>
      <c r="B181" s="16">
        <v>396.16</v>
      </c>
      <c r="C181" s="16">
        <v>0</v>
      </c>
      <c r="D181" s="16">
        <v>0</v>
      </c>
      <c r="E181" s="16">
        <v>0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211.54</v>
      </c>
      <c r="Q181" s="16">
        <v>0</v>
      </c>
      <c r="R181" s="16">
        <v>0</v>
      </c>
      <c r="S181" s="16">
        <v>0</v>
      </c>
      <c r="T181" s="16">
        <v>0</v>
      </c>
      <c r="U181" s="16">
        <v>0</v>
      </c>
      <c r="V181" s="16">
        <v>184.62</v>
      </c>
      <c r="W181" s="16">
        <v>0</v>
      </c>
    </row>
    <row r="182" spans="1:23" x14ac:dyDescent="0.2">
      <c r="A182" s="6" t="s">
        <v>335</v>
      </c>
      <c r="B182" s="21">
        <v>9535.59</v>
      </c>
      <c r="C182" s="21">
        <v>0</v>
      </c>
      <c r="D182" s="21">
        <v>0</v>
      </c>
      <c r="E182" s="21">
        <v>0</v>
      </c>
      <c r="F182" s="21">
        <v>0</v>
      </c>
      <c r="G182" s="21">
        <v>0</v>
      </c>
      <c r="H182" s="21">
        <v>0</v>
      </c>
      <c r="I182" s="21">
        <v>0</v>
      </c>
      <c r="J182" s="21">
        <v>0</v>
      </c>
      <c r="K182" s="21">
        <v>0</v>
      </c>
      <c r="L182" s="21">
        <v>540.6</v>
      </c>
      <c r="M182" s="21">
        <v>0</v>
      </c>
      <c r="N182" s="21">
        <v>0</v>
      </c>
      <c r="O182" s="21">
        <v>0</v>
      </c>
      <c r="P182" s="21">
        <v>4765.3</v>
      </c>
      <c r="Q182" s="21">
        <v>0</v>
      </c>
      <c r="R182" s="21">
        <v>0</v>
      </c>
      <c r="S182" s="21">
        <v>0</v>
      </c>
      <c r="T182" s="21">
        <v>0</v>
      </c>
      <c r="U182" s="21">
        <v>0</v>
      </c>
      <c r="V182" s="21">
        <v>4229.6899999999996</v>
      </c>
      <c r="W182" s="21">
        <v>0</v>
      </c>
    </row>
    <row r="183" spans="1:23" x14ac:dyDescent="0.2">
      <c r="A183" s="6" t="s">
        <v>336</v>
      </c>
      <c r="B183" s="15" t="s">
        <v>70</v>
      </c>
      <c r="C183" s="15" t="s">
        <v>70</v>
      </c>
      <c r="D183" s="15" t="s">
        <v>70</v>
      </c>
      <c r="E183" s="15" t="s">
        <v>70</v>
      </c>
      <c r="F183" s="15" t="s">
        <v>70</v>
      </c>
      <c r="G183" s="15" t="s">
        <v>70</v>
      </c>
      <c r="H183" s="15" t="s">
        <v>70</v>
      </c>
      <c r="I183" s="15" t="s">
        <v>70</v>
      </c>
      <c r="J183" s="15" t="s">
        <v>70</v>
      </c>
      <c r="K183" s="15" t="s">
        <v>70</v>
      </c>
      <c r="L183" s="15" t="s">
        <v>70</v>
      </c>
      <c r="M183" s="15" t="s">
        <v>70</v>
      </c>
      <c r="N183" s="15" t="s">
        <v>70</v>
      </c>
      <c r="O183" s="15" t="s">
        <v>70</v>
      </c>
      <c r="P183" s="15" t="s">
        <v>70</v>
      </c>
      <c r="Q183" s="15" t="s">
        <v>70</v>
      </c>
      <c r="R183" s="15" t="s">
        <v>70</v>
      </c>
      <c r="S183" s="15" t="s">
        <v>70</v>
      </c>
      <c r="T183" s="15" t="s">
        <v>70</v>
      </c>
      <c r="U183" s="15" t="s">
        <v>70</v>
      </c>
      <c r="V183" s="15" t="s">
        <v>70</v>
      </c>
      <c r="W183" s="15" t="s">
        <v>70</v>
      </c>
    </row>
    <row r="184" spans="1:23" x14ac:dyDescent="0.2">
      <c r="A184" s="6" t="s">
        <v>71</v>
      </c>
      <c r="B184" s="16">
        <v>15888.96</v>
      </c>
      <c r="C184" s="16">
        <v>2776.34</v>
      </c>
      <c r="D184" s="16">
        <v>0</v>
      </c>
      <c r="E184" s="16">
        <v>563.04</v>
      </c>
      <c r="F184" s="16">
        <v>0</v>
      </c>
      <c r="G184" s="16">
        <v>3658.93</v>
      </c>
      <c r="H184" s="16">
        <v>2844.16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1058.57</v>
      </c>
      <c r="O184" s="16">
        <v>0</v>
      </c>
      <c r="P184" s="16">
        <v>691.61</v>
      </c>
      <c r="Q184" s="16">
        <v>1546.34</v>
      </c>
      <c r="R184" s="16">
        <v>1710.54</v>
      </c>
      <c r="S184" s="16">
        <v>1039.43</v>
      </c>
      <c r="T184" s="16">
        <v>0</v>
      </c>
      <c r="U184" s="16">
        <v>0</v>
      </c>
      <c r="V184" s="16">
        <v>0</v>
      </c>
      <c r="W184" s="16">
        <v>0</v>
      </c>
    </row>
    <row r="185" spans="1:23" x14ac:dyDescent="0.2">
      <c r="A185" s="6" t="s">
        <v>72</v>
      </c>
      <c r="B185" s="16">
        <v>261.99</v>
      </c>
      <c r="C185" s="16">
        <v>83.09</v>
      </c>
      <c r="D185" s="16">
        <v>0</v>
      </c>
      <c r="E185" s="16">
        <v>0</v>
      </c>
      <c r="F185" s="16">
        <v>0</v>
      </c>
      <c r="G185" s="16">
        <v>14.06</v>
      </c>
      <c r="H185" s="16">
        <v>164.84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v>0</v>
      </c>
    </row>
    <row r="186" spans="1:23" x14ac:dyDescent="0.2">
      <c r="A186" s="6" t="s">
        <v>74</v>
      </c>
      <c r="B186" s="16">
        <v>200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200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</row>
    <row r="187" spans="1:23" x14ac:dyDescent="0.2">
      <c r="A187" s="6" t="s">
        <v>75</v>
      </c>
      <c r="B187" s="16">
        <v>268.73</v>
      </c>
      <c r="C187" s="16">
        <v>94.47</v>
      </c>
      <c r="D187" s="16">
        <v>0</v>
      </c>
      <c r="E187" s="16">
        <v>25.05</v>
      </c>
      <c r="F187" s="16">
        <v>0</v>
      </c>
      <c r="G187" s="16">
        <v>0</v>
      </c>
      <c r="H187" s="16">
        <v>-34.29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13.54</v>
      </c>
      <c r="O187" s="16">
        <v>0</v>
      </c>
      <c r="P187" s="16">
        <v>7.92</v>
      </c>
      <c r="Q187" s="16">
        <v>125.63</v>
      </c>
      <c r="R187" s="16">
        <v>36.409999999999997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</row>
    <row r="188" spans="1:23" x14ac:dyDescent="0.2">
      <c r="A188" s="6" t="s">
        <v>76</v>
      </c>
      <c r="B188" s="16">
        <v>459.75</v>
      </c>
      <c r="C188" s="16">
        <v>0</v>
      </c>
      <c r="D188" s="16">
        <v>0</v>
      </c>
      <c r="E188" s="16">
        <v>0</v>
      </c>
      <c r="F188" s="16">
        <v>0</v>
      </c>
      <c r="G188" s="16">
        <v>200</v>
      </c>
      <c r="H188" s="16">
        <v>136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63.75</v>
      </c>
      <c r="O188" s="16">
        <v>0</v>
      </c>
      <c r="P188" s="16">
        <v>0</v>
      </c>
      <c r="Q188" s="16">
        <v>60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</row>
    <row r="189" spans="1:23" x14ac:dyDescent="0.2">
      <c r="A189" s="6" t="s">
        <v>337</v>
      </c>
      <c r="B189" s="21">
        <v>17079.43</v>
      </c>
      <c r="C189" s="21">
        <v>2953.9</v>
      </c>
      <c r="D189" s="21">
        <v>0</v>
      </c>
      <c r="E189" s="21">
        <v>588.09</v>
      </c>
      <c r="F189" s="21">
        <v>0</v>
      </c>
      <c r="G189" s="21">
        <v>3872.99</v>
      </c>
      <c r="H189" s="21">
        <v>3110.71</v>
      </c>
      <c r="I189" s="21">
        <v>0</v>
      </c>
      <c r="J189" s="21">
        <v>0</v>
      </c>
      <c r="K189" s="21">
        <v>0</v>
      </c>
      <c r="L189" s="21">
        <v>0</v>
      </c>
      <c r="M189" s="21">
        <v>0</v>
      </c>
      <c r="N189" s="21">
        <v>1135.8599999999999</v>
      </c>
      <c r="O189" s="21">
        <v>0</v>
      </c>
      <c r="P189" s="21">
        <v>899.53</v>
      </c>
      <c r="Q189" s="21">
        <v>1731.97</v>
      </c>
      <c r="R189" s="21">
        <v>1746.95</v>
      </c>
      <c r="S189" s="21">
        <v>1039.43</v>
      </c>
      <c r="T189" s="21">
        <v>0</v>
      </c>
      <c r="U189" s="21">
        <v>0</v>
      </c>
      <c r="V189" s="21">
        <v>0</v>
      </c>
      <c r="W189" s="21">
        <v>0</v>
      </c>
    </row>
    <row r="190" spans="1:23" x14ac:dyDescent="0.2">
      <c r="A190" s="6" t="s">
        <v>338</v>
      </c>
      <c r="B190" s="15" t="s">
        <v>70</v>
      </c>
      <c r="C190" s="15" t="s">
        <v>70</v>
      </c>
      <c r="D190" s="15" t="s">
        <v>70</v>
      </c>
      <c r="E190" s="15" t="s">
        <v>70</v>
      </c>
      <c r="F190" s="15" t="s">
        <v>70</v>
      </c>
      <c r="G190" s="15" t="s">
        <v>70</v>
      </c>
      <c r="H190" s="15" t="s">
        <v>70</v>
      </c>
      <c r="I190" s="15" t="s">
        <v>70</v>
      </c>
      <c r="J190" s="15" t="s">
        <v>70</v>
      </c>
      <c r="K190" s="15" t="s">
        <v>70</v>
      </c>
      <c r="L190" s="15" t="s">
        <v>70</v>
      </c>
      <c r="M190" s="15" t="s">
        <v>70</v>
      </c>
      <c r="N190" s="15" t="s">
        <v>70</v>
      </c>
      <c r="O190" s="15" t="s">
        <v>70</v>
      </c>
      <c r="P190" s="15" t="s">
        <v>70</v>
      </c>
      <c r="Q190" s="15" t="s">
        <v>70</v>
      </c>
      <c r="R190" s="15" t="s">
        <v>70</v>
      </c>
      <c r="S190" s="15" t="s">
        <v>70</v>
      </c>
      <c r="T190" s="15" t="s">
        <v>70</v>
      </c>
      <c r="U190" s="15" t="s">
        <v>70</v>
      </c>
      <c r="V190" s="15" t="s">
        <v>70</v>
      </c>
      <c r="W190" s="15" t="s">
        <v>70</v>
      </c>
    </row>
    <row r="191" spans="1:23" x14ac:dyDescent="0.2">
      <c r="A191" s="6" t="s">
        <v>71</v>
      </c>
      <c r="B191" s="16">
        <v>120043.7</v>
      </c>
      <c r="C191" s="16">
        <v>6157.91</v>
      </c>
      <c r="D191" s="16">
        <v>5576.9</v>
      </c>
      <c r="E191" s="16">
        <v>5692.29</v>
      </c>
      <c r="F191" s="16">
        <v>8629.16</v>
      </c>
      <c r="G191" s="16">
        <v>6037.1</v>
      </c>
      <c r="H191" s="16">
        <v>0</v>
      </c>
      <c r="I191" s="16">
        <v>6000</v>
      </c>
      <c r="J191" s="16">
        <v>6505.49</v>
      </c>
      <c r="K191" s="16">
        <v>0</v>
      </c>
      <c r="L191" s="16">
        <v>7318.68</v>
      </c>
      <c r="M191" s="16">
        <v>6098.91</v>
      </c>
      <c r="N191" s="16">
        <v>9560.44</v>
      </c>
      <c r="O191" s="16">
        <v>11071.43</v>
      </c>
      <c r="P191" s="16">
        <v>10164.83</v>
      </c>
      <c r="Q191" s="16">
        <v>9157.5300000000007</v>
      </c>
      <c r="R191" s="16">
        <v>6749.48</v>
      </c>
      <c r="S191" s="16">
        <v>5535.71</v>
      </c>
      <c r="T191" s="16">
        <v>3145.05</v>
      </c>
      <c r="U191" s="16">
        <v>173.08</v>
      </c>
      <c r="V191" s="16">
        <v>6469.71</v>
      </c>
      <c r="W191" s="16">
        <v>0</v>
      </c>
    </row>
    <row r="192" spans="1:23" x14ac:dyDescent="0.2">
      <c r="A192" s="6" t="s">
        <v>73</v>
      </c>
      <c r="B192" s="16">
        <v>160.71</v>
      </c>
      <c r="C192" s="16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160.71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</row>
    <row r="193" spans="1:23" x14ac:dyDescent="0.2">
      <c r="A193" s="6" t="s">
        <v>75</v>
      </c>
      <c r="B193" s="16">
        <v>5049.93</v>
      </c>
      <c r="C193" s="16">
        <v>942.89</v>
      </c>
      <c r="D193" s="16">
        <v>222.16</v>
      </c>
      <c r="E193" s="16">
        <v>103.39</v>
      </c>
      <c r="F193" s="16">
        <v>0</v>
      </c>
      <c r="G193" s="16">
        <v>18.22</v>
      </c>
      <c r="H193" s="16">
        <v>0</v>
      </c>
      <c r="I193" s="16">
        <v>-103.25</v>
      </c>
      <c r="J193" s="16">
        <v>118.16</v>
      </c>
      <c r="K193" s="16">
        <v>0</v>
      </c>
      <c r="L193" s="16">
        <v>232.62</v>
      </c>
      <c r="M193" s="16">
        <v>221.54</v>
      </c>
      <c r="N193" s="16">
        <v>925.55</v>
      </c>
      <c r="O193" s="16">
        <v>0</v>
      </c>
      <c r="P193" s="16">
        <v>184.61</v>
      </c>
      <c r="Q193" s="16">
        <v>325.48</v>
      </c>
      <c r="R193" s="16">
        <v>245.56</v>
      </c>
      <c r="S193" s="16">
        <v>384.61</v>
      </c>
      <c r="T193" s="16">
        <v>159.5</v>
      </c>
      <c r="U193" s="16">
        <v>833.88</v>
      </c>
      <c r="V193" s="16">
        <v>235.01</v>
      </c>
      <c r="W193" s="16">
        <v>0</v>
      </c>
    </row>
    <row r="194" spans="1:23" x14ac:dyDescent="0.2">
      <c r="A194" s="6" t="s">
        <v>76</v>
      </c>
      <c r="B194" s="16">
        <v>4531</v>
      </c>
      <c r="C194" s="16">
        <v>317.31</v>
      </c>
      <c r="D194" s="16">
        <v>269.23</v>
      </c>
      <c r="E194" s="16">
        <v>269.23</v>
      </c>
      <c r="F194" s="16">
        <v>357.68</v>
      </c>
      <c r="G194" s="16">
        <v>288.45999999999998</v>
      </c>
      <c r="H194" s="16">
        <v>0</v>
      </c>
      <c r="I194" s="16">
        <v>307.69</v>
      </c>
      <c r="J194" s="16">
        <v>307.69</v>
      </c>
      <c r="K194" s="16">
        <v>0</v>
      </c>
      <c r="L194" s="16">
        <v>346.15</v>
      </c>
      <c r="M194" s="16">
        <v>288.45999999999998</v>
      </c>
      <c r="N194" s="16">
        <v>461.54</v>
      </c>
      <c r="O194" s="16">
        <v>0</v>
      </c>
      <c r="P194" s="16">
        <v>480.77</v>
      </c>
      <c r="Q194" s="16">
        <v>211.56</v>
      </c>
      <c r="R194" s="16">
        <v>319.23</v>
      </c>
      <c r="S194" s="16">
        <v>0</v>
      </c>
      <c r="T194" s="16">
        <v>0</v>
      </c>
      <c r="U194" s="16">
        <v>0</v>
      </c>
      <c r="V194" s="16">
        <v>306</v>
      </c>
      <c r="W194" s="16">
        <v>0</v>
      </c>
    </row>
    <row r="195" spans="1:23" x14ac:dyDescent="0.2">
      <c r="A195" s="6" t="s">
        <v>77</v>
      </c>
      <c r="B195" s="16">
        <v>250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50</v>
      </c>
      <c r="K195" s="16">
        <v>0</v>
      </c>
      <c r="L195" s="16">
        <v>50</v>
      </c>
      <c r="M195" s="16">
        <v>50</v>
      </c>
      <c r="N195" s="16">
        <v>50</v>
      </c>
      <c r="O195" s="16">
        <v>0</v>
      </c>
      <c r="P195" s="16">
        <v>50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</row>
    <row r="196" spans="1:23" x14ac:dyDescent="0.2">
      <c r="A196" s="6" t="s">
        <v>339</v>
      </c>
      <c r="B196" s="21">
        <v>130035.34</v>
      </c>
      <c r="C196" s="21">
        <v>7418.11</v>
      </c>
      <c r="D196" s="21">
        <v>6068.29</v>
      </c>
      <c r="E196" s="21">
        <v>6064.91</v>
      </c>
      <c r="F196" s="21">
        <v>8986.84</v>
      </c>
      <c r="G196" s="21">
        <v>6343.78</v>
      </c>
      <c r="H196" s="21">
        <v>0</v>
      </c>
      <c r="I196" s="21">
        <v>6204.44</v>
      </c>
      <c r="J196" s="21">
        <v>6981.34</v>
      </c>
      <c r="K196" s="21">
        <v>0</v>
      </c>
      <c r="L196" s="21">
        <v>8108.16</v>
      </c>
      <c r="M196" s="21">
        <v>6658.91</v>
      </c>
      <c r="N196" s="21">
        <v>10997.53</v>
      </c>
      <c r="O196" s="21">
        <v>11071.43</v>
      </c>
      <c r="P196" s="21">
        <v>10880.21</v>
      </c>
      <c r="Q196" s="21">
        <v>9694.57</v>
      </c>
      <c r="R196" s="21">
        <v>7314.27</v>
      </c>
      <c r="S196" s="21">
        <v>5920.32</v>
      </c>
      <c r="T196" s="21">
        <v>3304.55</v>
      </c>
      <c r="U196" s="21">
        <v>1006.96</v>
      </c>
      <c r="V196" s="21">
        <v>7010.72</v>
      </c>
      <c r="W196" s="21">
        <v>0</v>
      </c>
    </row>
    <row r="197" spans="1:23" x14ac:dyDescent="0.2">
      <c r="A197" s="6" t="s">
        <v>340</v>
      </c>
      <c r="B197" s="15" t="s">
        <v>70</v>
      </c>
      <c r="C197" s="15" t="s">
        <v>70</v>
      </c>
      <c r="D197" s="15" t="s">
        <v>70</v>
      </c>
      <c r="E197" s="15" t="s">
        <v>70</v>
      </c>
      <c r="F197" s="15" t="s">
        <v>70</v>
      </c>
      <c r="G197" s="15" t="s">
        <v>70</v>
      </c>
      <c r="H197" s="15" t="s">
        <v>70</v>
      </c>
      <c r="I197" s="15" t="s">
        <v>70</v>
      </c>
      <c r="J197" s="15" t="s">
        <v>70</v>
      </c>
      <c r="K197" s="15" t="s">
        <v>70</v>
      </c>
      <c r="L197" s="15" t="s">
        <v>70</v>
      </c>
      <c r="M197" s="15" t="s">
        <v>70</v>
      </c>
      <c r="N197" s="15" t="s">
        <v>70</v>
      </c>
      <c r="O197" s="15" t="s">
        <v>70</v>
      </c>
      <c r="P197" s="15" t="s">
        <v>70</v>
      </c>
      <c r="Q197" s="15" t="s">
        <v>70</v>
      </c>
      <c r="R197" s="15" t="s">
        <v>70</v>
      </c>
      <c r="S197" s="15" t="s">
        <v>70</v>
      </c>
      <c r="T197" s="15" t="s">
        <v>70</v>
      </c>
      <c r="U197" s="15" t="s">
        <v>70</v>
      </c>
      <c r="V197" s="15" t="s">
        <v>70</v>
      </c>
      <c r="W197" s="15" t="s">
        <v>70</v>
      </c>
    </row>
    <row r="198" spans="1:23" x14ac:dyDescent="0.2">
      <c r="A198" s="6" t="s">
        <v>71</v>
      </c>
      <c r="B198" s="16">
        <v>10831.6</v>
      </c>
      <c r="C198" s="16">
        <v>0</v>
      </c>
      <c r="D198" s="16">
        <v>0</v>
      </c>
      <c r="E198" s="16">
        <v>0</v>
      </c>
      <c r="F198" s="16">
        <v>0</v>
      </c>
      <c r="G198" s="16">
        <v>0</v>
      </c>
      <c r="H198" s="16">
        <v>5789.84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5041.76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</row>
    <row r="199" spans="1:23" x14ac:dyDescent="0.2">
      <c r="A199" s="6" t="s">
        <v>75</v>
      </c>
      <c r="B199" s="16">
        <v>183.14</v>
      </c>
      <c r="C199" s="16">
        <v>0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183.14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</row>
    <row r="200" spans="1:23" x14ac:dyDescent="0.2">
      <c r="A200" s="6" t="s">
        <v>76</v>
      </c>
      <c r="B200" s="16">
        <v>526.91999999999996</v>
      </c>
      <c r="C200" s="16">
        <v>0</v>
      </c>
      <c r="D200" s="16">
        <v>0</v>
      </c>
      <c r="E200" s="16">
        <v>0</v>
      </c>
      <c r="F200" s="16">
        <v>0</v>
      </c>
      <c r="G200" s="16">
        <v>0</v>
      </c>
      <c r="H200" s="16">
        <v>288.45999999999998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238.46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</row>
    <row r="201" spans="1:23" x14ac:dyDescent="0.2">
      <c r="A201" s="6" t="s">
        <v>341</v>
      </c>
      <c r="B201" s="21">
        <v>11541.66</v>
      </c>
      <c r="C201" s="21">
        <v>0</v>
      </c>
      <c r="D201" s="21">
        <v>0</v>
      </c>
      <c r="E201" s="21">
        <v>0</v>
      </c>
      <c r="F201" s="21">
        <v>0</v>
      </c>
      <c r="G201" s="21">
        <v>0</v>
      </c>
      <c r="H201" s="21">
        <v>6078.3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5463.36</v>
      </c>
      <c r="O201" s="21">
        <v>0</v>
      </c>
      <c r="P201" s="21">
        <v>0</v>
      </c>
      <c r="Q201" s="21">
        <v>0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21">
        <v>0</v>
      </c>
    </row>
    <row r="202" spans="1:23" x14ac:dyDescent="0.2">
      <c r="A202" s="6" t="s">
        <v>342</v>
      </c>
      <c r="B202" s="15" t="s">
        <v>70</v>
      </c>
      <c r="C202" s="15" t="s">
        <v>70</v>
      </c>
      <c r="D202" s="15" t="s">
        <v>70</v>
      </c>
      <c r="E202" s="15" t="s">
        <v>70</v>
      </c>
      <c r="F202" s="15" t="s">
        <v>70</v>
      </c>
      <c r="G202" s="15" t="s">
        <v>70</v>
      </c>
      <c r="H202" s="15" t="s">
        <v>70</v>
      </c>
      <c r="I202" s="15" t="s">
        <v>70</v>
      </c>
      <c r="J202" s="15" t="s">
        <v>70</v>
      </c>
      <c r="K202" s="15" t="s">
        <v>70</v>
      </c>
      <c r="L202" s="15" t="s">
        <v>70</v>
      </c>
      <c r="M202" s="15" t="s">
        <v>70</v>
      </c>
      <c r="N202" s="15" t="s">
        <v>70</v>
      </c>
      <c r="O202" s="15" t="s">
        <v>70</v>
      </c>
      <c r="P202" s="15" t="s">
        <v>70</v>
      </c>
      <c r="Q202" s="15" t="s">
        <v>70</v>
      </c>
      <c r="R202" s="15" t="s">
        <v>70</v>
      </c>
      <c r="S202" s="15" t="s">
        <v>70</v>
      </c>
      <c r="T202" s="15" t="s">
        <v>70</v>
      </c>
      <c r="U202" s="15" t="s">
        <v>70</v>
      </c>
      <c r="V202" s="15" t="s">
        <v>70</v>
      </c>
      <c r="W202" s="15" t="s">
        <v>70</v>
      </c>
    </row>
    <row r="203" spans="1:23" x14ac:dyDescent="0.2">
      <c r="A203" s="6" t="s">
        <v>71</v>
      </c>
      <c r="B203" s="16">
        <v>27814.14</v>
      </c>
      <c r="C203" s="16">
        <v>0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3379.87</v>
      </c>
      <c r="K203" s="16">
        <v>2856.33</v>
      </c>
      <c r="L203" s="16">
        <v>4472.1400000000003</v>
      </c>
      <c r="M203" s="16">
        <v>2942.86</v>
      </c>
      <c r="N203" s="16">
        <v>2622.86</v>
      </c>
      <c r="O203" s="16">
        <v>3222.86</v>
      </c>
      <c r="P203" s="16">
        <v>4770.82</v>
      </c>
      <c r="Q203" s="16">
        <v>0</v>
      </c>
      <c r="R203" s="16">
        <v>0</v>
      </c>
      <c r="S203" s="16">
        <v>3546.4</v>
      </c>
      <c r="T203" s="16">
        <v>0</v>
      </c>
      <c r="U203" s="16">
        <v>0</v>
      </c>
      <c r="V203" s="16">
        <v>0</v>
      </c>
      <c r="W203" s="16">
        <v>0</v>
      </c>
    </row>
    <row r="204" spans="1:23" x14ac:dyDescent="0.2">
      <c r="A204" s="6" t="s">
        <v>72</v>
      </c>
      <c r="B204" s="16">
        <v>678.86</v>
      </c>
      <c r="C204" s="16">
        <v>0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417.38</v>
      </c>
      <c r="K204" s="16">
        <v>8.6199999999999992</v>
      </c>
      <c r="L204" s="16">
        <v>0</v>
      </c>
      <c r="M204" s="16">
        <v>0</v>
      </c>
      <c r="N204" s="16">
        <v>252.86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</row>
    <row r="205" spans="1:23" x14ac:dyDescent="0.2">
      <c r="A205" s="6" t="s">
        <v>74</v>
      </c>
      <c r="B205" s="16">
        <v>300</v>
      </c>
      <c r="C205" s="16">
        <v>0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300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</row>
    <row r="206" spans="1:23" x14ac:dyDescent="0.2">
      <c r="A206" s="6" t="s">
        <v>75</v>
      </c>
      <c r="B206" s="16">
        <v>1455.3</v>
      </c>
      <c r="C206" s="16">
        <v>0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134.24</v>
      </c>
      <c r="K206" s="16">
        <v>1018.95</v>
      </c>
      <c r="L206" s="16">
        <v>121.84</v>
      </c>
      <c r="M206" s="16">
        <v>216.06</v>
      </c>
      <c r="N206" s="16">
        <v>330.06</v>
      </c>
      <c r="O206" s="16">
        <v>184.62</v>
      </c>
      <c r="P206" s="16">
        <v>-796.88</v>
      </c>
      <c r="Q206" s="16">
        <v>0</v>
      </c>
      <c r="R206" s="16">
        <v>0</v>
      </c>
      <c r="S206" s="16">
        <v>246.41</v>
      </c>
      <c r="T206" s="16">
        <v>0</v>
      </c>
      <c r="U206" s="16">
        <v>0</v>
      </c>
      <c r="V206" s="16">
        <v>0</v>
      </c>
      <c r="W206" s="16">
        <v>0</v>
      </c>
    </row>
    <row r="207" spans="1:23" x14ac:dyDescent="0.2">
      <c r="A207" s="6" t="s">
        <v>76</v>
      </c>
      <c r="B207" s="16">
        <v>1087.68</v>
      </c>
      <c r="C207" s="16">
        <v>0</v>
      </c>
      <c r="D207" s="16">
        <v>0</v>
      </c>
      <c r="E207" s="16">
        <v>0</v>
      </c>
      <c r="F207" s="16">
        <v>0</v>
      </c>
      <c r="G207" s="16">
        <v>0</v>
      </c>
      <c r="H207" s="16">
        <v>0</v>
      </c>
      <c r="I207" s="16">
        <v>0</v>
      </c>
      <c r="J207" s="16">
        <v>141.75</v>
      </c>
      <c r="K207" s="16">
        <v>176.72</v>
      </c>
      <c r="L207" s="16">
        <v>211.52</v>
      </c>
      <c r="M207" s="16">
        <v>160</v>
      </c>
      <c r="N207" s="16">
        <v>0</v>
      </c>
      <c r="O207" s="16">
        <v>160</v>
      </c>
      <c r="P207" s="16">
        <v>237.69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</row>
    <row r="208" spans="1:23" x14ac:dyDescent="0.2">
      <c r="A208" s="6" t="s">
        <v>343</v>
      </c>
      <c r="B208" s="21">
        <v>31335.98</v>
      </c>
      <c r="C208" s="21">
        <v>0</v>
      </c>
      <c r="D208" s="21">
        <v>0</v>
      </c>
      <c r="E208" s="21">
        <v>0</v>
      </c>
      <c r="F208" s="21">
        <v>0</v>
      </c>
      <c r="G208" s="21">
        <v>0</v>
      </c>
      <c r="H208" s="21">
        <v>0</v>
      </c>
      <c r="I208" s="21">
        <v>0</v>
      </c>
      <c r="J208" s="21">
        <v>4073.24</v>
      </c>
      <c r="K208" s="21">
        <v>4060.62</v>
      </c>
      <c r="L208" s="21">
        <v>5105.5</v>
      </c>
      <c r="M208" s="21">
        <v>3318.92</v>
      </c>
      <c r="N208" s="21">
        <v>3205.78</v>
      </c>
      <c r="O208" s="21">
        <v>3567.48</v>
      </c>
      <c r="P208" s="21">
        <v>4211.63</v>
      </c>
      <c r="Q208" s="21">
        <v>0</v>
      </c>
      <c r="R208" s="21">
        <v>0</v>
      </c>
      <c r="S208" s="21">
        <v>3792.81</v>
      </c>
      <c r="T208" s="21">
        <v>0</v>
      </c>
      <c r="U208" s="21">
        <v>0</v>
      </c>
      <c r="V208" s="21">
        <v>0</v>
      </c>
      <c r="W208" s="21">
        <v>0</v>
      </c>
    </row>
    <row r="209" spans="1:23" x14ac:dyDescent="0.2">
      <c r="A209" s="6" t="s">
        <v>344</v>
      </c>
      <c r="B209" s="15" t="s">
        <v>70</v>
      </c>
      <c r="C209" s="15" t="s">
        <v>70</v>
      </c>
      <c r="D209" s="15" t="s">
        <v>70</v>
      </c>
      <c r="E209" s="15" t="s">
        <v>70</v>
      </c>
      <c r="F209" s="15" t="s">
        <v>70</v>
      </c>
      <c r="G209" s="15" t="s">
        <v>70</v>
      </c>
      <c r="H209" s="15" t="s">
        <v>70</v>
      </c>
      <c r="I209" s="15" t="s">
        <v>70</v>
      </c>
      <c r="J209" s="15" t="s">
        <v>70</v>
      </c>
      <c r="K209" s="15" t="s">
        <v>70</v>
      </c>
      <c r="L209" s="15" t="s">
        <v>70</v>
      </c>
      <c r="M209" s="15" t="s">
        <v>70</v>
      </c>
      <c r="N209" s="15" t="s">
        <v>70</v>
      </c>
      <c r="O209" s="15" t="s">
        <v>70</v>
      </c>
      <c r="P209" s="15" t="s">
        <v>70</v>
      </c>
      <c r="Q209" s="15" t="s">
        <v>70</v>
      </c>
      <c r="R209" s="15" t="s">
        <v>70</v>
      </c>
      <c r="S209" s="15" t="s">
        <v>70</v>
      </c>
      <c r="T209" s="15" t="s">
        <v>70</v>
      </c>
      <c r="U209" s="15" t="s">
        <v>70</v>
      </c>
      <c r="V209" s="15" t="s">
        <v>70</v>
      </c>
      <c r="W209" s="15" t="s">
        <v>70</v>
      </c>
    </row>
    <row r="210" spans="1:23" x14ac:dyDescent="0.2">
      <c r="A210" s="6" t="s">
        <v>71</v>
      </c>
      <c r="B210" s="16">
        <v>3624.17</v>
      </c>
      <c r="C210" s="16">
        <v>0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971.25</v>
      </c>
      <c r="M210" s="16">
        <v>0</v>
      </c>
      <c r="N210" s="16">
        <v>0</v>
      </c>
      <c r="O210" s="16">
        <v>0</v>
      </c>
      <c r="P210" s="16">
        <v>0</v>
      </c>
      <c r="Q210" s="16">
        <v>2652.92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</row>
    <row r="211" spans="1:23" x14ac:dyDescent="0.2">
      <c r="A211" s="6" t="s">
        <v>72</v>
      </c>
      <c r="B211" s="16">
        <v>40.99</v>
      </c>
      <c r="C211" s="16">
        <v>0</v>
      </c>
      <c r="D211" s="16">
        <v>0</v>
      </c>
      <c r="E211" s="16">
        <v>0</v>
      </c>
      <c r="F211" s="16">
        <v>0</v>
      </c>
      <c r="G211" s="16">
        <v>0</v>
      </c>
      <c r="H211" s="16">
        <v>0</v>
      </c>
      <c r="I211" s="16">
        <v>0</v>
      </c>
      <c r="J211" s="16">
        <v>0</v>
      </c>
      <c r="K211" s="16">
        <v>0</v>
      </c>
      <c r="L211" s="16">
        <v>0</v>
      </c>
      <c r="M211" s="16">
        <v>0</v>
      </c>
      <c r="N211" s="16">
        <v>0</v>
      </c>
      <c r="O211" s="16">
        <v>0</v>
      </c>
      <c r="P211" s="16">
        <v>0</v>
      </c>
      <c r="Q211" s="16">
        <v>40.99</v>
      </c>
      <c r="R211" s="16">
        <v>0</v>
      </c>
      <c r="S211" s="16">
        <v>0</v>
      </c>
      <c r="T211" s="16">
        <v>0</v>
      </c>
      <c r="U211" s="16">
        <v>0</v>
      </c>
      <c r="V211" s="16">
        <v>0</v>
      </c>
      <c r="W211" s="16">
        <v>0</v>
      </c>
    </row>
    <row r="212" spans="1:23" x14ac:dyDescent="0.2">
      <c r="A212" s="6" t="s">
        <v>75</v>
      </c>
      <c r="B212" s="16">
        <v>135.9</v>
      </c>
      <c r="C212" s="16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135.9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</row>
    <row r="213" spans="1:23" x14ac:dyDescent="0.2">
      <c r="A213" s="6" t="s">
        <v>76</v>
      </c>
      <c r="B213" s="16">
        <v>72.25</v>
      </c>
      <c r="C213" s="16">
        <v>0</v>
      </c>
      <c r="D213" s="16">
        <v>0</v>
      </c>
      <c r="E213" s="16">
        <v>0</v>
      </c>
      <c r="F213" s="16">
        <v>0</v>
      </c>
      <c r="G213" s="16">
        <v>0</v>
      </c>
      <c r="H213" s="16">
        <v>0</v>
      </c>
      <c r="I213" s="16">
        <v>0</v>
      </c>
      <c r="J213" s="16">
        <v>0</v>
      </c>
      <c r="K213" s="16">
        <v>0</v>
      </c>
      <c r="L213" s="16">
        <v>0</v>
      </c>
      <c r="M213" s="16">
        <v>0</v>
      </c>
      <c r="N213" s="16">
        <v>0</v>
      </c>
      <c r="O213" s="16">
        <v>0</v>
      </c>
      <c r="P213" s="16">
        <v>0</v>
      </c>
      <c r="Q213" s="16">
        <v>72.25</v>
      </c>
      <c r="R213" s="16">
        <v>0</v>
      </c>
      <c r="S213" s="16">
        <v>0</v>
      </c>
      <c r="T213" s="16">
        <v>0</v>
      </c>
      <c r="U213" s="16">
        <v>0</v>
      </c>
      <c r="V213" s="16">
        <v>0</v>
      </c>
      <c r="W213" s="16">
        <v>0</v>
      </c>
    </row>
    <row r="214" spans="1:23" x14ac:dyDescent="0.2">
      <c r="A214" s="6" t="s">
        <v>345</v>
      </c>
      <c r="B214" s="21">
        <v>3873.31</v>
      </c>
      <c r="C214" s="21">
        <v>0</v>
      </c>
      <c r="D214" s="21">
        <v>0</v>
      </c>
      <c r="E214" s="21">
        <v>0</v>
      </c>
      <c r="F214" s="21">
        <v>0</v>
      </c>
      <c r="G214" s="21">
        <v>0</v>
      </c>
      <c r="H214" s="21">
        <v>0</v>
      </c>
      <c r="I214" s="21">
        <v>0</v>
      </c>
      <c r="J214" s="21">
        <v>0</v>
      </c>
      <c r="K214" s="21">
        <v>0</v>
      </c>
      <c r="L214" s="21">
        <v>971.25</v>
      </c>
      <c r="M214" s="21">
        <v>0</v>
      </c>
      <c r="N214" s="21">
        <v>0</v>
      </c>
      <c r="O214" s="21">
        <v>0</v>
      </c>
      <c r="P214" s="21">
        <v>0</v>
      </c>
      <c r="Q214" s="21">
        <v>2902.06</v>
      </c>
      <c r="R214" s="21">
        <v>0</v>
      </c>
      <c r="S214" s="21">
        <v>0</v>
      </c>
      <c r="T214" s="21">
        <v>0</v>
      </c>
      <c r="U214" s="21">
        <v>0</v>
      </c>
      <c r="V214" s="21">
        <v>0</v>
      </c>
      <c r="W214" s="21">
        <v>0</v>
      </c>
    </row>
    <row r="215" spans="1:23" x14ac:dyDescent="0.2">
      <c r="A215" s="6" t="s">
        <v>346</v>
      </c>
      <c r="B215" s="15" t="s">
        <v>70</v>
      </c>
      <c r="C215" s="15" t="s">
        <v>70</v>
      </c>
      <c r="D215" s="15" t="s">
        <v>70</v>
      </c>
      <c r="E215" s="15" t="s">
        <v>70</v>
      </c>
      <c r="F215" s="15" t="s">
        <v>70</v>
      </c>
      <c r="G215" s="15" t="s">
        <v>70</v>
      </c>
      <c r="H215" s="15" t="s">
        <v>70</v>
      </c>
      <c r="I215" s="15" t="s">
        <v>70</v>
      </c>
      <c r="J215" s="15" t="s">
        <v>70</v>
      </c>
      <c r="K215" s="15" t="s">
        <v>70</v>
      </c>
      <c r="L215" s="15" t="s">
        <v>70</v>
      </c>
      <c r="M215" s="15" t="s">
        <v>70</v>
      </c>
      <c r="N215" s="15" t="s">
        <v>70</v>
      </c>
      <c r="O215" s="15" t="s">
        <v>70</v>
      </c>
      <c r="P215" s="15" t="s">
        <v>70</v>
      </c>
      <c r="Q215" s="15" t="s">
        <v>70</v>
      </c>
      <c r="R215" s="15" t="s">
        <v>70</v>
      </c>
      <c r="S215" s="15" t="s">
        <v>70</v>
      </c>
      <c r="T215" s="15" t="s">
        <v>70</v>
      </c>
      <c r="U215" s="15" t="s">
        <v>70</v>
      </c>
      <c r="V215" s="15" t="s">
        <v>70</v>
      </c>
      <c r="W215" s="15" t="s">
        <v>70</v>
      </c>
    </row>
    <row r="216" spans="1:23" x14ac:dyDescent="0.2">
      <c r="A216" s="6" t="s">
        <v>71</v>
      </c>
      <c r="B216" s="16">
        <v>23263.06</v>
      </c>
      <c r="C216" s="16">
        <v>1594.29</v>
      </c>
      <c r="D216" s="16">
        <v>2633.18</v>
      </c>
      <c r="E216" s="16">
        <v>1303.5</v>
      </c>
      <c r="F216" s="16">
        <v>3009.75</v>
      </c>
      <c r="G216" s="16">
        <v>4066.19</v>
      </c>
      <c r="H216" s="16">
        <v>2686.43</v>
      </c>
      <c r="I216" s="16">
        <v>3402.86</v>
      </c>
      <c r="J216" s="16">
        <v>0</v>
      </c>
      <c r="K216" s="16">
        <v>0</v>
      </c>
      <c r="L216" s="16">
        <v>0</v>
      </c>
      <c r="M216" s="16">
        <v>0</v>
      </c>
      <c r="N216" s="16">
        <v>0</v>
      </c>
      <c r="O216" s="16">
        <v>0</v>
      </c>
      <c r="P216" s="16">
        <v>0</v>
      </c>
      <c r="Q216" s="16">
        <v>4566.8599999999997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v>0</v>
      </c>
    </row>
    <row r="217" spans="1:23" x14ac:dyDescent="0.2">
      <c r="A217" s="6" t="s">
        <v>72</v>
      </c>
      <c r="B217" s="16">
        <v>201.93</v>
      </c>
      <c r="C217" s="16">
        <v>122.95</v>
      </c>
      <c r="D217" s="16">
        <v>0</v>
      </c>
      <c r="E217" s="16">
        <v>0</v>
      </c>
      <c r="F217" s="16">
        <v>5.0599999999999996</v>
      </c>
      <c r="G217" s="16">
        <v>0</v>
      </c>
      <c r="H217" s="16">
        <v>3.21</v>
      </c>
      <c r="I217" s="16">
        <v>70.709999999999994</v>
      </c>
      <c r="J217" s="16">
        <v>0</v>
      </c>
      <c r="K217" s="16">
        <v>0</v>
      </c>
      <c r="L217" s="16">
        <v>0</v>
      </c>
      <c r="M217" s="16">
        <v>0</v>
      </c>
      <c r="N217" s="16">
        <v>0</v>
      </c>
      <c r="O217" s="16">
        <v>0</v>
      </c>
      <c r="P217" s="16">
        <v>0</v>
      </c>
      <c r="Q217" s="16">
        <v>0</v>
      </c>
      <c r="R217" s="16">
        <v>0</v>
      </c>
      <c r="S217" s="16">
        <v>0</v>
      </c>
      <c r="T217" s="16">
        <v>0</v>
      </c>
      <c r="U217" s="16">
        <v>0</v>
      </c>
      <c r="V217" s="16">
        <v>0</v>
      </c>
      <c r="W217" s="16">
        <v>0</v>
      </c>
    </row>
    <row r="218" spans="1:23" x14ac:dyDescent="0.2">
      <c r="A218" s="6" t="s">
        <v>75</v>
      </c>
      <c r="B218" s="16">
        <v>1831.44</v>
      </c>
      <c r="C218" s="16">
        <v>649.01</v>
      </c>
      <c r="D218" s="16">
        <v>93.51</v>
      </c>
      <c r="E218" s="16">
        <v>29.42</v>
      </c>
      <c r="F218" s="16">
        <v>285.73</v>
      </c>
      <c r="G218" s="16">
        <v>0</v>
      </c>
      <c r="H218" s="16">
        <v>436.64</v>
      </c>
      <c r="I218" s="16">
        <v>62.98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274.14999999999998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</row>
    <row r="219" spans="1:23" x14ac:dyDescent="0.2">
      <c r="A219" s="6" t="s">
        <v>76</v>
      </c>
      <c r="B219" s="16">
        <v>924.32</v>
      </c>
      <c r="C219" s="16">
        <v>0</v>
      </c>
      <c r="D219" s="16">
        <v>136</v>
      </c>
      <c r="E219" s="16">
        <v>0</v>
      </c>
      <c r="F219" s="16">
        <v>168</v>
      </c>
      <c r="G219" s="16">
        <v>192.32</v>
      </c>
      <c r="H219" s="16">
        <v>160</v>
      </c>
      <c r="I219" s="16">
        <v>160</v>
      </c>
      <c r="J219" s="16">
        <v>0</v>
      </c>
      <c r="K219" s="16">
        <v>0</v>
      </c>
      <c r="L219" s="16">
        <v>0</v>
      </c>
      <c r="M219" s="16">
        <v>0</v>
      </c>
      <c r="N219" s="16">
        <v>0</v>
      </c>
      <c r="O219" s="16">
        <v>0</v>
      </c>
      <c r="P219" s="16">
        <v>0</v>
      </c>
      <c r="Q219" s="16">
        <v>108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v>0</v>
      </c>
    </row>
    <row r="220" spans="1:23" x14ac:dyDescent="0.2">
      <c r="A220" s="6" t="s">
        <v>347</v>
      </c>
      <c r="B220" s="21">
        <v>26220.75</v>
      </c>
      <c r="C220" s="21">
        <v>2366.25</v>
      </c>
      <c r="D220" s="21">
        <v>2862.69</v>
      </c>
      <c r="E220" s="21">
        <v>1332.92</v>
      </c>
      <c r="F220" s="21">
        <v>3468.54</v>
      </c>
      <c r="G220" s="21">
        <v>4258.51</v>
      </c>
      <c r="H220" s="21">
        <v>3286.28</v>
      </c>
      <c r="I220" s="21">
        <v>3696.55</v>
      </c>
      <c r="J220" s="21">
        <v>0</v>
      </c>
      <c r="K220" s="21">
        <v>0</v>
      </c>
      <c r="L220" s="21">
        <v>0</v>
      </c>
      <c r="M220" s="21">
        <v>0</v>
      </c>
      <c r="N220" s="21">
        <v>0</v>
      </c>
      <c r="O220" s="21">
        <v>0</v>
      </c>
      <c r="P220" s="21">
        <v>0</v>
      </c>
      <c r="Q220" s="21">
        <v>4949.01</v>
      </c>
      <c r="R220" s="21">
        <v>0</v>
      </c>
      <c r="S220" s="21">
        <v>0</v>
      </c>
      <c r="T220" s="21">
        <v>0</v>
      </c>
      <c r="U220" s="21">
        <v>0</v>
      </c>
      <c r="V220" s="21">
        <v>0</v>
      </c>
      <c r="W220" s="21">
        <v>0</v>
      </c>
    </row>
    <row r="221" spans="1:23" x14ac:dyDescent="0.2">
      <c r="A221" s="6" t="s">
        <v>348</v>
      </c>
      <c r="B221" s="15" t="s">
        <v>70</v>
      </c>
      <c r="C221" s="15" t="s">
        <v>70</v>
      </c>
      <c r="D221" s="15" t="s">
        <v>70</v>
      </c>
      <c r="E221" s="15" t="s">
        <v>70</v>
      </c>
      <c r="F221" s="15" t="s">
        <v>70</v>
      </c>
      <c r="G221" s="15" t="s">
        <v>70</v>
      </c>
      <c r="H221" s="15" t="s">
        <v>70</v>
      </c>
      <c r="I221" s="15" t="s">
        <v>70</v>
      </c>
      <c r="J221" s="15" t="s">
        <v>70</v>
      </c>
      <c r="K221" s="15" t="s">
        <v>70</v>
      </c>
      <c r="L221" s="15" t="s">
        <v>70</v>
      </c>
      <c r="M221" s="15" t="s">
        <v>70</v>
      </c>
      <c r="N221" s="15" t="s">
        <v>70</v>
      </c>
      <c r="O221" s="15" t="s">
        <v>70</v>
      </c>
      <c r="P221" s="15" t="s">
        <v>70</v>
      </c>
      <c r="Q221" s="15" t="s">
        <v>70</v>
      </c>
      <c r="R221" s="15" t="s">
        <v>70</v>
      </c>
      <c r="S221" s="15" t="s">
        <v>70</v>
      </c>
      <c r="T221" s="15" t="s">
        <v>70</v>
      </c>
      <c r="U221" s="15" t="s">
        <v>70</v>
      </c>
      <c r="V221" s="15" t="s">
        <v>70</v>
      </c>
      <c r="W221" s="15" t="s">
        <v>70</v>
      </c>
    </row>
    <row r="222" spans="1:23" x14ac:dyDescent="0.2">
      <c r="A222" s="6" t="s">
        <v>71</v>
      </c>
      <c r="B222" s="16">
        <v>11379.65</v>
      </c>
      <c r="C222" s="16">
        <v>0</v>
      </c>
      <c r="D222" s="16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3416.18</v>
      </c>
      <c r="O222" s="16">
        <v>0</v>
      </c>
      <c r="P222" s="16">
        <v>0</v>
      </c>
      <c r="Q222" s="16">
        <v>3798.29</v>
      </c>
      <c r="R222" s="16">
        <v>4165.18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</row>
    <row r="223" spans="1:23" x14ac:dyDescent="0.2">
      <c r="A223" s="6" t="s">
        <v>72</v>
      </c>
      <c r="B223" s="16">
        <v>462.35</v>
      </c>
      <c r="C223" s="16">
        <v>0</v>
      </c>
      <c r="D223" s="16">
        <v>0</v>
      </c>
      <c r="E223" s="16">
        <v>0</v>
      </c>
      <c r="F223" s="16">
        <v>0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462.35</v>
      </c>
      <c r="O223" s="16">
        <v>0</v>
      </c>
      <c r="P223" s="16">
        <v>0</v>
      </c>
      <c r="Q223" s="16">
        <v>0</v>
      </c>
      <c r="R223" s="16">
        <v>0</v>
      </c>
      <c r="S223" s="16">
        <v>0</v>
      </c>
      <c r="T223" s="16">
        <v>0</v>
      </c>
      <c r="U223" s="16">
        <v>0</v>
      </c>
      <c r="V223" s="16">
        <v>0</v>
      </c>
      <c r="W223" s="16">
        <v>0</v>
      </c>
    </row>
    <row r="224" spans="1:23" x14ac:dyDescent="0.2">
      <c r="A224" s="6" t="s">
        <v>75</v>
      </c>
      <c r="B224" s="16">
        <v>919.32</v>
      </c>
      <c r="C224" s="16">
        <v>0</v>
      </c>
      <c r="D224" s="16">
        <v>0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580.30999999999995</v>
      </c>
      <c r="O224" s="16">
        <v>0</v>
      </c>
      <c r="P224" s="16">
        <v>0</v>
      </c>
      <c r="Q224" s="16">
        <v>141.54</v>
      </c>
      <c r="R224" s="16">
        <v>197.47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</row>
    <row r="225" spans="1:23" x14ac:dyDescent="0.2">
      <c r="A225" s="6" t="s">
        <v>76</v>
      </c>
      <c r="B225" s="16">
        <v>398.63</v>
      </c>
      <c r="C225" s="16">
        <v>0</v>
      </c>
      <c r="D225" s="16">
        <v>0</v>
      </c>
      <c r="E225" s="16">
        <v>0</v>
      </c>
      <c r="F225" s="16">
        <v>0</v>
      </c>
      <c r="G225" s="16">
        <v>0</v>
      </c>
      <c r="H225" s="16">
        <v>0</v>
      </c>
      <c r="I225" s="16">
        <v>0</v>
      </c>
      <c r="J225" s="16">
        <v>0</v>
      </c>
      <c r="K225" s="16">
        <v>0</v>
      </c>
      <c r="L225" s="16">
        <v>0</v>
      </c>
      <c r="M225" s="16">
        <v>0</v>
      </c>
      <c r="N225" s="16">
        <v>66.63</v>
      </c>
      <c r="O225" s="16">
        <v>0</v>
      </c>
      <c r="P225" s="16">
        <v>0</v>
      </c>
      <c r="Q225" s="16">
        <v>92</v>
      </c>
      <c r="R225" s="16">
        <v>240</v>
      </c>
      <c r="S225" s="16">
        <v>0</v>
      </c>
      <c r="T225" s="16">
        <v>0</v>
      </c>
      <c r="U225" s="16">
        <v>0</v>
      </c>
      <c r="V225" s="16">
        <v>0</v>
      </c>
      <c r="W225" s="16">
        <v>0</v>
      </c>
    </row>
    <row r="226" spans="1:23" x14ac:dyDescent="0.2">
      <c r="A226" s="6" t="s">
        <v>349</v>
      </c>
      <c r="B226" s="21">
        <v>13159.95</v>
      </c>
      <c r="C226" s="21">
        <v>0</v>
      </c>
      <c r="D226" s="21">
        <v>0</v>
      </c>
      <c r="E226" s="21">
        <v>0</v>
      </c>
      <c r="F226" s="21">
        <v>0</v>
      </c>
      <c r="G226" s="21">
        <v>0</v>
      </c>
      <c r="H226" s="21">
        <v>0</v>
      </c>
      <c r="I226" s="21">
        <v>0</v>
      </c>
      <c r="J226" s="21">
        <v>0</v>
      </c>
      <c r="K226" s="21">
        <v>0</v>
      </c>
      <c r="L226" s="21">
        <v>0</v>
      </c>
      <c r="M226" s="21">
        <v>0</v>
      </c>
      <c r="N226" s="21">
        <v>4525.47</v>
      </c>
      <c r="O226" s="21">
        <v>0</v>
      </c>
      <c r="P226" s="21">
        <v>0</v>
      </c>
      <c r="Q226" s="21">
        <v>4031.83</v>
      </c>
      <c r="R226" s="21">
        <v>4602.6499999999996</v>
      </c>
      <c r="S226" s="21">
        <v>0</v>
      </c>
      <c r="T226" s="21">
        <v>0</v>
      </c>
      <c r="U226" s="21">
        <v>0</v>
      </c>
      <c r="V226" s="21">
        <v>0</v>
      </c>
      <c r="W226" s="21">
        <v>0</v>
      </c>
    </row>
    <row r="227" spans="1:23" x14ac:dyDescent="0.2">
      <c r="A227" s="6" t="s">
        <v>350</v>
      </c>
      <c r="B227" s="15" t="s">
        <v>70</v>
      </c>
      <c r="C227" s="15" t="s">
        <v>70</v>
      </c>
      <c r="D227" s="15" t="s">
        <v>70</v>
      </c>
      <c r="E227" s="15" t="s">
        <v>70</v>
      </c>
      <c r="F227" s="15" t="s">
        <v>70</v>
      </c>
      <c r="G227" s="15" t="s">
        <v>70</v>
      </c>
      <c r="H227" s="15" t="s">
        <v>70</v>
      </c>
      <c r="I227" s="15" t="s">
        <v>70</v>
      </c>
      <c r="J227" s="15" t="s">
        <v>70</v>
      </c>
      <c r="K227" s="15" t="s">
        <v>70</v>
      </c>
      <c r="L227" s="15" t="s">
        <v>70</v>
      </c>
      <c r="M227" s="15" t="s">
        <v>70</v>
      </c>
      <c r="N227" s="15" t="s">
        <v>70</v>
      </c>
      <c r="O227" s="15" t="s">
        <v>70</v>
      </c>
      <c r="P227" s="15" t="s">
        <v>70</v>
      </c>
      <c r="Q227" s="15" t="s">
        <v>70</v>
      </c>
      <c r="R227" s="15" t="s">
        <v>70</v>
      </c>
      <c r="S227" s="15" t="s">
        <v>70</v>
      </c>
      <c r="T227" s="15" t="s">
        <v>70</v>
      </c>
      <c r="U227" s="15" t="s">
        <v>70</v>
      </c>
      <c r="V227" s="15" t="s">
        <v>70</v>
      </c>
      <c r="W227" s="15" t="s">
        <v>70</v>
      </c>
    </row>
    <row r="228" spans="1:23" x14ac:dyDescent="0.2">
      <c r="A228" s="6" t="s">
        <v>71</v>
      </c>
      <c r="B228" s="16">
        <v>6.43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6.43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</row>
    <row r="229" spans="1:23" x14ac:dyDescent="0.2">
      <c r="A229" s="6" t="s">
        <v>351</v>
      </c>
      <c r="B229" s="21">
        <v>6.43</v>
      </c>
      <c r="C229" s="21">
        <v>0</v>
      </c>
      <c r="D229" s="21">
        <v>0</v>
      </c>
      <c r="E229" s="21">
        <v>0</v>
      </c>
      <c r="F229" s="21">
        <v>0</v>
      </c>
      <c r="G229" s="21">
        <v>0</v>
      </c>
      <c r="H229" s="21">
        <v>0</v>
      </c>
      <c r="I229" s="21">
        <v>0</v>
      </c>
      <c r="J229" s="21">
        <v>0</v>
      </c>
      <c r="K229" s="21">
        <v>0</v>
      </c>
      <c r="L229" s="21">
        <v>0</v>
      </c>
      <c r="M229" s="21">
        <v>6.43</v>
      </c>
      <c r="N229" s="21">
        <v>0</v>
      </c>
      <c r="O229" s="21">
        <v>0</v>
      </c>
      <c r="P229" s="21">
        <v>0</v>
      </c>
      <c r="Q229" s="21">
        <v>0</v>
      </c>
      <c r="R229" s="21">
        <v>0</v>
      </c>
      <c r="S229" s="21">
        <v>0</v>
      </c>
      <c r="T229" s="21">
        <v>0</v>
      </c>
      <c r="U229" s="21">
        <v>0</v>
      </c>
      <c r="V229" s="21">
        <v>0</v>
      </c>
      <c r="W229" s="21">
        <v>0</v>
      </c>
    </row>
    <row r="230" spans="1:23" x14ac:dyDescent="0.2">
      <c r="A230" s="6" t="s">
        <v>352</v>
      </c>
      <c r="B230" s="17">
        <v>3663052.49</v>
      </c>
      <c r="C230" s="17">
        <v>185014.72</v>
      </c>
      <c r="D230" s="17">
        <v>179237.68</v>
      </c>
      <c r="E230" s="17">
        <v>176023.45</v>
      </c>
      <c r="F230" s="17">
        <v>179832.34</v>
      </c>
      <c r="G230" s="17">
        <v>179346.31</v>
      </c>
      <c r="H230" s="17">
        <v>150550.13</v>
      </c>
      <c r="I230" s="17">
        <v>120828.21</v>
      </c>
      <c r="J230" s="17">
        <v>167779.18</v>
      </c>
      <c r="K230" s="17">
        <v>127729.73</v>
      </c>
      <c r="L230" s="17">
        <v>229773</v>
      </c>
      <c r="M230" s="17">
        <v>226560.79</v>
      </c>
      <c r="N230" s="17">
        <v>447800.85</v>
      </c>
      <c r="O230" s="17">
        <v>250648.8</v>
      </c>
      <c r="P230" s="17">
        <v>307600.28999999998</v>
      </c>
      <c r="Q230" s="17">
        <v>262759.88</v>
      </c>
      <c r="R230" s="17">
        <v>229172.28</v>
      </c>
      <c r="S230" s="17">
        <v>59030.82</v>
      </c>
      <c r="T230" s="17">
        <v>57808.62</v>
      </c>
      <c r="U230" s="17">
        <v>36546.46</v>
      </c>
      <c r="V230" s="17">
        <v>66433</v>
      </c>
      <c r="W230" s="17">
        <v>22575.95</v>
      </c>
    </row>
    <row r="231" spans="1:23" x14ac:dyDescent="0.2">
      <c r="A231" s="4" t="s">
        <v>6</v>
      </c>
    </row>
    <row r="232" spans="1:23" x14ac:dyDescent="0.2">
      <c r="A232" s="4" t="s">
        <v>6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Balance Sheet</vt:lpstr>
      <vt:lpstr>AC - Statement of Operations</vt:lpstr>
      <vt:lpstr>Operating Expenses by Departmen</vt:lpstr>
      <vt:lpstr>G&amp;A Expenses by Department</vt:lpstr>
      <vt:lpstr>Monthly Census by Payor</vt:lpstr>
      <vt:lpstr>Schedule of Resident Income</vt:lpstr>
      <vt:lpstr>Ancillary Expenses by Payor Sum</vt:lpstr>
      <vt:lpstr>Ancillary Expenses by Payor Det</vt:lpstr>
      <vt:lpstr>Payroll and Related Costs</vt:lpstr>
      <vt:lpstr>Salaries by Position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Yoseph Bromberg</dc:creator>
  <cp:keywords/>
  <dc:description/>
  <cp:lastModifiedBy>Yoseph Bromberg</cp:lastModifiedBy>
  <dcterms:created xsi:type="dcterms:W3CDTF">2025-07-11T19:29:46Z</dcterms:created>
  <dcterms:modified xsi:type="dcterms:W3CDTF">2025-07-11T20:00:48Z</dcterms:modified>
  <cp:category/>
  <cp:contentStatus/>
</cp:coreProperties>
</file>