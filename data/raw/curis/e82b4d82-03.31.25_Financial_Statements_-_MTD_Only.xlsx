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\\ad.aperioncare.com\files\FolderRedir\Cloud3\bgoldfarb\Documents\"/>
    </mc:Choice>
  </mc:AlternateContent>
  <xr:revisionPtr revIDLastSave="0" documentId="13_ncr:1_{5C218B05-134B-434B-8500-D2BA42AA86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" sheetId="10" r:id="rId1"/>
    <sheet name="AC - Statement of Operations" sheetId="1" r:id="rId2"/>
    <sheet name="Operating Expenses by Departmen" sheetId="2" r:id="rId3"/>
    <sheet name="G&amp;A Expenses by Department" sheetId="3" r:id="rId4"/>
    <sheet name="Monthly Census by Payor" sheetId="4" r:id="rId5"/>
    <sheet name="Schedule of Resident Income" sheetId="5" r:id="rId6"/>
    <sheet name="Ancillary Expenses by Payor Sum" sheetId="6" r:id="rId7"/>
    <sheet name="Ancillary Expenses by Payor Det" sheetId="7" r:id="rId8"/>
    <sheet name="Payroll and Related Costs" sheetId="8" r:id="rId9"/>
    <sheet name="Salaries by Position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D56" i="1"/>
  <c r="E56" i="1"/>
  <c r="F56" i="1"/>
  <c r="F57" i="1" s="1"/>
  <c r="G56" i="1"/>
  <c r="H56" i="1"/>
  <c r="I56" i="1"/>
  <c r="J56" i="1"/>
  <c r="J57" i="1" s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C57" i="1"/>
  <c r="D57" i="1"/>
  <c r="E57" i="1"/>
  <c r="G57" i="1"/>
  <c r="H57" i="1"/>
  <c r="I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B57" i="1"/>
  <c r="B56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B51" i="1"/>
</calcChain>
</file>

<file path=xl/sharedStrings.xml><?xml version="1.0" encoding="utf-8"?>
<sst xmlns="http://schemas.openxmlformats.org/spreadsheetml/2006/main" count="3052" uniqueCount="394">
  <si>
    <t>Petersen Group</t>
  </si>
  <si>
    <t>AC - Statement of Operations</t>
  </si>
  <si>
    <t>As of March 31, 2025</t>
  </si>
  <si>
    <t>As of Date:</t>
  </si>
  <si>
    <t>03/31/2025</t>
  </si>
  <si>
    <t>Facility Group:</t>
  </si>
  <si>
    <t xml:space="preserve"> </t>
  </si>
  <si>
    <t>Axiom Gardens Flora</t>
  </si>
  <si>
    <t>Axiom Flora</t>
  </si>
  <si>
    <t>Axiom Gardens Mount Vernon</t>
  </si>
  <si>
    <t>Axiom West Frankfort</t>
  </si>
  <si>
    <t>Axiom Mount Vernon</t>
  </si>
  <si>
    <t>Axiom Rosiclare</t>
  </si>
  <si>
    <t>Axiom Harrisburg</t>
  </si>
  <si>
    <t>Arcadia Aledo</t>
  </si>
  <si>
    <t>Avenues at Quad Cities</t>
  </si>
  <si>
    <t>Arcadia Havana</t>
  </si>
  <si>
    <t>Arcadia Kewanee</t>
  </si>
  <si>
    <t>Avenues at Royal Oaks</t>
  </si>
  <si>
    <t>Arcadia Toulon</t>
  </si>
  <si>
    <t>Arcadia Watseka</t>
  </si>
  <si>
    <t>Goldwater Peoria Heights</t>
  </si>
  <si>
    <t>Goldwater Roseville</t>
  </si>
  <si>
    <t>Gardens Kewanee</t>
  </si>
  <si>
    <t>Villas Bushnell</t>
  </si>
  <si>
    <t>Villas at Galva</t>
  </si>
  <si>
    <t>Villas Herscher</t>
  </si>
  <si>
    <t>Villas Kewanee</t>
  </si>
  <si>
    <t>Villas at Havana</t>
  </si>
  <si>
    <t>Month Ending</t>
  </si>
  <si>
    <t>Actual</t>
  </si>
  <si>
    <t xml:space="preserve">  Net Resident Income</t>
  </si>
  <si>
    <t xml:space="preserve">  </t>
  </si>
  <si>
    <t xml:space="preserve">    Gross Resident Income</t>
  </si>
  <si>
    <t xml:space="preserve">    Nursing Home Fee</t>
  </si>
  <si>
    <t xml:space="preserve">    Ancillary Expenses</t>
  </si>
  <si>
    <t xml:space="preserve">  Total Net Resident Income</t>
  </si>
  <si>
    <t xml:space="preserve">  Operating Expenses</t>
  </si>
  <si>
    <t xml:space="preserve">    Nursing Expenses</t>
  </si>
  <si>
    <t xml:space="preserve">    Housekeeping Expenses</t>
  </si>
  <si>
    <t xml:space="preserve">    Plant Expenses</t>
  </si>
  <si>
    <t xml:space="preserve">    Dietary Expenses</t>
  </si>
  <si>
    <t xml:space="preserve">    Employee Welfare Expenses</t>
  </si>
  <si>
    <t xml:space="preserve">    Laundry and Linen Expenses</t>
  </si>
  <si>
    <t xml:space="preserve">  Total Operating Expenses</t>
  </si>
  <si>
    <t xml:space="preserve">  Income Before General and Administrative Expenses</t>
  </si>
  <si>
    <t xml:space="preserve">  General and Administrative Expenses</t>
  </si>
  <si>
    <t xml:space="preserve">  Total Income Before Capital Expenses</t>
  </si>
  <si>
    <t xml:space="preserve">  Rent</t>
  </si>
  <si>
    <t xml:space="preserve">  Real Estate Tax - CY</t>
  </si>
  <si>
    <t xml:space="preserve">  Interest</t>
  </si>
  <si>
    <t xml:space="preserve">  Interest - Other</t>
  </si>
  <si>
    <t xml:space="preserve">  Depreciation</t>
  </si>
  <si>
    <t xml:space="preserve">  Amortization</t>
  </si>
  <si>
    <t xml:space="preserve">  Total Capital Expenses</t>
  </si>
  <si>
    <t xml:space="preserve">  Total Income Before Management Fees</t>
  </si>
  <si>
    <t xml:space="preserve">  Management Fees</t>
  </si>
  <si>
    <t xml:space="preserve">  Total Income Before Other Income</t>
  </si>
  <si>
    <t xml:space="preserve">  Other Income / Expenses</t>
  </si>
  <si>
    <t xml:space="preserve">    Interest Income</t>
  </si>
  <si>
    <t xml:space="preserve">    Early Payment Discounts</t>
  </si>
  <si>
    <t xml:space="preserve">    Other Unclassified Income</t>
  </si>
  <si>
    <t xml:space="preserve">    Barber/Beauty Income</t>
  </si>
  <si>
    <t xml:space="preserve">    Visitor / Employee Meals</t>
  </si>
  <si>
    <t xml:space="preserve">    ALF Application Fee Income</t>
  </si>
  <si>
    <t xml:space="preserve">    Day Care Income</t>
  </si>
  <si>
    <t xml:space="preserve">    QIP Revenue</t>
  </si>
  <si>
    <t xml:space="preserve">    C.N.A. Incentive Payments</t>
  </si>
  <si>
    <t xml:space="preserve">  Total Other Income / Expenses</t>
  </si>
  <si>
    <t xml:space="preserve">  Total Income Before Taxes</t>
  </si>
  <si>
    <t xml:space="preserve">  Net Income</t>
  </si>
  <si>
    <t>Operating Expenses by Department</t>
  </si>
  <si>
    <t xml:space="preserve">    </t>
  </si>
  <si>
    <t xml:space="preserve">      504000 - Salaries - Regular</t>
  </si>
  <si>
    <t xml:space="preserve">      504010 - Salaries - Overtime</t>
  </si>
  <si>
    <t xml:space="preserve">      504020 - Salaries - Sign on Bonus</t>
  </si>
  <si>
    <t xml:space="preserve">      504030 - Salaries - Other Bonus</t>
  </si>
  <si>
    <t xml:space="preserve">      504040 - Salaries - PTO</t>
  </si>
  <si>
    <t xml:space="preserve">      505000 - Medical and Nursing Supplies</t>
  </si>
  <si>
    <t xml:space="preserve">      505001 - Medical and Nursing Supplies-Covid</t>
  </si>
  <si>
    <t xml:space="preserve">      505015 - Durable Medical Equipment</t>
  </si>
  <si>
    <t xml:space="preserve">      505025 - Equipment Rental - Nursing</t>
  </si>
  <si>
    <t xml:space="preserve">      505075 - Activity Program Expense</t>
  </si>
  <si>
    <t xml:space="preserve">      505080 - Activities - Food</t>
  </si>
  <si>
    <t xml:space="preserve">      505150 - Incontinency Supplies</t>
  </si>
  <si>
    <t xml:space="preserve">      505225 - Oxygen</t>
  </si>
  <si>
    <t xml:space="preserve">      505250 - Patient Transportation</t>
  </si>
  <si>
    <t xml:space="preserve">      505325 - Respiratory Therapy</t>
  </si>
  <si>
    <t xml:space="preserve">      505350 - Temporary Nursing Agencies</t>
  </si>
  <si>
    <t xml:space="preserve">      505375 - Uniforms</t>
  </si>
  <si>
    <t xml:space="preserve">      505425 - Consultants - Activity</t>
  </si>
  <si>
    <t xml:space="preserve">      505500 - Consultants - Medical Director</t>
  </si>
  <si>
    <t xml:space="preserve">      505575 - Consultants - Pharmacy</t>
  </si>
  <si>
    <t xml:space="preserve">      505625 - Consultants - RN</t>
  </si>
  <si>
    <t xml:space="preserve">      505645 - Consultants - MDS</t>
  </si>
  <si>
    <t xml:space="preserve">      505675 - Consultants - Social Work</t>
  </si>
  <si>
    <t xml:space="preserve">    Total Nursing Expenses</t>
  </si>
  <si>
    <t xml:space="preserve">      506200 - Housekeeping Supplies</t>
  </si>
  <si>
    <t xml:space="preserve">    Total Housekeeping Expenses</t>
  </si>
  <si>
    <t xml:space="preserve">      506275 - Painting</t>
  </si>
  <si>
    <t xml:space="preserve">      506300 - Repairs &amp; Maintenance- Equipment</t>
  </si>
  <si>
    <t xml:space="preserve">      506325 - Repairs &amp; Maintenance - Building</t>
  </si>
  <si>
    <t xml:space="preserve">      506350 - Repairs &amp; Maintenance- Elevator</t>
  </si>
  <si>
    <t xml:space="preserve">      506375 - Building Maintenance &amp; Supplies</t>
  </si>
  <si>
    <t xml:space="preserve">      506400 - Equipment Rental - Building</t>
  </si>
  <si>
    <t xml:space="preserve">      506425 - Snow Removal</t>
  </si>
  <si>
    <t xml:space="preserve">      506475 - Exterminating Services</t>
  </si>
  <si>
    <t xml:space="preserve">      506500 - Fire Service</t>
  </si>
  <si>
    <t xml:space="preserve">      506525 - Scavenger - Regular Waste</t>
  </si>
  <si>
    <t xml:space="preserve">      506550 - Scavenger - Medical Waste</t>
  </si>
  <si>
    <t xml:space="preserve">      506600 - Electricity</t>
  </si>
  <si>
    <t xml:space="preserve">      506625 - Gas Heat</t>
  </si>
  <si>
    <t xml:space="preserve">      506650 - Water</t>
  </si>
  <si>
    <t xml:space="preserve">    Total Plant Expenses</t>
  </si>
  <si>
    <t xml:space="preserve">      507200 - Food</t>
  </si>
  <si>
    <t xml:space="preserve">      507225 - Nutritional &amp; Supplements</t>
  </si>
  <si>
    <t xml:space="preserve">      507250 - Tube Feeding Supplies</t>
  </si>
  <si>
    <t xml:space="preserve">      507275 - Dietary Supplies</t>
  </si>
  <si>
    <t xml:space="preserve">      507300 - Kitchen Supplies</t>
  </si>
  <si>
    <t xml:space="preserve">      507325 - Kitchen Chemicals</t>
  </si>
  <si>
    <t xml:space="preserve">      507350 - Repairs &amp; Maintenance - Dietary</t>
  </si>
  <si>
    <t xml:space="preserve">      507375 - Equipment Rental - Dietary</t>
  </si>
  <si>
    <t xml:space="preserve">      507425 - Consultant - Dietary</t>
  </si>
  <si>
    <t xml:space="preserve">    Total Dietary Expenses</t>
  </si>
  <si>
    <t xml:space="preserve">      504100 - Payroll Tax -FICA</t>
  </si>
  <si>
    <t xml:space="preserve">      504110 - Payroll Tax - SUTA</t>
  </si>
  <si>
    <t xml:space="preserve">      504120 - Payroll Tax - FUTA</t>
  </si>
  <si>
    <t xml:space="preserve">      504130 - Workmans Comp Insurance</t>
  </si>
  <si>
    <t xml:space="preserve">      504150 - Health Insurance - Non-Union</t>
  </si>
  <si>
    <t xml:space="preserve">      504180 - Life Insurance Expense</t>
  </si>
  <si>
    <t xml:space="preserve">      504190 - Employee Background/Fingerprint</t>
  </si>
  <si>
    <t xml:space="preserve">      504200 - Employee Physicals</t>
  </si>
  <si>
    <t xml:space="preserve">      504210 - Employee Want Ads</t>
  </si>
  <si>
    <t xml:space="preserve">      504220 - Employee Recruiting Expense</t>
  </si>
  <si>
    <t xml:space="preserve">      504230 - Employee Meals</t>
  </si>
  <si>
    <t xml:space="preserve">      504240 - Employee Benefits - Other</t>
  </si>
  <si>
    <t xml:space="preserve">    Total Employee Welfare Expenses</t>
  </si>
  <si>
    <t xml:space="preserve">      507525 - Laundry Supplies</t>
  </si>
  <si>
    <t xml:space="preserve">      507600 - Linen Replacement</t>
  </si>
  <si>
    <t xml:space="preserve">    Total Laundry and Linen Expenses</t>
  </si>
  <si>
    <t>G&amp;A Expenses by Department</t>
  </si>
  <si>
    <t xml:space="preserve">    Marketing Expenses</t>
  </si>
  <si>
    <t xml:space="preserve">      508150 - Advertising/Marketing</t>
  </si>
  <si>
    <t xml:space="preserve">      508175 - Marketing - Food</t>
  </si>
  <si>
    <t xml:space="preserve">    Total Marketing Expenses</t>
  </si>
  <si>
    <t xml:space="preserve">    G&amp;A Dept Expenses</t>
  </si>
  <si>
    <t xml:space="preserve">      508095 - Consultants- Centralized Admissions Fees</t>
  </si>
  <si>
    <t xml:space="preserve">      508250 - Auto Repairs / Maintenance</t>
  </si>
  <si>
    <t xml:space="preserve">      508275 - Bank Charges</t>
  </si>
  <si>
    <t xml:space="preserve">      508300 - Credit Card Processing</t>
  </si>
  <si>
    <t xml:space="preserve">      508350 - Data Processing Fees</t>
  </si>
  <si>
    <t xml:space="preserve">      508425 - Cable TV - Service</t>
  </si>
  <si>
    <t xml:space="preserve">      508500 - Dues &amp; Subscriptions</t>
  </si>
  <si>
    <t xml:space="preserve">      508525 - Education &amp; Seminars</t>
  </si>
  <si>
    <t xml:space="preserve">      508575 - Entertainment - Non Patient Related</t>
  </si>
  <si>
    <t xml:space="preserve">      508600 - Entertainment - Patient Related</t>
  </si>
  <si>
    <t xml:space="preserve">      508625 - Fingerprint/Bckgrd - Resident</t>
  </si>
  <si>
    <t xml:space="preserve">      508650 - General Insurance</t>
  </si>
  <si>
    <t xml:space="preserve">      508700 - Bookeeping Fees</t>
  </si>
  <si>
    <t xml:space="preserve">      508725 - Internet Services</t>
  </si>
  <si>
    <t xml:space="preserve">      508800 - Licenses and permits</t>
  </si>
  <si>
    <t xml:space="preserve">      508850 - Office Expense</t>
  </si>
  <si>
    <t xml:space="preserve">      508875 - Office Equipment Rental</t>
  </si>
  <si>
    <t xml:space="preserve">      508900 - Office Equip Repairs &amp; Maint</t>
  </si>
  <si>
    <t xml:space="preserve">      508925 - Holiday Expenses</t>
  </si>
  <si>
    <t xml:space="preserve">      508960 - Late Fees</t>
  </si>
  <si>
    <t xml:space="preserve">      509000 - Payroll Processing</t>
  </si>
  <si>
    <t xml:space="preserve">      509050 - Postage</t>
  </si>
  <si>
    <t xml:space="preserve">      509150 - Telephone</t>
  </si>
  <si>
    <t xml:space="preserve">      509175 - Theft &amp; Damage Loss</t>
  </si>
  <si>
    <t xml:space="preserve">      509200 - Patient Related Expenses</t>
  </si>
  <si>
    <t xml:space="preserve">      509225 - Travel - Staff</t>
  </si>
  <si>
    <t xml:space="preserve">      509250 - Bad debts Write-Off</t>
  </si>
  <si>
    <t xml:space="preserve">      509375 - Facility Apartment Expenses</t>
  </si>
  <si>
    <t xml:space="preserve">      509850 - Sales / Use Tax</t>
  </si>
  <si>
    <t xml:space="preserve">    Other Professional</t>
  </si>
  <si>
    <t xml:space="preserve">  Total General and Administrative Expenses</t>
  </si>
  <si>
    <t>Curis Services</t>
  </si>
  <si>
    <t>Monthly Census by Payor</t>
  </si>
  <si>
    <t>Total Resident Days</t>
  </si>
  <si>
    <t>Current Avg Resident</t>
  </si>
  <si>
    <t xml:space="preserve">  Census</t>
  </si>
  <si>
    <t xml:space="preserve">    Private</t>
  </si>
  <si>
    <t xml:space="preserve">    Medicaid</t>
  </si>
  <si>
    <t xml:space="preserve">    Hospice Medicaid</t>
  </si>
  <si>
    <t xml:space="preserve">    Medicaid Pending</t>
  </si>
  <si>
    <t xml:space="preserve">    Medicare - Part A</t>
  </si>
  <si>
    <t xml:space="preserve">    Insurance - Commercial</t>
  </si>
  <si>
    <t xml:space="preserve">    ALF - Private</t>
  </si>
  <si>
    <t xml:space="preserve">    Managed Medicaid</t>
  </si>
  <si>
    <t xml:space="preserve">    Medicaid MMAI</t>
  </si>
  <si>
    <t xml:space="preserve">    Medicare Advantage</t>
  </si>
  <si>
    <t xml:space="preserve">    Medicare MMAI</t>
  </si>
  <si>
    <t xml:space="preserve">  Total Census</t>
  </si>
  <si>
    <t>Schedule of Resident Income</t>
  </si>
  <si>
    <t>Per Resident Day</t>
  </si>
  <si>
    <t xml:space="preserve">  Resident Income Detail</t>
  </si>
  <si>
    <t xml:space="preserve">    Resident Income Private</t>
  </si>
  <si>
    <t xml:space="preserve">    Resident Income Medicaid</t>
  </si>
  <si>
    <t xml:space="preserve">    Resident Income Medicare - Part A</t>
  </si>
  <si>
    <t xml:space="preserve">    Resident Income Insurance - Commercial</t>
  </si>
  <si>
    <t xml:space="preserve">    Resident Income Medicare - Part B</t>
  </si>
  <si>
    <t xml:space="preserve">    Resident Income ALF - Private</t>
  </si>
  <si>
    <t xml:space="preserve">    Resident Income Managed Medicaid</t>
  </si>
  <si>
    <t xml:space="preserve">    Resident Income Medicare Advantage</t>
  </si>
  <si>
    <t xml:space="preserve">  Total Resident Income Detail</t>
  </si>
  <si>
    <t>Ancillary Expenses by Payor Summary</t>
  </si>
  <si>
    <t xml:space="preserve">  Ancillary Expense Detail</t>
  </si>
  <si>
    <t xml:space="preserve">    Ancillary Expense Private</t>
  </si>
  <si>
    <t xml:space="preserve">    Ancillary Expense Medicaid</t>
  </si>
  <si>
    <t xml:space="preserve">    Ancillary Expense Medicare - Part A</t>
  </si>
  <si>
    <t xml:space="preserve">    Ancillary Expense Insurance - Commercial</t>
  </si>
  <si>
    <t xml:space="preserve">    Ancillary Expense Medicare - Part B</t>
  </si>
  <si>
    <t xml:space="preserve">    Ancillary Expense Managed Medicaid</t>
  </si>
  <si>
    <t xml:space="preserve">    Ancillary Expense No Payor</t>
  </si>
  <si>
    <t xml:space="preserve">  Total Ancillary Expense Detail</t>
  </si>
  <si>
    <t>Ancillary Expenses by Payor Detail</t>
  </si>
  <si>
    <t xml:space="preserve">      503100 - Ancillary Costs - Physical Therapy</t>
  </si>
  <si>
    <t xml:space="preserve">      503125 - Ancillary Costs - Occupational Therapy</t>
  </si>
  <si>
    <t xml:space="preserve">      503150 - Ancillary Costs - Speech Therapy</t>
  </si>
  <si>
    <t xml:space="preserve">    Total Ancillary Expense Private</t>
  </si>
  <si>
    <t xml:space="preserve">    Total Ancillary Expense Medicaid</t>
  </si>
  <si>
    <t xml:space="preserve">    Total Ancillary Expense Medicare - Part A</t>
  </si>
  <si>
    <t xml:space="preserve">    Total Ancillary Expense Insurance - Commercial</t>
  </si>
  <si>
    <t xml:space="preserve">    Total Ancillary Expense Medicare - Part B</t>
  </si>
  <si>
    <t xml:space="preserve">    Total Ancillary Expense Managed Medicaid</t>
  </si>
  <si>
    <t xml:space="preserve">      503000 - Ancillary Costs - Medical Supplies</t>
  </si>
  <si>
    <t xml:space="preserve">      503025 - Ancillary Costs - Pharmacy</t>
  </si>
  <si>
    <t xml:space="preserve">      503050 - Ancillary Costs - Radiology/Telemetry/EKG</t>
  </si>
  <si>
    <t xml:space="preserve">      503075 - Ancillary Costs - Laboratory</t>
  </si>
  <si>
    <t xml:space="preserve">      503175 - Ancillary Costs - Respiratory Services</t>
  </si>
  <si>
    <t xml:space="preserve">      503200 - Ancillary Costs - Rentals</t>
  </si>
  <si>
    <t xml:space="preserve">      503250 - Ancillary Costs - Nursing Services</t>
  </si>
  <si>
    <t xml:space="preserve">      503300 - Ancillary Costs - Wound Therapy</t>
  </si>
  <si>
    <t xml:space="preserve">    Total Ancillary Expense No Payor</t>
  </si>
  <si>
    <t>Payroll and Related Costs</t>
  </si>
  <si>
    <t xml:space="preserve">  Payroll and Payroll Related Costs</t>
  </si>
  <si>
    <t xml:space="preserve">    Salaries</t>
  </si>
  <si>
    <t xml:space="preserve">      Director of Nursing</t>
  </si>
  <si>
    <t xml:space="preserve">      Asst. Director of Nursing</t>
  </si>
  <si>
    <t xml:space="preserve">      Nurse Supervisor</t>
  </si>
  <si>
    <t xml:space="preserve">      Registered Nurse</t>
  </si>
  <si>
    <t xml:space="preserve">      Wound Care Nurse</t>
  </si>
  <si>
    <t xml:space="preserve">      Quality Assurance</t>
  </si>
  <si>
    <t xml:space="preserve">      MDS Coordinator</t>
  </si>
  <si>
    <t xml:space="preserve">      Licensed Practical Nurse</t>
  </si>
  <si>
    <t xml:space="preserve">      Certified Nurse Aide</t>
  </si>
  <si>
    <t xml:space="preserve">      Social Services Director</t>
  </si>
  <si>
    <t xml:space="preserve">      Social Service Designee</t>
  </si>
  <si>
    <t xml:space="preserve">      Activity Director</t>
  </si>
  <si>
    <t xml:space="preserve">      Activity Assistant</t>
  </si>
  <si>
    <t xml:space="preserve">      Resident Escort/Assistant</t>
  </si>
  <si>
    <t xml:space="preserve">      Bus Driver</t>
  </si>
  <si>
    <t xml:space="preserve">      Housekeeping Supervisor</t>
  </si>
  <si>
    <t xml:space="preserve">      Housekeeping Staff</t>
  </si>
  <si>
    <t xml:space="preserve">      Maintenance Supervisor</t>
  </si>
  <si>
    <t xml:space="preserve">      Maintenance Staff</t>
  </si>
  <si>
    <t xml:space="preserve">      Dietary Manager</t>
  </si>
  <si>
    <t xml:space="preserve">      Asst. Dietery Manager</t>
  </si>
  <si>
    <t xml:space="preserve">      Dietary Aides</t>
  </si>
  <si>
    <t xml:space="preserve">      Cooks</t>
  </si>
  <si>
    <t xml:space="preserve">      Laundry Staff</t>
  </si>
  <si>
    <t xml:space="preserve">      Marketing Coordinator</t>
  </si>
  <si>
    <t xml:space="preserve">      Medical Records Staff</t>
  </si>
  <si>
    <t xml:space="preserve">      Administrator</t>
  </si>
  <si>
    <t xml:space="preserve">      Business Office Manager</t>
  </si>
  <si>
    <t xml:space="preserve">      Receptionist</t>
  </si>
  <si>
    <t xml:space="preserve">      Financial Coordinator</t>
  </si>
  <si>
    <t xml:space="preserve">      Human Resource</t>
  </si>
  <si>
    <t xml:space="preserve">    Total Salaries</t>
  </si>
  <si>
    <t xml:space="preserve">    Payroll Related Costs</t>
  </si>
  <si>
    <t xml:space="preserve">      Payroll Taxes</t>
  </si>
  <si>
    <t xml:space="preserve">      Other Employee Costs</t>
  </si>
  <si>
    <t xml:space="preserve">    Total Payroll Related Costs</t>
  </si>
  <si>
    <t xml:space="preserve">  Total Payroll and Payroll Related Costs</t>
  </si>
  <si>
    <t>Salaries by Position</t>
  </si>
  <si>
    <t xml:space="preserve">  Salaries by Position Detail</t>
  </si>
  <si>
    <t xml:space="preserve">    Salaries Director of Nursing</t>
  </si>
  <si>
    <t xml:space="preserve">    Total Salaries Director of Nursing</t>
  </si>
  <si>
    <t xml:space="preserve">    Salaries Asst. Director of Nursing</t>
  </si>
  <si>
    <t xml:space="preserve">    Total Salaries Asst. Director of Nursing</t>
  </si>
  <si>
    <t xml:space="preserve">    Salaries Nurse Supervisor</t>
  </si>
  <si>
    <t xml:space="preserve">    Total Salaries Nurse Supervisor</t>
  </si>
  <si>
    <t xml:space="preserve">    Salaries Registered Nurse</t>
  </si>
  <si>
    <t xml:space="preserve">    Total Salaries Registered Nurse</t>
  </si>
  <si>
    <t xml:space="preserve">    Salaries Wound Care Nurse</t>
  </si>
  <si>
    <t xml:space="preserve">    Total Salaries Wound Care Nurse</t>
  </si>
  <si>
    <t xml:space="preserve">    Salaries Quality Assurance</t>
  </si>
  <si>
    <t xml:space="preserve">    Total Salaries Quality Assurance</t>
  </si>
  <si>
    <t xml:space="preserve">    Salaries MDS Coordinator</t>
  </si>
  <si>
    <t xml:space="preserve">    Total Salaries MDS Coordinator</t>
  </si>
  <si>
    <t xml:space="preserve">    Salaries Licensed Practical Nurse</t>
  </si>
  <si>
    <t xml:space="preserve">    Total Salaries Licensed Practical Nurse</t>
  </si>
  <si>
    <t xml:space="preserve">    Salaries Certified Nurse Aide</t>
  </si>
  <si>
    <t xml:space="preserve">    Total Salaries Certified Nurse Aide</t>
  </si>
  <si>
    <t xml:space="preserve">    Salaries Social Services Director</t>
  </si>
  <si>
    <t xml:space="preserve">    Total Salaries Social Services Director</t>
  </si>
  <si>
    <t xml:space="preserve">    Salaries Social Service Designee</t>
  </si>
  <si>
    <t xml:space="preserve">    Total Salaries Social Service Designee</t>
  </si>
  <si>
    <t xml:space="preserve">    Salaries Activity Director</t>
  </si>
  <si>
    <t xml:space="preserve">    Total Salaries Activity Director</t>
  </si>
  <si>
    <t xml:space="preserve">    Salaries Activity Assistant</t>
  </si>
  <si>
    <t xml:space="preserve">    Total Salaries Activity Assistant</t>
  </si>
  <si>
    <t xml:space="preserve">    Salaries Resident Escort/Assistant</t>
  </si>
  <si>
    <t xml:space="preserve">    Total Salaries Resident Escort/Assistant</t>
  </si>
  <si>
    <t xml:space="preserve">    Salaries Bus Driver</t>
  </si>
  <si>
    <t xml:space="preserve">    Total Salaries Bus Driver</t>
  </si>
  <si>
    <t xml:space="preserve">    Salaries Housekeeping Supervisor</t>
  </si>
  <si>
    <t xml:space="preserve">    Total Salaries Housekeeping Supervisor</t>
  </si>
  <si>
    <t xml:space="preserve">    Salaries Housekeeping Staff</t>
  </si>
  <si>
    <t xml:space="preserve">    Total Salaries Housekeeping Staff</t>
  </si>
  <si>
    <t xml:space="preserve">    Salaries Maintenance Supervisor</t>
  </si>
  <si>
    <t xml:space="preserve">    Total Salaries Maintenance Supervisor</t>
  </si>
  <si>
    <t xml:space="preserve">    Salaries Maintenance Staff</t>
  </si>
  <si>
    <t xml:space="preserve">    Total Salaries Maintenance Staff</t>
  </si>
  <si>
    <t xml:space="preserve">    Salaries Dietary Manager</t>
  </si>
  <si>
    <t xml:space="preserve">    Total Salaries Dietary Manager</t>
  </si>
  <si>
    <t xml:space="preserve">    Salaries Asst. Dietery Manager</t>
  </si>
  <si>
    <t xml:space="preserve">    Total Salaries Asst. Dietery Manager</t>
  </si>
  <si>
    <t xml:space="preserve">    Salaries Dietary Aides</t>
  </si>
  <si>
    <t xml:space="preserve">    Total Salaries Dietary Aides</t>
  </si>
  <si>
    <t xml:space="preserve">    Salaries Cooks</t>
  </si>
  <si>
    <t xml:space="preserve">    Total Salaries Cooks</t>
  </si>
  <si>
    <t xml:space="preserve">    Salaries Laundry Staff</t>
  </si>
  <si>
    <t xml:space="preserve">    Total Salaries Laundry Staff</t>
  </si>
  <si>
    <t xml:space="preserve">    Salaries Marketing Coordinator</t>
  </si>
  <si>
    <t xml:space="preserve">    Total Salaries Marketing Coordinator</t>
  </si>
  <si>
    <t xml:space="preserve">    Salaries Medical Records Staff</t>
  </si>
  <si>
    <t xml:space="preserve">    Total Salaries Medical Records Staff</t>
  </si>
  <si>
    <t xml:space="preserve">    Salaries Administrator</t>
  </si>
  <si>
    <t xml:space="preserve">    Total Salaries Administrator</t>
  </si>
  <si>
    <t xml:space="preserve">    Salaries Business Office Manager</t>
  </si>
  <si>
    <t xml:space="preserve">    Total Salaries Business Office Manager</t>
  </si>
  <si>
    <t xml:space="preserve">    Salaries Receptionist</t>
  </si>
  <si>
    <t xml:space="preserve">    Total Salaries Receptionist</t>
  </si>
  <si>
    <t xml:space="preserve">    Salaries Financial Coordinator</t>
  </si>
  <si>
    <t xml:space="preserve">    Total Salaries Financial Coordinator</t>
  </si>
  <si>
    <t xml:space="preserve">    Salaries Human Resource</t>
  </si>
  <si>
    <t xml:space="preserve">    Total Salaries Human Resource</t>
  </si>
  <si>
    <t xml:space="preserve">  Total Salaries by Position Detail</t>
  </si>
  <si>
    <t>EBITDAR</t>
  </si>
  <si>
    <t>Related Party/Non Recurring Addbacks</t>
  </si>
  <si>
    <t>Home Office</t>
  </si>
  <si>
    <t>Nurse Consultant</t>
  </si>
  <si>
    <t>Total Addbacks</t>
  </si>
  <si>
    <t>EBITDAR With Related Party Addbacks</t>
  </si>
  <si>
    <t>Balance Sheet</t>
  </si>
  <si>
    <t>All Facilities</t>
  </si>
  <si>
    <t>Year To Date</t>
  </si>
  <si>
    <t xml:space="preserve">  Assets</t>
  </si>
  <si>
    <t xml:space="preserve">    Current Assets</t>
  </si>
  <si>
    <t xml:space="preserve">      Cash and Cash Equivalents</t>
  </si>
  <si>
    <t xml:space="preserve">      Accounts Receivable, Net</t>
  </si>
  <si>
    <t xml:space="preserve">      Prepaid Expenses</t>
  </si>
  <si>
    <t xml:space="preserve">      Intercompany Receivable</t>
  </si>
  <si>
    <t xml:space="preserve">      Other Current Assets</t>
  </si>
  <si>
    <t xml:space="preserve">    Total Current Assets</t>
  </si>
  <si>
    <t xml:space="preserve">    Fixed Assets, Net</t>
  </si>
  <si>
    <t xml:space="preserve">      Fixed Assets</t>
  </si>
  <si>
    <t xml:space="preserve">      </t>
  </si>
  <si>
    <t xml:space="preserve">        108050 - Building Improvements</t>
  </si>
  <si>
    <t xml:space="preserve">        108150 - Furniture, Fixture, Equipment</t>
  </si>
  <si>
    <t xml:space="preserve">        108200 - Vehicle</t>
  </si>
  <si>
    <t xml:space="preserve">        108250 - Deposits on Fixed Assets</t>
  </si>
  <si>
    <t xml:space="preserve">        108300 - Construction in Process</t>
  </si>
  <si>
    <t xml:space="preserve">      Total Fixed Assets</t>
  </si>
  <si>
    <t xml:space="preserve">      Accumulated Depreciation</t>
  </si>
  <si>
    <t xml:space="preserve">    Total Fixed Assets, Net</t>
  </si>
  <si>
    <t xml:space="preserve">    Intangible Assets, Net</t>
  </si>
  <si>
    <t xml:space="preserve">      Amortization</t>
  </si>
  <si>
    <t xml:space="preserve">    Total Intangible Assets, Net</t>
  </si>
  <si>
    <t xml:space="preserve">    Other Assets</t>
  </si>
  <si>
    <t xml:space="preserve">      Deposits and Prepayments</t>
  </si>
  <si>
    <t xml:space="preserve">      Other Assets</t>
  </si>
  <si>
    <t xml:space="preserve">    Total Other Assets</t>
  </si>
  <si>
    <t xml:space="preserve">  Total Assets</t>
  </si>
  <si>
    <t xml:space="preserve">  Liabilities and Equity</t>
  </si>
  <si>
    <t xml:space="preserve">    Liabilities</t>
  </si>
  <si>
    <t xml:space="preserve">      Current Liabilities</t>
  </si>
  <si>
    <t xml:space="preserve">        Accounts Payable</t>
  </si>
  <si>
    <t xml:space="preserve">        Accrued Liabilities</t>
  </si>
  <si>
    <t xml:space="preserve">        Loan Payable</t>
  </si>
  <si>
    <t xml:space="preserve">        Other Current Liabilities</t>
  </si>
  <si>
    <t xml:space="preserve">      Total Current Liabilities</t>
  </si>
  <si>
    <t xml:space="preserve">    Total Liabilities</t>
  </si>
  <si>
    <t xml:space="preserve">    Stockholders Equity</t>
  </si>
  <si>
    <t xml:space="preserve">      Partners Equity</t>
  </si>
  <si>
    <t xml:space="preserve">        303000 - Member Distributions</t>
  </si>
  <si>
    <t xml:space="preserve">      Total Partners Equity</t>
  </si>
  <si>
    <t xml:space="preserve">      Retained Earnings</t>
  </si>
  <si>
    <t xml:space="preserve">      Net Income (Loss)</t>
  </si>
  <si>
    <t xml:space="preserve">    Total Stockholders Equity</t>
  </si>
  <si>
    <t xml:space="preserve">  Total Liabilities and Equity</t>
  </si>
  <si>
    <t>Created on : 05/09/2025 7:59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</si>
</sst>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9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Helvetica"/>
      <family val="2"/>
    </font>
    <font>
      <sz val="6"/>
      <name val="Helvetica"/>
      <family val="2"/>
    </font>
    <font>
      <b/>
      <sz val="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2" fillId="2" borderId="4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2" fillId="2" borderId="3" xfId="0" applyNumberFormat="1" applyFont="1" applyFill="1" applyBorder="1" applyAlignment="1">
      <alignment horizontal="right"/>
    </xf>
    <xf numFmtId="164" fontId="0" fillId="2" borderId="0" xfId="0" applyNumberFormat="1" applyFill="1"/>
    <xf numFmtId="0" fontId="5" fillId="2" borderId="0" xfId="0" applyFont="1" applyFill="1"/>
    <xf numFmtId="0" fontId="5" fillId="2" borderId="3" xfId="0" applyFont="1" applyFill="1" applyBorder="1"/>
    <xf numFmtId="164" fontId="0" fillId="2" borderId="3" xfId="0" applyNumberFormat="1" applyFill="1" applyBorder="1"/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7" fillId="2" borderId="0" xfId="0" applyFont="1" applyFill="1" applyAlignment="1">
      <alignment horizontal="left"/>
    </xf>
    <xf numFmtId="0" fontId="7" fillId="2" borderId="2" xfId="0" applyFont="1" applyFill="1" applyBorder="1" applyAlignment="1">
      <alignment horizontal="right"/>
    </xf>
    <xf numFmtId="0" fontId="8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right"/>
    </xf>
    <xf numFmtId="165" fontId="3" fillId="2" borderId="3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5" fontId="3" fillId="2" borderId="2" xfId="0" applyNumberFormat="1" applyFont="1" applyFill="1" applyBorder="1" applyAlignment="1">
      <alignment horizontal="right"/>
    </xf>
    <xf numFmtId="165" fontId="8" fillId="2" borderId="4" xfId="0" applyNumberFormat="1" applyFont="1" applyFill="1" applyBorder="1" applyAlignment="1">
      <alignment horizontal="right"/>
    </xf>
    <xf numFmtId="0" fontId="8" fillId="2" borderId="5" xfId="0" applyFont="1" applyFill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2B46-9C82-4649-B7DE-50B687455FED}">
  <dimension ref="A1:X55"/>
  <sheetViews>
    <sheetView tabSelected="1" workbookViewId="0">
      <selection activeCell="C11" sqref="C11"/>
    </sheetView>
  </sheetViews>
  <sheetFormatPr defaultColWidth="9.140625" defaultRowHeight="12.75" x14ac:dyDescent="0.2"/>
  <cols>
    <col min="1" max="1" width="30.85546875" style="3" customWidth="1"/>
    <col min="2" max="2" width="15.85546875" style="3" customWidth="1"/>
    <col min="3" max="3" width="10.42578125" style="3" customWidth="1"/>
    <col min="4" max="4" width="22.140625" style="3" customWidth="1"/>
    <col min="5" max="5" width="16.28515625" style="3" customWidth="1"/>
    <col min="6" max="6" width="15.7109375" style="3" customWidth="1"/>
    <col min="7" max="7" width="12.42578125" style="3" customWidth="1"/>
    <col min="8" max="8" width="13.28515625" style="3" customWidth="1"/>
    <col min="9" max="9" width="11.140625" style="3" customWidth="1"/>
    <col min="10" max="10" width="17.5703125" style="3" customWidth="1"/>
    <col min="11" max="11" width="12.42578125" style="3" customWidth="1"/>
    <col min="12" max="12" width="13.85546875" style="3" customWidth="1"/>
    <col min="13" max="13" width="17.5703125" style="3" customWidth="1"/>
    <col min="14" max="14" width="11.7109375" style="3" customWidth="1"/>
    <col min="15" max="15" width="13.140625" style="3" customWidth="1"/>
    <col min="16" max="16" width="18.85546875" style="3" customWidth="1"/>
    <col min="17" max="17" width="15.140625" style="3" customWidth="1"/>
    <col min="18" max="18" width="14.42578125" style="3" customWidth="1"/>
    <col min="19" max="19" width="11.28515625" style="3" customWidth="1"/>
    <col min="20" max="20" width="11.140625" style="3" customWidth="1"/>
    <col min="21" max="21" width="11.85546875" style="3" customWidth="1"/>
    <col min="22" max="22" width="12.140625" style="3" customWidth="1"/>
    <col min="23" max="23" width="12.42578125" style="3" customWidth="1"/>
    <col min="24" max="24" width="11.42578125" style="3" customWidth="1"/>
    <col min="25" max="16384" width="9.140625" style="3"/>
  </cols>
  <sheetData>
    <row r="1" spans="1:24" ht="15.75" x14ac:dyDescent="0.25">
      <c r="A1" s="26" t="s">
        <v>177</v>
      </c>
    </row>
    <row r="2" spans="1:24" ht="15.75" x14ac:dyDescent="0.25">
      <c r="A2" s="26" t="s">
        <v>346</v>
      </c>
    </row>
    <row r="3" spans="1:24" x14ac:dyDescent="0.2">
      <c r="A3" s="9" t="s">
        <v>3</v>
      </c>
      <c r="B3" s="9" t="s">
        <v>4</v>
      </c>
    </row>
    <row r="4" spans="1:24" x14ac:dyDescent="0.2">
      <c r="A4" s="9" t="s">
        <v>5</v>
      </c>
      <c r="B4" s="9" t="s">
        <v>0</v>
      </c>
    </row>
    <row r="5" spans="1:24" x14ac:dyDescent="0.2">
      <c r="A5" s="4" t="s">
        <v>6</v>
      </c>
    </row>
    <row r="6" spans="1:24" x14ac:dyDescent="0.2">
      <c r="A6" s="9" t="s">
        <v>6</v>
      </c>
      <c r="B6" s="27" t="s">
        <v>7</v>
      </c>
      <c r="C6" s="27" t="s">
        <v>8</v>
      </c>
      <c r="D6" s="27" t="s">
        <v>9</v>
      </c>
      <c r="E6" s="27" t="s">
        <v>10</v>
      </c>
      <c r="F6" s="27" t="s">
        <v>11</v>
      </c>
      <c r="G6" s="27" t="s">
        <v>12</v>
      </c>
      <c r="H6" s="27" t="s">
        <v>13</v>
      </c>
      <c r="I6" s="27" t="s">
        <v>14</v>
      </c>
      <c r="J6" s="27" t="s">
        <v>15</v>
      </c>
      <c r="K6" s="27" t="s">
        <v>16</v>
      </c>
      <c r="L6" s="27" t="s">
        <v>17</v>
      </c>
      <c r="M6" s="27" t="s">
        <v>18</v>
      </c>
      <c r="N6" s="27" t="s">
        <v>19</v>
      </c>
      <c r="O6" s="27" t="s">
        <v>20</v>
      </c>
      <c r="P6" s="27" t="s">
        <v>21</v>
      </c>
      <c r="Q6" s="27" t="s">
        <v>22</v>
      </c>
      <c r="R6" s="27" t="s">
        <v>23</v>
      </c>
      <c r="S6" s="27" t="s">
        <v>24</v>
      </c>
      <c r="T6" s="27" t="s">
        <v>25</v>
      </c>
      <c r="U6" s="27" t="s">
        <v>26</v>
      </c>
      <c r="V6" s="27" t="s">
        <v>27</v>
      </c>
      <c r="W6" s="27" t="s">
        <v>28</v>
      </c>
      <c r="X6" s="27" t="s">
        <v>347</v>
      </c>
    </row>
    <row r="7" spans="1:24" x14ac:dyDescent="0.2">
      <c r="A7" s="9" t="s">
        <v>6</v>
      </c>
      <c r="B7" s="27" t="s">
        <v>348</v>
      </c>
      <c r="C7" s="27" t="s">
        <v>348</v>
      </c>
      <c r="D7" s="27" t="s">
        <v>348</v>
      </c>
      <c r="E7" s="27" t="s">
        <v>348</v>
      </c>
      <c r="F7" s="27" t="s">
        <v>348</v>
      </c>
      <c r="G7" s="27" t="s">
        <v>348</v>
      </c>
      <c r="H7" s="27" t="s">
        <v>348</v>
      </c>
      <c r="I7" s="27" t="s">
        <v>348</v>
      </c>
      <c r="J7" s="27" t="s">
        <v>348</v>
      </c>
      <c r="K7" s="27" t="s">
        <v>348</v>
      </c>
      <c r="L7" s="27" t="s">
        <v>348</v>
      </c>
      <c r="M7" s="27" t="s">
        <v>348</v>
      </c>
      <c r="N7" s="27" t="s">
        <v>348</v>
      </c>
      <c r="O7" s="27" t="s">
        <v>348</v>
      </c>
      <c r="P7" s="27" t="s">
        <v>348</v>
      </c>
      <c r="Q7" s="27" t="s">
        <v>348</v>
      </c>
      <c r="R7" s="27" t="s">
        <v>348</v>
      </c>
      <c r="S7" s="27" t="s">
        <v>348</v>
      </c>
      <c r="T7" s="27" t="s">
        <v>348</v>
      </c>
      <c r="U7" s="27" t="s">
        <v>348</v>
      </c>
      <c r="V7" s="27" t="s">
        <v>348</v>
      </c>
      <c r="W7" s="27" t="s">
        <v>348</v>
      </c>
      <c r="X7" s="27" t="s">
        <v>348</v>
      </c>
    </row>
    <row r="8" spans="1:24" x14ac:dyDescent="0.2">
      <c r="A8" s="9" t="s">
        <v>6</v>
      </c>
      <c r="B8" s="28" t="s">
        <v>4</v>
      </c>
      <c r="C8" s="28" t="s">
        <v>4</v>
      </c>
      <c r="D8" s="28" t="s">
        <v>4</v>
      </c>
      <c r="E8" s="28" t="s">
        <v>4</v>
      </c>
      <c r="F8" s="28" t="s">
        <v>4</v>
      </c>
      <c r="G8" s="28" t="s">
        <v>4</v>
      </c>
      <c r="H8" s="28" t="s">
        <v>4</v>
      </c>
      <c r="I8" s="28" t="s">
        <v>4</v>
      </c>
      <c r="J8" s="28" t="s">
        <v>4</v>
      </c>
      <c r="K8" s="28" t="s">
        <v>4</v>
      </c>
      <c r="L8" s="28" t="s">
        <v>4</v>
      </c>
      <c r="M8" s="28" t="s">
        <v>4</v>
      </c>
      <c r="N8" s="28" t="s">
        <v>4</v>
      </c>
      <c r="O8" s="28" t="s">
        <v>4</v>
      </c>
      <c r="P8" s="28" t="s">
        <v>4</v>
      </c>
      <c r="Q8" s="28" t="s">
        <v>4</v>
      </c>
      <c r="R8" s="28" t="s">
        <v>4</v>
      </c>
      <c r="S8" s="28" t="s">
        <v>4</v>
      </c>
      <c r="T8" s="28" t="s">
        <v>4</v>
      </c>
      <c r="U8" s="28" t="s">
        <v>4</v>
      </c>
      <c r="V8" s="28" t="s">
        <v>4</v>
      </c>
      <c r="W8" s="28" t="s">
        <v>4</v>
      </c>
      <c r="X8" s="28" t="s">
        <v>4</v>
      </c>
    </row>
    <row r="9" spans="1:24" x14ac:dyDescent="0.2">
      <c r="A9" s="29" t="s">
        <v>6</v>
      </c>
      <c r="B9" s="30" t="s">
        <v>6</v>
      </c>
      <c r="C9" s="30" t="s">
        <v>6</v>
      </c>
      <c r="D9" s="30" t="s">
        <v>6</v>
      </c>
      <c r="E9" s="30" t="s">
        <v>6</v>
      </c>
      <c r="F9" s="30" t="s">
        <v>6</v>
      </c>
      <c r="G9" s="30" t="s">
        <v>6</v>
      </c>
      <c r="H9" s="30" t="s">
        <v>6</v>
      </c>
      <c r="I9" s="30" t="s">
        <v>6</v>
      </c>
      <c r="J9" s="30" t="s">
        <v>6</v>
      </c>
      <c r="K9" s="30" t="s">
        <v>6</v>
      </c>
      <c r="L9" s="30" t="s">
        <v>6</v>
      </c>
      <c r="M9" s="30" t="s">
        <v>6</v>
      </c>
      <c r="N9" s="30" t="s">
        <v>6</v>
      </c>
      <c r="O9" s="30" t="s">
        <v>6</v>
      </c>
      <c r="P9" s="30" t="s">
        <v>6</v>
      </c>
      <c r="Q9" s="30" t="s">
        <v>6</v>
      </c>
      <c r="R9" s="30" t="s">
        <v>6</v>
      </c>
      <c r="S9" s="30" t="s">
        <v>6</v>
      </c>
      <c r="T9" s="30" t="s">
        <v>6</v>
      </c>
      <c r="U9" s="30" t="s">
        <v>6</v>
      </c>
      <c r="V9" s="30" t="s">
        <v>6</v>
      </c>
      <c r="W9" s="30" t="s">
        <v>6</v>
      </c>
      <c r="X9" s="30" t="s">
        <v>6</v>
      </c>
    </row>
    <row r="10" spans="1:24" x14ac:dyDescent="0.2">
      <c r="A10" s="31" t="s">
        <v>349</v>
      </c>
      <c r="B10" s="31" t="s">
        <v>32</v>
      </c>
      <c r="C10" s="31" t="s">
        <v>32</v>
      </c>
      <c r="D10" s="31" t="s">
        <v>32</v>
      </c>
      <c r="E10" s="31" t="s">
        <v>32</v>
      </c>
      <c r="F10" s="31" t="s">
        <v>32</v>
      </c>
      <c r="G10" s="31" t="s">
        <v>32</v>
      </c>
      <c r="H10" s="31" t="s">
        <v>32</v>
      </c>
      <c r="I10" s="31" t="s">
        <v>32</v>
      </c>
      <c r="J10" s="31" t="s">
        <v>32</v>
      </c>
      <c r="K10" s="31" t="s">
        <v>32</v>
      </c>
      <c r="L10" s="31" t="s">
        <v>32</v>
      </c>
      <c r="M10" s="31" t="s">
        <v>32</v>
      </c>
      <c r="N10" s="31" t="s">
        <v>32</v>
      </c>
      <c r="O10" s="31" t="s">
        <v>32</v>
      </c>
      <c r="P10" s="31" t="s">
        <v>32</v>
      </c>
      <c r="Q10" s="31" t="s">
        <v>32</v>
      </c>
      <c r="R10" s="31" t="s">
        <v>32</v>
      </c>
      <c r="S10" s="31" t="s">
        <v>32</v>
      </c>
      <c r="T10" s="31" t="s">
        <v>32</v>
      </c>
      <c r="U10" s="31" t="s">
        <v>32</v>
      </c>
      <c r="V10" s="31" t="s">
        <v>32</v>
      </c>
      <c r="W10" s="31" t="s">
        <v>32</v>
      </c>
      <c r="X10" s="31" t="s">
        <v>32</v>
      </c>
    </row>
    <row r="11" spans="1:24" x14ac:dyDescent="0.2">
      <c r="A11" s="9" t="s">
        <v>350</v>
      </c>
      <c r="B11" s="9" t="s">
        <v>72</v>
      </c>
      <c r="C11" s="9" t="s">
        <v>72</v>
      </c>
      <c r="D11" s="9" t="s">
        <v>72</v>
      </c>
      <c r="E11" s="9" t="s">
        <v>72</v>
      </c>
      <c r="F11" s="9" t="s">
        <v>72</v>
      </c>
      <c r="G11" s="9" t="s">
        <v>72</v>
      </c>
      <c r="H11" s="9" t="s">
        <v>72</v>
      </c>
      <c r="I11" s="9" t="s">
        <v>72</v>
      </c>
      <c r="J11" s="9" t="s">
        <v>72</v>
      </c>
      <c r="K11" s="9" t="s">
        <v>72</v>
      </c>
      <c r="L11" s="9" t="s">
        <v>72</v>
      </c>
      <c r="M11" s="9" t="s">
        <v>72</v>
      </c>
      <c r="N11" s="9" t="s">
        <v>72</v>
      </c>
      <c r="O11" s="9" t="s">
        <v>72</v>
      </c>
      <c r="P11" s="9" t="s">
        <v>72</v>
      </c>
      <c r="Q11" s="9" t="s">
        <v>72</v>
      </c>
      <c r="R11" s="9" t="s">
        <v>72</v>
      </c>
      <c r="S11" s="9" t="s">
        <v>72</v>
      </c>
      <c r="T11" s="9" t="s">
        <v>72</v>
      </c>
      <c r="U11" s="9" t="s">
        <v>72</v>
      </c>
      <c r="V11" s="9" t="s">
        <v>72</v>
      </c>
      <c r="W11" s="9" t="s">
        <v>72</v>
      </c>
      <c r="X11" s="9" t="s">
        <v>72</v>
      </c>
    </row>
    <row r="12" spans="1:24" x14ac:dyDescent="0.2">
      <c r="A12" s="9" t="s">
        <v>351</v>
      </c>
      <c r="B12" s="32">
        <v>-29705.47</v>
      </c>
      <c r="C12" s="32">
        <v>-23179.34</v>
      </c>
      <c r="D12" s="32">
        <v>-38633.370000000003</v>
      </c>
      <c r="E12" s="32">
        <v>184218.2</v>
      </c>
      <c r="F12" s="32">
        <v>-44666.99</v>
      </c>
      <c r="G12" s="32">
        <v>-34846.39</v>
      </c>
      <c r="H12" s="32">
        <v>-34787.24</v>
      </c>
      <c r="I12" s="32">
        <v>-54901.55</v>
      </c>
      <c r="J12" s="32">
        <v>-84582.18</v>
      </c>
      <c r="K12" s="32">
        <v>-36803.19</v>
      </c>
      <c r="L12" s="32">
        <v>-70985.69</v>
      </c>
      <c r="M12" s="32">
        <v>680882.56</v>
      </c>
      <c r="N12" s="32">
        <v>-76091.48</v>
      </c>
      <c r="O12" s="32">
        <v>-128881.81</v>
      </c>
      <c r="P12" s="32">
        <v>5099.7</v>
      </c>
      <c r="Q12" s="32">
        <v>38718.410000000003</v>
      </c>
      <c r="R12" s="32">
        <v>26684.09</v>
      </c>
      <c r="S12" s="32">
        <v>-5451.73</v>
      </c>
      <c r="T12" s="32">
        <v>-5422.19</v>
      </c>
      <c r="U12" s="32">
        <v>14222.95</v>
      </c>
      <c r="V12" s="32">
        <v>-3465.12</v>
      </c>
      <c r="W12" s="32">
        <v>2063.7800000000002</v>
      </c>
      <c r="X12" s="32">
        <v>279485.95</v>
      </c>
    </row>
    <row r="13" spans="1:24" x14ac:dyDescent="0.2">
      <c r="A13" s="9" t="s">
        <v>352</v>
      </c>
      <c r="B13" s="32">
        <v>1546359.74</v>
      </c>
      <c r="C13" s="32">
        <v>920244.83</v>
      </c>
      <c r="D13" s="32">
        <v>668798.37</v>
      </c>
      <c r="E13" s="32">
        <v>710805.17</v>
      </c>
      <c r="F13" s="32">
        <v>1180983.74</v>
      </c>
      <c r="G13" s="32">
        <v>804649.31</v>
      </c>
      <c r="H13" s="32">
        <v>725728.18</v>
      </c>
      <c r="I13" s="32">
        <v>608563.67000000004</v>
      </c>
      <c r="J13" s="32">
        <v>685361.11</v>
      </c>
      <c r="K13" s="32">
        <v>832011.99</v>
      </c>
      <c r="L13" s="32">
        <v>1301300.54</v>
      </c>
      <c r="M13" s="32">
        <v>1621720.57</v>
      </c>
      <c r="N13" s="32">
        <v>1045382.17</v>
      </c>
      <c r="O13" s="32">
        <v>1043257.97</v>
      </c>
      <c r="P13" s="32">
        <v>912166.74</v>
      </c>
      <c r="Q13" s="32">
        <v>1098920.02</v>
      </c>
      <c r="R13" s="32">
        <v>9479.92</v>
      </c>
      <c r="S13" s="32">
        <v>40439.5</v>
      </c>
      <c r="T13" s="32">
        <v>-2657.02</v>
      </c>
      <c r="U13" s="32">
        <v>-24805.55</v>
      </c>
      <c r="V13" s="32">
        <v>12308.44</v>
      </c>
      <c r="W13" s="32">
        <v>2214.62</v>
      </c>
      <c r="X13" s="32">
        <v>15743234.029999999</v>
      </c>
    </row>
    <row r="14" spans="1:24" x14ac:dyDescent="0.2">
      <c r="A14" s="9" t="s">
        <v>353</v>
      </c>
      <c r="B14" s="32">
        <v>61112.74</v>
      </c>
      <c r="C14" s="32">
        <v>41178.49</v>
      </c>
      <c r="D14" s="32">
        <v>44328.42</v>
      </c>
      <c r="E14" s="32">
        <v>42835.58</v>
      </c>
      <c r="F14" s="32">
        <v>37497.440000000002</v>
      </c>
      <c r="G14" s="32">
        <v>31892.3</v>
      </c>
      <c r="H14" s="32">
        <v>37440.39</v>
      </c>
      <c r="I14" s="32">
        <v>42591.44</v>
      </c>
      <c r="J14" s="32">
        <v>28208.7</v>
      </c>
      <c r="K14" s="32">
        <v>41554</v>
      </c>
      <c r="L14" s="32">
        <v>34753.58</v>
      </c>
      <c r="M14" s="32">
        <v>89172.95</v>
      </c>
      <c r="N14" s="32">
        <v>62860.81</v>
      </c>
      <c r="O14" s="32">
        <v>58731.27</v>
      </c>
      <c r="P14" s="32">
        <v>54507.61</v>
      </c>
      <c r="Q14" s="32">
        <v>42737.39</v>
      </c>
      <c r="R14" s="32">
        <v>23211.09</v>
      </c>
      <c r="S14" s="32">
        <v>26798.25</v>
      </c>
      <c r="T14" s="32">
        <v>25816.15</v>
      </c>
      <c r="U14" s="32">
        <v>36767.75</v>
      </c>
      <c r="V14" s="32">
        <v>28526.86</v>
      </c>
      <c r="W14" s="32">
        <v>5650.7</v>
      </c>
      <c r="X14" s="32">
        <v>898173.91</v>
      </c>
    </row>
    <row r="15" spans="1:24" x14ac:dyDescent="0.2">
      <c r="A15" s="9" t="s">
        <v>354</v>
      </c>
      <c r="B15" s="32">
        <v>35464.25</v>
      </c>
      <c r="C15" s="32">
        <v>-100991.72</v>
      </c>
      <c r="D15" s="32">
        <v>-186758.53</v>
      </c>
      <c r="E15" s="32">
        <v>-369917.97</v>
      </c>
      <c r="F15" s="32">
        <v>38736.03</v>
      </c>
      <c r="G15" s="32">
        <v>-203069.48</v>
      </c>
      <c r="H15" s="32">
        <v>-144383.89000000001</v>
      </c>
      <c r="I15" s="32">
        <v>-482925.64</v>
      </c>
      <c r="J15" s="32">
        <v>-470774.49</v>
      </c>
      <c r="K15" s="32">
        <v>-606354.18000000005</v>
      </c>
      <c r="L15" s="32">
        <v>-330869.44</v>
      </c>
      <c r="M15" s="32">
        <v>-733925.23</v>
      </c>
      <c r="N15" s="32">
        <v>-374640.75</v>
      </c>
      <c r="O15" s="32">
        <v>-389656.63</v>
      </c>
      <c r="P15" s="32">
        <v>-643804.93000000005</v>
      </c>
      <c r="Q15" s="32">
        <v>-660344.53</v>
      </c>
      <c r="R15" s="32">
        <v>-44484.78</v>
      </c>
      <c r="S15" s="32">
        <v>-76017.13</v>
      </c>
      <c r="T15" s="32">
        <v>-161320.37</v>
      </c>
      <c r="U15" s="32">
        <v>18579.32</v>
      </c>
      <c r="V15" s="32">
        <v>18437.099999999999</v>
      </c>
      <c r="W15" s="32">
        <v>-71434.929999999993</v>
      </c>
      <c r="X15" s="32">
        <v>-5940457.9199999999</v>
      </c>
    </row>
    <row r="16" spans="1:24" x14ac:dyDescent="0.2">
      <c r="A16" s="9" t="s">
        <v>355</v>
      </c>
      <c r="B16" s="32">
        <v>-2782.5</v>
      </c>
      <c r="C16" s="32">
        <v>7447.58</v>
      </c>
      <c r="D16" s="32">
        <v>2641.19</v>
      </c>
      <c r="E16" s="32">
        <v>740</v>
      </c>
      <c r="F16" s="32">
        <v>2866</v>
      </c>
      <c r="G16" s="32">
        <v>-13008.8</v>
      </c>
      <c r="H16" s="32">
        <v>-7885.81</v>
      </c>
      <c r="I16" s="32">
        <v>1246.67</v>
      </c>
      <c r="J16" s="32">
        <v>9664.2999999999993</v>
      </c>
      <c r="K16" s="32">
        <v>951.81</v>
      </c>
      <c r="L16" s="32">
        <v>8664.31</v>
      </c>
      <c r="M16" s="32">
        <v>20254.48</v>
      </c>
      <c r="N16" s="32">
        <v>942.37</v>
      </c>
      <c r="O16" s="32">
        <v>3096</v>
      </c>
      <c r="P16" s="32">
        <v>7199.62</v>
      </c>
      <c r="Q16" s="32">
        <v>21011</v>
      </c>
      <c r="R16" s="32">
        <v>0</v>
      </c>
      <c r="S16" s="32">
        <v>2913.02</v>
      </c>
      <c r="T16" s="32">
        <v>69.77</v>
      </c>
      <c r="U16" s="32">
        <v>-3500</v>
      </c>
      <c r="V16" s="32">
        <v>1308.9000000000001</v>
      </c>
      <c r="W16" s="32">
        <v>-64.040000000000006</v>
      </c>
      <c r="X16" s="32">
        <v>63775.87</v>
      </c>
    </row>
    <row r="17" spans="1:24" x14ac:dyDescent="0.2">
      <c r="A17" s="9" t="s">
        <v>356</v>
      </c>
      <c r="B17" s="33">
        <v>1610448.76</v>
      </c>
      <c r="C17" s="33">
        <v>844699.84</v>
      </c>
      <c r="D17" s="33">
        <v>490376.08</v>
      </c>
      <c r="E17" s="33">
        <v>568680.98</v>
      </c>
      <c r="F17" s="33">
        <v>1215416.22</v>
      </c>
      <c r="G17" s="33">
        <v>585616.93999999994</v>
      </c>
      <c r="H17" s="33">
        <v>576111.63</v>
      </c>
      <c r="I17" s="33">
        <v>114574.59</v>
      </c>
      <c r="J17" s="33">
        <v>167877.44</v>
      </c>
      <c r="K17" s="33">
        <v>231360.43</v>
      </c>
      <c r="L17" s="33">
        <v>942863.3</v>
      </c>
      <c r="M17" s="33">
        <v>1678105.33</v>
      </c>
      <c r="N17" s="33">
        <v>658453.12</v>
      </c>
      <c r="O17" s="33">
        <v>586546.80000000005</v>
      </c>
      <c r="P17" s="33">
        <v>335168.74</v>
      </c>
      <c r="Q17" s="33">
        <v>541042.29</v>
      </c>
      <c r="R17" s="33">
        <v>14890.32</v>
      </c>
      <c r="S17" s="33">
        <v>-11318.09</v>
      </c>
      <c r="T17" s="33">
        <v>-143513.66</v>
      </c>
      <c r="U17" s="33">
        <v>41264.47</v>
      </c>
      <c r="V17" s="33">
        <v>57116.18</v>
      </c>
      <c r="W17" s="33">
        <v>-61569.87</v>
      </c>
      <c r="X17" s="33">
        <v>11044211.84</v>
      </c>
    </row>
    <row r="18" spans="1:24" x14ac:dyDescent="0.2">
      <c r="A18" s="9" t="s">
        <v>357</v>
      </c>
      <c r="B18" s="34" t="s">
        <v>72</v>
      </c>
      <c r="C18" s="34" t="s">
        <v>72</v>
      </c>
      <c r="D18" s="34" t="s">
        <v>72</v>
      </c>
      <c r="E18" s="34" t="s">
        <v>72</v>
      </c>
      <c r="F18" s="34" t="s">
        <v>72</v>
      </c>
      <c r="G18" s="34" t="s">
        <v>72</v>
      </c>
      <c r="H18" s="34" t="s">
        <v>72</v>
      </c>
      <c r="I18" s="34" t="s">
        <v>72</v>
      </c>
      <c r="J18" s="34" t="s">
        <v>72</v>
      </c>
      <c r="K18" s="34" t="s">
        <v>72</v>
      </c>
      <c r="L18" s="34" t="s">
        <v>72</v>
      </c>
      <c r="M18" s="34" t="s">
        <v>72</v>
      </c>
      <c r="N18" s="34" t="s">
        <v>72</v>
      </c>
      <c r="O18" s="34" t="s">
        <v>72</v>
      </c>
      <c r="P18" s="34" t="s">
        <v>72</v>
      </c>
      <c r="Q18" s="34" t="s">
        <v>72</v>
      </c>
      <c r="R18" s="34" t="s">
        <v>72</v>
      </c>
      <c r="S18" s="34" t="s">
        <v>72</v>
      </c>
      <c r="T18" s="34" t="s">
        <v>72</v>
      </c>
      <c r="U18" s="34" t="s">
        <v>72</v>
      </c>
      <c r="V18" s="34" t="s">
        <v>72</v>
      </c>
      <c r="W18" s="34" t="s">
        <v>72</v>
      </c>
      <c r="X18" s="34" t="s">
        <v>72</v>
      </c>
    </row>
    <row r="19" spans="1:24" x14ac:dyDescent="0.2">
      <c r="A19" s="9" t="s">
        <v>358</v>
      </c>
      <c r="B19" s="9" t="s">
        <v>359</v>
      </c>
      <c r="C19" s="9" t="s">
        <v>359</v>
      </c>
      <c r="D19" s="9" t="s">
        <v>359</v>
      </c>
      <c r="E19" s="9" t="s">
        <v>359</v>
      </c>
      <c r="F19" s="9" t="s">
        <v>359</v>
      </c>
      <c r="G19" s="9" t="s">
        <v>359</v>
      </c>
      <c r="H19" s="9" t="s">
        <v>359</v>
      </c>
      <c r="I19" s="9" t="s">
        <v>359</v>
      </c>
      <c r="J19" s="9" t="s">
        <v>359</v>
      </c>
      <c r="K19" s="9" t="s">
        <v>359</v>
      </c>
      <c r="L19" s="9" t="s">
        <v>359</v>
      </c>
      <c r="M19" s="9" t="s">
        <v>359</v>
      </c>
      <c r="N19" s="9" t="s">
        <v>359</v>
      </c>
      <c r="O19" s="9" t="s">
        <v>359</v>
      </c>
      <c r="P19" s="9" t="s">
        <v>359</v>
      </c>
      <c r="Q19" s="9" t="s">
        <v>359</v>
      </c>
      <c r="R19" s="9" t="s">
        <v>359</v>
      </c>
      <c r="S19" s="9" t="s">
        <v>359</v>
      </c>
      <c r="T19" s="9" t="s">
        <v>359</v>
      </c>
      <c r="U19" s="9" t="s">
        <v>359</v>
      </c>
      <c r="V19" s="9" t="s">
        <v>359</v>
      </c>
      <c r="W19" s="9" t="s">
        <v>359</v>
      </c>
      <c r="X19" s="9" t="s">
        <v>359</v>
      </c>
    </row>
    <row r="20" spans="1:24" x14ac:dyDescent="0.2">
      <c r="A20" s="9" t="s">
        <v>360</v>
      </c>
      <c r="B20" s="32">
        <v>34421.870000000003</v>
      </c>
      <c r="C20" s="32">
        <v>11087.48</v>
      </c>
      <c r="D20" s="32">
        <v>21650</v>
      </c>
      <c r="E20" s="32">
        <v>9820</v>
      </c>
      <c r="F20" s="32">
        <v>32290</v>
      </c>
      <c r="G20" s="32">
        <v>15415</v>
      </c>
      <c r="H20" s="32">
        <v>37648.370000000003</v>
      </c>
      <c r="I20" s="32">
        <v>91403.53</v>
      </c>
      <c r="J20" s="32">
        <v>46867</v>
      </c>
      <c r="K20" s="32">
        <v>39227.5</v>
      </c>
      <c r="L20" s="32">
        <v>36649.379999999997</v>
      </c>
      <c r="M20" s="32">
        <v>31510</v>
      </c>
      <c r="N20" s="32">
        <v>45650</v>
      </c>
      <c r="O20" s="32">
        <v>35648.129999999997</v>
      </c>
      <c r="P20" s="32">
        <v>105164.5</v>
      </c>
      <c r="Q20" s="32">
        <v>58475.11</v>
      </c>
      <c r="R20" s="32">
        <v>0</v>
      </c>
      <c r="S20" s="32">
        <v>14080</v>
      </c>
      <c r="T20" s="32">
        <v>8542.5</v>
      </c>
      <c r="U20" s="32">
        <v>26450</v>
      </c>
      <c r="V20" s="32">
        <v>26017.5</v>
      </c>
      <c r="W20" s="32">
        <v>0</v>
      </c>
      <c r="X20" s="32">
        <v>728017.87</v>
      </c>
    </row>
    <row r="21" spans="1:24" x14ac:dyDescent="0.2">
      <c r="A21" s="9" t="s">
        <v>361</v>
      </c>
      <c r="B21" s="32">
        <v>9423.5</v>
      </c>
      <c r="C21" s="32">
        <v>9385</v>
      </c>
      <c r="D21" s="32">
        <v>9023.5</v>
      </c>
      <c r="E21" s="32">
        <v>11913.88</v>
      </c>
      <c r="F21" s="32">
        <v>9385</v>
      </c>
      <c r="G21" s="32">
        <v>8792.5</v>
      </c>
      <c r="H21" s="32">
        <v>8869.5</v>
      </c>
      <c r="I21" s="32">
        <v>9234.5</v>
      </c>
      <c r="J21" s="32">
        <v>13390.35</v>
      </c>
      <c r="K21" s="32">
        <v>15891.69</v>
      </c>
      <c r="L21" s="32">
        <v>18039.64</v>
      </c>
      <c r="M21" s="32">
        <v>9813.5</v>
      </c>
      <c r="N21" s="32">
        <v>12903.09</v>
      </c>
      <c r="O21" s="32">
        <v>9355.5</v>
      </c>
      <c r="P21" s="32">
        <v>22756.3</v>
      </c>
      <c r="Q21" s="32">
        <v>32246.880000000001</v>
      </c>
      <c r="R21" s="32">
        <v>11503.75</v>
      </c>
      <c r="S21" s="32">
        <v>14408.89</v>
      </c>
      <c r="T21" s="32">
        <v>8837</v>
      </c>
      <c r="U21" s="32">
        <v>8916</v>
      </c>
      <c r="V21" s="32">
        <v>8758</v>
      </c>
      <c r="W21" s="32">
        <v>0</v>
      </c>
      <c r="X21" s="32">
        <v>262847.96999999997</v>
      </c>
    </row>
    <row r="22" spans="1:24" x14ac:dyDescent="0.2">
      <c r="A22" s="9" t="s">
        <v>362</v>
      </c>
      <c r="B22" s="32">
        <v>55870</v>
      </c>
      <c r="C22" s="32">
        <v>4818.72</v>
      </c>
      <c r="D22" s="32">
        <v>55870</v>
      </c>
      <c r="E22" s="32">
        <v>0</v>
      </c>
      <c r="F22" s="32">
        <v>0</v>
      </c>
      <c r="G22" s="32">
        <v>55870</v>
      </c>
      <c r="H22" s="32">
        <v>0</v>
      </c>
      <c r="I22" s="32">
        <v>0</v>
      </c>
      <c r="J22" s="32">
        <v>4818.4399999999996</v>
      </c>
      <c r="K22" s="32">
        <v>0</v>
      </c>
      <c r="L22" s="32">
        <v>0</v>
      </c>
      <c r="M22" s="32">
        <v>14818.44</v>
      </c>
      <c r="N22" s="32">
        <v>0</v>
      </c>
      <c r="O22" s="32">
        <v>62150.94</v>
      </c>
      <c r="P22" s="32">
        <v>0</v>
      </c>
      <c r="Q22" s="32">
        <v>58795</v>
      </c>
      <c r="R22" s="32">
        <v>2594.8200000000002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315606.36</v>
      </c>
    </row>
    <row r="23" spans="1:24" x14ac:dyDescent="0.2">
      <c r="A23" s="9" t="s">
        <v>363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2444.65</v>
      </c>
      <c r="O23" s="32">
        <v>0</v>
      </c>
      <c r="P23" s="32">
        <v>0</v>
      </c>
      <c r="Q23" s="32">
        <v>0</v>
      </c>
      <c r="R23" s="32">
        <v>0</v>
      </c>
      <c r="S23" s="32">
        <v>3051.12</v>
      </c>
      <c r="T23" s="32">
        <v>0</v>
      </c>
      <c r="U23" s="32">
        <v>0</v>
      </c>
      <c r="V23" s="32">
        <v>0</v>
      </c>
      <c r="W23" s="32">
        <v>0</v>
      </c>
      <c r="X23" s="32">
        <v>5495.77</v>
      </c>
    </row>
    <row r="24" spans="1:24" x14ac:dyDescent="0.2">
      <c r="A24" s="9" t="s">
        <v>364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6450</v>
      </c>
      <c r="O24" s="32">
        <v>0</v>
      </c>
      <c r="P24" s="32">
        <v>380000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386450</v>
      </c>
    </row>
    <row r="25" spans="1:24" x14ac:dyDescent="0.2">
      <c r="A25" s="9" t="s">
        <v>365</v>
      </c>
      <c r="B25" s="35">
        <v>99715.37</v>
      </c>
      <c r="C25" s="35">
        <v>25291.200000000001</v>
      </c>
      <c r="D25" s="35">
        <v>86543.5</v>
      </c>
      <c r="E25" s="35">
        <v>21733.88</v>
      </c>
      <c r="F25" s="35">
        <v>41675</v>
      </c>
      <c r="G25" s="35">
        <v>80077.5</v>
      </c>
      <c r="H25" s="35">
        <v>46517.87</v>
      </c>
      <c r="I25" s="35">
        <v>100638.03</v>
      </c>
      <c r="J25" s="35">
        <v>65075.79</v>
      </c>
      <c r="K25" s="35">
        <v>55119.19</v>
      </c>
      <c r="L25" s="35">
        <v>54689.02</v>
      </c>
      <c r="M25" s="35">
        <v>56141.94</v>
      </c>
      <c r="N25" s="35">
        <v>67447.740000000005</v>
      </c>
      <c r="O25" s="35">
        <v>107154.57</v>
      </c>
      <c r="P25" s="35">
        <v>507920.8</v>
      </c>
      <c r="Q25" s="35">
        <v>149516.99</v>
      </c>
      <c r="R25" s="35">
        <v>14098.57</v>
      </c>
      <c r="S25" s="35">
        <v>31540.01</v>
      </c>
      <c r="T25" s="35">
        <v>17379.5</v>
      </c>
      <c r="U25" s="35">
        <v>35366</v>
      </c>
      <c r="V25" s="35">
        <v>34775.5</v>
      </c>
      <c r="W25" s="35">
        <v>0</v>
      </c>
      <c r="X25" s="35">
        <v>1698417.97</v>
      </c>
    </row>
    <row r="26" spans="1:24" x14ac:dyDescent="0.2">
      <c r="A26" s="9" t="s">
        <v>366</v>
      </c>
      <c r="B26" s="32">
        <v>5348.34</v>
      </c>
      <c r="C26" s="32">
        <v>1392.61</v>
      </c>
      <c r="D26" s="32">
        <v>5017.88</v>
      </c>
      <c r="E26" s="32">
        <v>1149</v>
      </c>
      <c r="F26" s="32">
        <v>1858.41</v>
      </c>
      <c r="G26" s="32">
        <v>4842.74</v>
      </c>
      <c r="H26" s="32">
        <v>1994.07</v>
      </c>
      <c r="I26" s="32">
        <v>2796.25</v>
      </c>
      <c r="J26" s="32">
        <v>2499.04</v>
      </c>
      <c r="K26" s="32">
        <v>2206.79</v>
      </c>
      <c r="L26" s="32">
        <v>2381.69</v>
      </c>
      <c r="M26" s="32">
        <v>2204.9699999999998</v>
      </c>
      <c r="N26" s="32">
        <v>2465.73</v>
      </c>
      <c r="O26" s="32">
        <v>5372.51</v>
      </c>
      <c r="P26" s="32">
        <v>4619.71</v>
      </c>
      <c r="Q26" s="32">
        <v>7620.36</v>
      </c>
      <c r="R26" s="32">
        <v>998.18</v>
      </c>
      <c r="S26" s="32">
        <v>1414.22</v>
      </c>
      <c r="T26" s="32">
        <v>949.98</v>
      </c>
      <c r="U26" s="32">
        <v>1737.58</v>
      </c>
      <c r="V26" s="32">
        <v>1330.13</v>
      </c>
      <c r="W26" s="32">
        <v>0</v>
      </c>
      <c r="X26" s="32">
        <v>60200.19</v>
      </c>
    </row>
    <row r="27" spans="1:24" x14ac:dyDescent="0.2">
      <c r="A27" s="9" t="s">
        <v>367</v>
      </c>
      <c r="B27" s="33">
        <v>94367.03</v>
      </c>
      <c r="C27" s="33">
        <v>23898.59</v>
      </c>
      <c r="D27" s="33">
        <v>81525.62</v>
      </c>
      <c r="E27" s="33">
        <v>20584.88</v>
      </c>
      <c r="F27" s="33">
        <v>39816.589999999997</v>
      </c>
      <c r="G27" s="33">
        <v>75234.759999999995</v>
      </c>
      <c r="H27" s="33">
        <v>44523.8</v>
      </c>
      <c r="I27" s="33">
        <v>97841.78</v>
      </c>
      <c r="J27" s="33">
        <v>62576.75</v>
      </c>
      <c r="K27" s="33">
        <v>52912.4</v>
      </c>
      <c r="L27" s="33">
        <v>52307.33</v>
      </c>
      <c r="M27" s="33">
        <v>53936.97</v>
      </c>
      <c r="N27" s="33">
        <v>64982.01</v>
      </c>
      <c r="O27" s="33">
        <v>101782.06</v>
      </c>
      <c r="P27" s="33">
        <v>503301.09</v>
      </c>
      <c r="Q27" s="33">
        <v>141896.63</v>
      </c>
      <c r="R27" s="33">
        <v>13100.39</v>
      </c>
      <c r="S27" s="33">
        <v>30125.79</v>
      </c>
      <c r="T27" s="33">
        <v>16429.52</v>
      </c>
      <c r="U27" s="33">
        <v>33628.42</v>
      </c>
      <c r="V27" s="33">
        <v>33445.370000000003</v>
      </c>
      <c r="W27" s="33">
        <v>0</v>
      </c>
      <c r="X27" s="33">
        <v>1638217.78</v>
      </c>
    </row>
    <row r="28" spans="1:24" x14ac:dyDescent="0.2">
      <c r="A28" s="9" t="s">
        <v>368</v>
      </c>
      <c r="B28" s="34" t="s">
        <v>72</v>
      </c>
      <c r="C28" s="34" t="s">
        <v>72</v>
      </c>
      <c r="D28" s="34" t="s">
        <v>72</v>
      </c>
      <c r="E28" s="34" t="s">
        <v>72</v>
      </c>
      <c r="F28" s="34" t="s">
        <v>72</v>
      </c>
      <c r="G28" s="34" t="s">
        <v>72</v>
      </c>
      <c r="H28" s="34" t="s">
        <v>72</v>
      </c>
      <c r="I28" s="34" t="s">
        <v>72</v>
      </c>
      <c r="J28" s="34" t="s">
        <v>72</v>
      </c>
      <c r="K28" s="34" t="s">
        <v>72</v>
      </c>
      <c r="L28" s="34" t="s">
        <v>72</v>
      </c>
      <c r="M28" s="34" t="s">
        <v>72</v>
      </c>
      <c r="N28" s="34" t="s">
        <v>72</v>
      </c>
      <c r="O28" s="34" t="s">
        <v>72</v>
      </c>
      <c r="P28" s="34" t="s">
        <v>72</v>
      </c>
      <c r="Q28" s="34" t="s">
        <v>72</v>
      </c>
      <c r="R28" s="34" t="s">
        <v>72</v>
      </c>
      <c r="S28" s="34" t="s">
        <v>72</v>
      </c>
      <c r="T28" s="34" t="s">
        <v>72</v>
      </c>
      <c r="U28" s="34" t="s">
        <v>72</v>
      </c>
      <c r="V28" s="34" t="s">
        <v>72</v>
      </c>
      <c r="W28" s="34" t="s">
        <v>72</v>
      </c>
      <c r="X28" s="34" t="s">
        <v>72</v>
      </c>
    </row>
    <row r="29" spans="1:24" x14ac:dyDescent="0.2">
      <c r="A29" s="9" t="s">
        <v>369</v>
      </c>
      <c r="B29" s="32">
        <v>3036.92</v>
      </c>
      <c r="C29" s="32">
        <v>3036.9</v>
      </c>
      <c r="D29" s="32">
        <v>3036.92</v>
      </c>
      <c r="E29" s="32">
        <v>3036.92</v>
      </c>
      <c r="F29" s="32">
        <v>3036.92</v>
      </c>
      <c r="G29" s="32">
        <v>3036.92</v>
      </c>
      <c r="H29" s="32">
        <v>3036.92</v>
      </c>
      <c r="I29" s="32">
        <v>3355.24</v>
      </c>
      <c r="J29" s="32">
        <v>3355.24</v>
      </c>
      <c r="K29" s="32">
        <v>3355.24</v>
      </c>
      <c r="L29" s="32">
        <v>3355.24</v>
      </c>
      <c r="M29" s="32">
        <v>3355.24</v>
      </c>
      <c r="N29" s="32">
        <v>3355.24</v>
      </c>
      <c r="O29" s="32">
        <v>3355.24</v>
      </c>
      <c r="P29" s="32">
        <v>5249.5</v>
      </c>
      <c r="Q29" s="32">
        <v>5427.54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55422.14</v>
      </c>
    </row>
    <row r="30" spans="1:24" x14ac:dyDescent="0.2">
      <c r="A30" s="9" t="s">
        <v>370</v>
      </c>
      <c r="B30" s="33">
        <v>-3036.92</v>
      </c>
      <c r="C30" s="33">
        <v>-3036.9</v>
      </c>
      <c r="D30" s="33">
        <v>-3036.92</v>
      </c>
      <c r="E30" s="33">
        <v>-3036.92</v>
      </c>
      <c r="F30" s="33">
        <v>-3036.92</v>
      </c>
      <c r="G30" s="33">
        <v>-3036.92</v>
      </c>
      <c r="H30" s="33">
        <v>-3036.92</v>
      </c>
      <c r="I30" s="33">
        <v>-3355.24</v>
      </c>
      <c r="J30" s="33">
        <v>-3355.24</v>
      </c>
      <c r="K30" s="33">
        <v>-3355.24</v>
      </c>
      <c r="L30" s="33">
        <v>-3355.24</v>
      </c>
      <c r="M30" s="33">
        <v>-3355.24</v>
      </c>
      <c r="N30" s="33">
        <v>-3355.24</v>
      </c>
      <c r="O30" s="33">
        <v>-3355.24</v>
      </c>
      <c r="P30" s="33">
        <v>-5249.5</v>
      </c>
      <c r="Q30" s="33">
        <v>-5427.54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-55422.14</v>
      </c>
    </row>
    <row r="31" spans="1:24" x14ac:dyDescent="0.2">
      <c r="A31" s="9" t="s">
        <v>371</v>
      </c>
      <c r="B31" s="34" t="s">
        <v>72</v>
      </c>
      <c r="C31" s="34" t="s">
        <v>72</v>
      </c>
      <c r="D31" s="34" t="s">
        <v>72</v>
      </c>
      <c r="E31" s="34" t="s">
        <v>72</v>
      </c>
      <c r="F31" s="34" t="s">
        <v>72</v>
      </c>
      <c r="G31" s="34" t="s">
        <v>72</v>
      </c>
      <c r="H31" s="34" t="s">
        <v>72</v>
      </c>
      <c r="I31" s="34" t="s">
        <v>72</v>
      </c>
      <c r="J31" s="34" t="s">
        <v>72</v>
      </c>
      <c r="K31" s="34" t="s">
        <v>72</v>
      </c>
      <c r="L31" s="34" t="s">
        <v>72</v>
      </c>
      <c r="M31" s="34" t="s">
        <v>72</v>
      </c>
      <c r="N31" s="34" t="s">
        <v>72</v>
      </c>
      <c r="O31" s="34" t="s">
        <v>72</v>
      </c>
      <c r="P31" s="34" t="s">
        <v>72</v>
      </c>
      <c r="Q31" s="34" t="s">
        <v>72</v>
      </c>
      <c r="R31" s="34" t="s">
        <v>72</v>
      </c>
      <c r="S31" s="34" t="s">
        <v>72</v>
      </c>
      <c r="T31" s="34" t="s">
        <v>72</v>
      </c>
      <c r="U31" s="34" t="s">
        <v>72</v>
      </c>
      <c r="V31" s="34" t="s">
        <v>72</v>
      </c>
      <c r="W31" s="34" t="s">
        <v>72</v>
      </c>
      <c r="X31" s="34" t="s">
        <v>72</v>
      </c>
    </row>
    <row r="32" spans="1:24" x14ac:dyDescent="0.2">
      <c r="A32" s="9" t="s">
        <v>372</v>
      </c>
      <c r="B32" s="32">
        <v>70239.92</v>
      </c>
      <c r="C32" s="32">
        <v>35374.92</v>
      </c>
      <c r="D32" s="32">
        <v>49046.64</v>
      </c>
      <c r="E32" s="32">
        <v>38139.919999999998</v>
      </c>
      <c r="F32" s="32">
        <v>65522.18</v>
      </c>
      <c r="G32" s="32">
        <v>46999.64</v>
      </c>
      <c r="H32" s="32">
        <v>41655.25</v>
      </c>
      <c r="I32" s="32">
        <v>67560.05</v>
      </c>
      <c r="J32" s="32">
        <v>54577.99</v>
      </c>
      <c r="K32" s="32">
        <v>79704.53</v>
      </c>
      <c r="L32" s="32">
        <v>76868.77</v>
      </c>
      <c r="M32" s="32">
        <v>156285.26</v>
      </c>
      <c r="N32" s="32">
        <v>118697.63</v>
      </c>
      <c r="O32" s="32">
        <v>112140.78</v>
      </c>
      <c r="P32" s="32">
        <v>101787</v>
      </c>
      <c r="Q32" s="32">
        <v>115711.91</v>
      </c>
      <c r="R32" s="32">
        <v>2468.61</v>
      </c>
      <c r="S32" s="32">
        <v>337.93</v>
      </c>
      <c r="T32" s="32">
        <v>4835.09</v>
      </c>
      <c r="U32" s="32">
        <v>4178.43</v>
      </c>
      <c r="V32" s="32">
        <v>9072.6200000000008</v>
      </c>
      <c r="W32" s="32">
        <v>0</v>
      </c>
      <c r="X32" s="32">
        <v>1251205.07</v>
      </c>
    </row>
    <row r="33" spans="1:24" x14ac:dyDescent="0.2">
      <c r="A33" s="9" t="s">
        <v>373</v>
      </c>
      <c r="B33" s="32">
        <v>9689.2900000000009</v>
      </c>
      <c r="C33" s="32">
        <v>9689.27</v>
      </c>
      <c r="D33" s="32">
        <v>9689.2900000000009</v>
      </c>
      <c r="E33" s="32">
        <v>9689.2900000000009</v>
      </c>
      <c r="F33" s="32">
        <v>9689.2900000000009</v>
      </c>
      <c r="G33" s="32">
        <v>9689.2900000000009</v>
      </c>
      <c r="H33" s="32">
        <v>9689.2900000000009</v>
      </c>
      <c r="I33" s="32">
        <v>10065.709999999999</v>
      </c>
      <c r="J33" s="32">
        <v>10065.709999999999</v>
      </c>
      <c r="K33" s="32">
        <v>10065.709999999999</v>
      </c>
      <c r="L33" s="32">
        <v>10065.709999999999</v>
      </c>
      <c r="M33" s="32">
        <v>10065.709999999999</v>
      </c>
      <c r="N33" s="32">
        <v>10065.709999999999</v>
      </c>
      <c r="O33" s="32">
        <v>10065.709999999999</v>
      </c>
      <c r="P33" s="32">
        <v>14205.9</v>
      </c>
      <c r="Q33" s="32">
        <v>14205.91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166696.79</v>
      </c>
    </row>
    <row r="34" spans="1:24" x14ac:dyDescent="0.2">
      <c r="A34" s="9" t="s">
        <v>374</v>
      </c>
      <c r="B34" s="33">
        <v>79929.210000000006</v>
      </c>
      <c r="C34" s="33">
        <v>45064.19</v>
      </c>
      <c r="D34" s="33">
        <v>58735.93</v>
      </c>
      <c r="E34" s="33">
        <v>47829.21</v>
      </c>
      <c r="F34" s="33">
        <v>75211.47</v>
      </c>
      <c r="G34" s="33">
        <v>56688.93</v>
      </c>
      <c r="H34" s="33">
        <v>51344.54</v>
      </c>
      <c r="I34" s="33">
        <v>77625.759999999995</v>
      </c>
      <c r="J34" s="33">
        <v>64643.7</v>
      </c>
      <c r="K34" s="33">
        <v>89770.240000000005</v>
      </c>
      <c r="L34" s="33">
        <v>86934.48</v>
      </c>
      <c r="M34" s="33">
        <v>166350.97</v>
      </c>
      <c r="N34" s="33">
        <v>128763.34</v>
      </c>
      <c r="O34" s="33">
        <v>122206.49</v>
      </c>
      <c r="P34" s="33">
        <v>115992.9</v>
      </c>
      <c r="Q34" s="33">
        <v>129917.82</v>
      </c>
      <c r="R34" s="33">
        <v>2468.61</v>
      </c>
      <c r="S34" s="33">
        <v>337.93</v>
      </c>
      <c r="T34" s="33">
        <v>4835.09</v>
      </c>
      <c r="U34" s="33">
        <v>4178.43</v>
      </c>
      <c r="V34" s="33">
        <v>9072.6200000000008</v>
      </c>
      <c r="W34" s="33">
        <v>0</v>
      </c>
      <c r="X34" s="33">
        <v>1417901.86</v>
      </c>
    </row>
    <row r="35" spans="1:24" ht="13.5" thickBot="1" x14ac:dyDescent="0.25">
      <c r="A35" s="31" t="s">
        <v>375</v>
      </c>
      <c r="B35" s="36">
        <v>1781708.08</v>
      </c>
      <c r="C35" s="36">
        <v>910625.72</v>
      </c>
      <c r="D35" s="36">
        <v>627600.71</v>
      </c>
      <c r="E35" s="36">
        <v>634058.15</v>
      </c>
      <c r="F35" s="36">
        <v>1327407.3600000001</v>
      </c>
      <c r="G35" s="36">
        <v>714503.71</v>
      </c>
      <c r="H35" s="36">
        <v>668943.05000000005</v>
      </c>
      <c r="I35" s="36">
        <v>286686.89</v>
      </c>
      <c r="J35" s="36">
        <v>291742.65000000002</v>
      </c>
      <c r="K35" s="36">
        <v>370687.83</v>
      </c>
      <c r="L35" s="36">
        <v>1078749.8700000001</v>
      </c>
      <c r="M35" s="36">
        <v>1895038.03</v>
      </c>
      <c r="N35" s="36">
        <v>848843.23</v>
      </c>
      <c r="O35" s="36">
        <v>807180.11</v>
      </c>
      <c r="P35" s="36">
        <v>949213.23</v>
      </c>
      <c r="Q35" s="36">
        <v>807429.2</v>
      </c>
      <c r="R35" s="36">
        <v>30459.32</v>
      </c>
      <c r="S35" s="36">
        <v>19145.63</v>
      </c>
      <c r="T35" s="36">
        <v>-122249.05</v>
      </c>
      <c r="U35" s="36">
        <v>79071.320000000007</v>
      </c>
      <c r="V35" s="36">
        <v>99634.17</v>
      </c>
      <c r="W35" s="36">
        <v>-61569.87</v>
      </c>
      <c r="X35" s="36">
        <v>14044909.34</v>
      </c>
    </row>
    <row r="36" spans="1:24" ht="13.5" thickTop="1" x14ac:dyDescent="0.2">
      <c r="A36" s="31" t="s">
        <v>376</v>
      </c>
      <c r="B36" s="37" t="s">
        <v>32</v>
      </c>
      <c r="C36" s="37" t="s">
        <v>32</v>
      </c>
      <c r="D36" s="37" t="s">
        <v>32</v>
      </c>
      <c r="E36" s="37" t="s">
        <v>32</v>
      </c>
      <c r="F36" s="37" t="s">
        <v>32</v>
      </c>
      <c r="G36" s="37" t="s">
        <v>32</v>
      </c>
      <c r="H36" s="37" t="s">
        <v>32</v>
      </c>
      <c r="I36" s="37" t="s">
        <v>32</v>
      </c>
      <c r="J36" s="37" t="s">
        <v>32</v>
      </c>
      <c r="K36" s="37" t="s">
        <v>32</v>
      </c>
      <c r="L36" s="37" t="s">
        <v>32</v>
      </c>
      <c r="M36" s="37" t="s">
        <v>32</v>
      </c>
      <c r="N36" s="37" t="s">
        <v>32</v>
      </c>
      <c r="O36" s="37" t="s">
        <v>32</v>
      </c>
      <c r="P36" s="37" t="s">
        <v>32</v>
      </c>
      <c r="Q36" s="37" t="s">
        <v>32</v>
      </c>
      <c r="R36" s="37" t="s">
        <v>32</v>
      </c>
      <c r="S36" s="37" t="s">
        <v>32</v>
      </c>
      <c r="T36" s="37" t="s">
        <v>32</v>
      </c>
      <c r="U36" s="37" t="s">
        <v>32</v>
      </c>
      <c r="V36" s="37" t="s">
        <v>32</v>
      </c>
      <c r="W36" s="37" t="s">
        <v>32</v>
      </c>
      <c r="X36" s="37" t="s">
        <v>32</v>
      </c>
    </row>
    <row r="37" spans="1:24" x14ac:dyDescent="0.2">
      <c r="A37" s="9" t="s">
        <v>377</v>
      </c>
      <c r="B37" s="9" t="s">
        <v>72</v>
      </c>
      <c r="C37" s="9" t="s">
        <v>72</v>
      </c>
      <c r="D37" s="9" t="s">
        <v>72</v>
      </c>
      <c r="E37" s="9" t="s">
        <v>72</v>
      </c>
      <c r="F37" s="9" t="s">
        <v>72</v>
      </c>
      <c r="G37" s="9" t="s">
        <v>72</v>
      </c>
      <c r="H37" s="9" t="s">
        <v>72</v>
      </c>
      <c r="I37" s="9" t="s">
        <v>72</v>
      </c>
      <c r="J37" s="9" t="s">
        <v>72</v>
      </c>
      <c r="K37" s="9" t="s">
        <v>72</v>
      </c>
      <c r="L37" s="9" t="s">
        <v>72</v>
      </c>
      <c r="M37" s="9" t="s">
        <v>72</v>
      </c>
      <c r="N37" s="9" t="s">
        <v>72</v>
      </c>
      <c r="O37" s="9" t="s">
        <v>72</v>
      </c>
      <c r="P37" s="9" t="s">
        <v>72</v>
      </c>
      <c r="Q37" s="9" t="s">
        <v>72</v>
      </c>
      <c r="R37" s="9" t="s">
        <v>72</v>
      </c>
      <c r="S37" s="9" t="s">
        <v>72</v>
      </c>
      <c r="T37" s="9" t="s">
        <v>72</v>
      </c>
      <c r="U37" s="9" t="s">
        <v>72</v>
      </c>
      <c r="V37" s="9" t="s">
        <v>72</v>
      </c>
      <c r="W37" s="9" t="s">
        <v>72</v>
      </c>
      <c r="X37" s="9" t="s">
        <v>72</v>
      </c>
    </row>
    <row r="38" spans="1:24" x14ac:dyDescent="0.2">
      <c r="A38" s="9" t="s">
        <v>378</v>
      </c>
      <c r="B38" s="9" t="s">
        <v>359</v>
      </c>
      <c r="C38" s="9" t="s">
        <v>359</v>
      </c>
      <c r="D38" s="9" t="s">
        <v>359</v>
      </c>
      <c r="E38" s="9" t="s">
        <v>359</v>
      </c>
      <c r="F38" s="9" t="s">
        <v>359</v>
      </c>
      <c r="G38" s="9" t="s">
        <v>359</v>
      </c>
      <c r="H38" s="9" t="s">
        <v>359</v>
      </c>
      <c r="I38" s="9" t="s">
        <v>359</v>
      </c>
      <c r="J38" s="9" t="s">
        <v>359</v>
      </c>
      <c r="K38" s="9" t="s">
        <v>359</v>
      </c>
      <c r="L38" s="9" t="s">
        <v>359</v>
      </c>
      <c r="M38" s="9" t="s">
        <v>359</v>
      </c>
      <c r="N38" s="9" t="s">
        <v>359</v>
      </c>
      <c r="O38" s="9" t="s">
        <v>359</v>
      </c>
      <c r="P38" s="9" t="s">
        <v>359</v>
      </c>
      <c r="Q38" s="9" t="s">
        <v>359</v>
      </c>
      <c r="R38" s="9" t="s">
        <v>359</v>
      </c>
      <c r="S38" s="9" t="s">
        <v>359</v>
      </c>
      <c r="T38" s="9" t="s">
        <v>359</v>
      </c>
      <c r="U38" s="9" t="s">
        <v>359</v>
      </c>
      <c r="V38" s="9" t="s">
        <v>359</v>
      </c>
      <c r="W38" s="9" t="s">
        <v>359</v>
      </c>
      <c r="X38" s="9" t="s">
        <v>359</v>
      </c>
    </row>
    <row r="39" spans="1:24" x14ac:dyDescent="0.2">
      <c r="A39" s="9" t="s">
        <v>379</v>
      </c>
      <c r="B39" s="32">
        <v>554349.61</v>
      </c>
      <c r="C39" s="32">
        <v>384908.08</v>
      </c>
      <c r="D39" s="32">
        <v>334039.8</v>
      </c>
      <c r="E39" s="32">
        <v>394090.58</v>
      </c>
      <c r="F39" s="32">
        <v>426805.35</v>
      </c>
      <c r="G39" s="32">
        <v>361559.07</v>
      </c>
      <c r="H39" s="32">
        <v>271001.84999999998</v>
      </c>
      <c r="I39" s="32">
        <v>181180</v>
      </c>
      <c r="J39" s="32">
        <v>148454.32</v>
      </c>
      <c r="K39" s="32">
        <v>216174.69</v>
      </c>
      <c r="L39" s="32">
        <v>167653.87</v>
      </c>
      <c r="M39" s="32">
        <v>340907.51</v>
      </c>
      <c r="N39" s="32">
        <v>265990.51</v>
      </c>
      <c r="O39" s="32">
        <v>319951.61</v>
      </c>
      <c r="P39" s="32">
        <v>504863.61</v>
      </c>
      <c r="Q39" s="32">
        <v>226727.64</v>
      </c>
      <c r="R39" s="32">
        <v>39154.82</v>
      </c>
      <c r="S39" s="32">
        <v>64924.35</v>
      </c>
      <c r="T39" s="32">
        <v>52390.73</v>
      </c>
      <c r="U39" s="32">
        <v>65294.25</v>
      </c>
      <c r="V39" s="32">
        <v>38842.14</v>
      </c>
      <c r="W39" s="32">
        <v>1888.78</v>
      </c>
      <c r="X39" s="32">
        <v>5361153.17</v>
      </c>
    </row>
    <row r="40" spans="1:24" x14ac:dyDescent="0.2">
      <c r="A40" s="9" t="s">
        <v>380</v>
      </c>
      <c r="B40" s="32">
        <v>91760.83</v>
      </c>
      <c r="C40" s="32">
        <v>90519.2</v>
      </c>
      <c r="D40" s="32">
        <v>66394.52</v>
      </c>
      <c r="E40" s="32">
        <v>38622.19</v>
      </c>
      <c r="F40" s="32">
        <v>71937.539999999994</v>
      </c>
      <c r="G40" s="32">
        <v>60721.11</v>
      </c>
      <c r="H40" s="32">
        <v>63562.61</v>
      </c>
      <c r="I40" s="32">
        <v>96177.84</v>
      </c>
      <c r="J40" s="32">
        <v>71831.839999999997</v>
      </c>
      <c r="K40" s="32">
        <v>125977.4</v>
      </c>
      <c r="L40" s="32">
        <v>125526.7</v>
      </c>
      <c r="M40" s="32">
        <v>281426.96000000002</v>
      </c>
      <c r="N40" s="32">
        <v>163523.23000000001</v>
      </c>
      <c r="O40" s="32">
        <v>143477.72</v>
      </c>
      <c r="P40" s="32">
        <v>164937.47</v>
      </c>
      <c r="Q40" s="32">
        <v>126939.42</v>
      </c>
      <c r="R40" s="32">
        <v>41744.620000000003</v>
      </c>
      <c r="S40" s="32">
        <v>37763.72</v>
      </c>
      <c r="T40" s="32">
        <v>23069.66</v>
      </c>
      <c r="U40" s="32">
        <v>30933.51</v>
      </c>
      <c r="V40" s="32">
        <v>21722.49</v>
      </c>
      <c r="W40" s="32">
        <v>1995.57</v>
      </c>
      <c r="X40" s="32">
        <v>1940566.15</v>
      </c>
    </row>
    <row r="41" spans="1:24" x14ac:dyDescent="0.2">
      <c r="A41" s="9" t="s">
        <v>381</v>
      </c>
      <c r="B41" s="32">
        <v>848914.1</v>
      </c>
      <c r="C41" s="32">
        <v>456177.77</v>
      </c>
      <c r="D41" s="32">
        <v>352805.59</v>
      </c>
      <c r="E41" s="32">
        <v>341351.38</v>
      </c>
      <c r="F41" s="32">
        <v>567597.80000000005</v>
      </c>
      <c r="G41" s="32">
        <v>456960.9</v>
      </c>
      <c r="H41" s="32">
        <v>385443.74</v>
      </c>
      <c r="I41" s="32">
        <v>251096.46</v>
      </c>
      <c r="J41" s="32">
        <v>313989.83</v>
      </c>
      <c r="K41" s="32">
        <v>413050.29</v>
      </c>
      <c r="L41" s="32">
        <v>608864.1</v>
      </c>
      <c r="M41" s="32">
        <v>646668.47</v>
      </c>
      <c r="N41" s="32">
        <v>494228.55</v>
      </c>
      <c r="O41" s="32">
        <v>553053.04</v>
      </c>
      <c r="P41" s="32">
        <v>486690.49</v>
      </c>
      <c r="Q41" s="32">
        <v>636602.66</v>
      </c>
      <c r="R41" s="32">
        <v>0</v>
      </c>
      <c r="S41" s="32">
        <v>0</v>
      </c>
      <c r="T41" s="32">
        <v>0</v>
      </c>
      <c r="U41" s="32">
        <v>16494.400000000001</v>
      </c>
      <c r="V41" s="32">
        <v>23791.040000000001</v>
      </c>
      <c r="W41" s="32">
        <v>0</v>
      </c>
      <c r="X41" s="32">
        <v>7853780.6100000003</v>
      </c>
    </row>
    <row r="42" spans="1:24" x14ac:dyDescent="0.2">
      <c r="A42" s="9" t="s">
        <v>382</v>
      </c>
      <c r="B42" s="32">
        <v>0</v>
      </c>
      <c r="C42" s="32">
        <v>0</v>
      </c>
      <c r="D42" s="32">
        <v>33.76</v>
      </c>
      <c r="E42" s="32">
        <v>0</v>
      </c>
      <c r="F42" s="32">
        <v>0</v>
      </c>
      <c r="G42" s="32">
        <v>645.98</v>
      </c>
      <c r="H42" s="32">
        <v>0</v>
      </c>
      <c r="I42" s="32">
        <v>127.07</v>
      </c>
      <c r="J42" s="32">
        <v>0</v>
      </c>
      <c r="K42" s="32">
        <v>0</v>
      </c>
      <c r="L42" s="32">
        <v>0</v>
      </c>
      <c r="M42" s="32">
        <v>-21.48</v>
      </c>
      <c r="N42" s="32">
        <v>0</v>
      </c>
      <c r="O42" s="32">
        <v>0</v>
      </c>
      <c r="P42" s="32">
        <v>2362.3200000000002</v>
      </c>
      <c r="Q42" s="32">
        <v>6064.16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9211.81</v>
      </c>
    </row>
    <row r="43" spans="1:24" x14ac:dyDescent="0.2">
      <c r="A43" s="9" t="s">
        <v>383</v>
      </c>
      <c r="B43" s="35">
        <v>1495024.54</v>
      </c>
      <c r="C43" s="35">
        <v>931605.05</v>
      </c>
      <c r="D43" s="35">
        <v>753273.67</v>
      </c>
      <c r="E43" s="35">
        <v>774064.15</v>
      </c>
      <c r="F43" s="35">
        <v>1066340.69</v>
      </c>
      <c r="G43" s="35">
        <v>879887.06</v>
      </c>
      <c r="H43" s="35">
        <v>720008.2</v>
      </c>
      <c r="I43" s="35">
        <v>528581.37</v>
      </c>
      <c r="J43" s="35">
        <v>534275.99</v>
      </c>
      <c r="K43" s="35">
        <v>755202.38</v>
      </c>
      <c r="L43" s="35">
        <v>902044.67</v>
      </c>
      <c r="M43" s="35">
        <v>1268981.46</v>
      </c>
      <c r="N43" s="35">
        <v>923742.29</v>
      </c>
      <c r="O43" s="35">
        <v>1016482.37</v>
      </c>
      <c r="P43" s="35">
        <v>1158853.8899999999</v>
      </c>
      <c r="Q43" s="35">
        <v>996333.88</v>
      </c>
      <c r="R43" s="35">
        <v>80899.44</v>
      </c>
      <c r="S43" s="35">
        <v>102688.07</v>
      </c>
      <c r="T43" s="35">
        <v>75460.39</v>
      </c>
      <c r="U43" s="35">
        <v>112722.16</v>
      </c>
      <c r="V43" s="35">
        <v>84355.67</v>
      </c>
      <c r="W43" s="35">
        <v>3884.35</v>
      </c>
      <c r="X43" s="35">
        <v>15164711.74</v>
      </c>
    </row>
    <row r="44" spans="1:24" x14ac:dyDescent="0.2">
      <c r="A44" s="9" t="s">
        <v>384</v>
      </c>
      <c r="B44" s="33">
        <v>1495024.54</v>
      </c>
      <c r="C44" s="33">
        <v>931605.05</v>
      </c>
      <c r="D44" s="33">
        <v>753273.67</v>
      </c>
      <c r="E44" s="33">
        <v>774064.15</v>
      </c>
      <c r="F44" s="33">
        <v>1066340.69</v>
      </c>
      <c r="G44" s="33">
        <v>879887.06</v>
      </c>
      <c r="H44" s="33">
        <v>720008.2</v>
      </c>
      <c r="I44" s="33">
        <v>528581.37</v>
      </c>
      <c r="J44" s="33">
        <v>534275.99</v>
      </c>
      <c r="K44" s="33">
        <v>755202.38</v>
      </c>
      <c r="L44" s="33">
        <v>902044.67</v>
      </c>
      <c r="M44" s="33">
        <v>1268981.46</v>
      </c>
      <c r="N44" s="33">
        <v>923742.29</v>
      </c>
      <c r="O44" s="33">
        <v>1016482.37</v>
      </c>
      <c r="P44" s="33">
        <v>1158853.8899999999</v>
      </c>
      <c r="Q44" s="33">
        <v>996333.88</v>
      </c>
      <c r="R44" s="33">
        <v>80899.44</v>
      </c>
      <c r="S44" s="33">
        <v>102688.07</v>
      </c>
      <c r="T44" s="33">
        <v>75460.39</v>
      </c>
      <c r="U44" s="33">
        <v>112722.16</v>
      </c>
      <c r="V44" s="33">
        <v>84355.67</v>
      </c>
      <c r="W44" s="33">
        <v>3884.35</v>
      </c>
      <c r="X44" s="33">
        <v>15164711.74</v>
      </c>
    </row>
    <row r="45" spans="1:24" x14ac:dyDescent="0.2">
      <c r="A45" s="9" t="s">
        <v>385</v>
      </c>
      <c r="B45" s="34" t="s">
        <v>72</v>
      </c>
      <c r="C45" s="34" t="s">
        <v>72</v>
      </c>
      <c r="D45" s="34" t="s">
        <v>72</v>
      </c>
      <c r="E45" s="34" t="s">
        <v>72</v>
      </c>
      <c r="F45" s="34" t="s">
        <v>72</v>
      </c>
      <c r="G45" s="34" t="s">
        <v>72</v>
      </c>
      <c r="H45" s="34" t="s">
        <v>72</v>
      </c>
      <c r="I45" s="34" t="s">
        <v>72</v>
      </c>
      <c r="J45" s="34" t="s">
        <v>72</v>
      </c>
      <c r="K45" s="34" t="s">
        <v>72</v>
      </c>
      <c r="L45" s="34" t="s">
        <v>72</v>
      </c>
      <c r="M45" s="34" t="s">
        <v>72</v>
      </c>
      <c r="N45" s="34" t="s">
        <v>72</v>
      </c>
      <c r="O45" s="34" t="s">
        <v>72</v>
      </c>
      <c r="P45" s="34" t="s">
        <v>72</v>
      </c>
      <c r="Q45" s="34" t="s">
        <v>72</v>
      </c>
      <c r="R45" s="34" t="s">
        <v>72</v>
      </c>
      <c r="S45" s="34" t="s">
        <v>72</v>
      </c>
      <c r="T45" s="34" t="s">
        <v>72</v>
      </c>
      <c r="U45" s="34" t="s">
        <v>72</v>
      </c>
      <c r="V45" s="34" t="s">
        <v>72</v>
      </c>
      <c r="W45" s="34" t="s">
        <v>72</v>
      </c>
      <c r="X45" s="34" t="s">
        <v>72</v>
      </c>
    </row>
    <row r="46" spans="1:24" x14ac:dyDescent="0.2">
      <c r="A46" s="9" t="s">
        <v>386</v>
      </c>
      <c r="B46" s="9" t="s">
        <v>359</v>
      </c>
      <c r="C46" s="9" t="s">
        <v>359</v>
      </c>
      <c r="D46" s="9" t="s">
        <v>359</v>
      </c>
      <c r="E46" s="9" t="s">
        <v>359</v>
      </c>
      <c r="F46" s="9" t="s">
        <v>359</v>
      </c>
      <c r="G46" s="9" t="s">
        <v>359</v>
      </c>
      <c r="H46" s="9" t="s">
        <v>359</v>
      </c>
      <c r="I46" s="9" t="s">
        <v>359</v>
      </c>
      <c r="J46" s="9" t="s">
        <v>359</v>
      </c>
      <c r="K46" s="9" t="s">
        <v>359</v>
      </c>
      <c r="L46" s="9" t="s">
        <v>359</v>
      </c>
      <c r="M46" s="9" t="s">
        <v>359</v>
      </c>
      <c r="N46" s="9" t="s">
        <v>359</v>
      </c>
      <c r="O46" s="9" t="s">
        <v>359</v>
      </c>
      <c r="P46" s="9" t="s">
        <v>359</v>
      </c>
      <c r="Q46" s="9" t="s">
        <v>359</v>
      </c>
      <c r="R46" s="9" t="s">
        <v>359</v>
      </c>
      <c r="S46" s="9" t="s">
        <v>359</v>
      </c>
      <c r="T46" s="9" t="s">
        <v>359</v>
      </c>
      <c r="U46" s="9" t="s">
        <v>359</v>
      </c>
      <c r="V46" s="9" t="s">
        <v>359</v>
      </c>
      <c r="W46" s="9" t="s">
        <v>359</v>
      </c>
      <c r="X46" s="9" t="s">
        <v>359</v>
      </c>
    </row>
    <row r="47" spans="1:24" x14ac:dyDescent="0.2">
      <c r="A47" s="9" t="s">
        <v>387</v>
      </c>
      <c r="B47" s="32">
        <v>-2285.71</v>
      </c>
      <c r="C47" s="32">
        <v>-2285.71</v>
      </c>
      <c r="D47" s="32">
        <v>-2285.71</v>
      </c>
      <c r="E47" s="32">
        <v>-2285.7199999999998</v>
      </c>
      <c r="F47" s="32">
        <v>-2285.7199999999998</v>
      </c>
      <c r="G47" s="32">
        <v>-2285.7199999999998</v>
      </c>
      <c r="H47" s="32">
        <v>-2285.71</v>
      </c>
      <c r="I47" s="32">
        <v>-9216.59</v>
      </c>
      <c r="J47" s="32">
        <v>-9216.59</v>
      </c>
      <c r="K47" s="32">
        <v>-9216.59</v>
      </c>
      <c r="L47" s="32">
        <v>-9216.59</v>
      </c>
      <c r="M47" s="32">
        <v>-9216.59</v>
      </c>
      <c r="N47" s="32">
        <v>-9216.59</v>
      </c>
      <c r="O47" s="32">
        <v>-9216.59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-80516.13</v>
      </c>
    </row>
    <row r="48" spans="1:24" x14ac:dyDescent="0.2">
      <c r="A48" s="9" t="s">
        <v>388</v>
      </c>
      <c r="B48" s="35">
        <v>-2285.71</v>
      </c>
      <c r="C48" s="35">
        <v>-2285.71</v>
      </c>
      <c r="D48" s="35">
        <v>-2285.71</v>
      </c>
      <c r="E48" s="35">
        <v>-2285.7199999999998</v>
      </c>
      <c r="F48" s="35">
        <v>-2285.7199999999998</v>
      </c>
      <c r="G48" s="35">
        <v>-2285.7199999999998</v>
      </c>
      <c r="H48" s="35">
        <v>-2285.71</v>
      </c>
      <c r="I48" s="35">
        <v>-9216.59</v>
      </c>
      <c r="J48" s="35">
        <v>-9216.59</v>
      </c>
      <c r="K48" s="35">
        <v>-9216.59</v>
      </c>
      <c r="L48" s="35">
        <v>-9216.59</v>
      </c>
      <c r="M48" s="35">
        <v>-9216.59</v>
      </c>
      <c r="N48" s="35">
        <v>-9216.59</v>
      </c>
      <c r="O48" s="35">
        <v>-9216.59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-80516.13</v>
      </c>
    </row>
    <row r="49" spans="1:24" x14ac:dyDescent="0.2">
      <c r="A49" s="9" t="s">
        <v>389</v>
      </c>
      <c r="B49" s="32">
        <v>75068.97</v>
      </c>
      <c r="C49" s="32">
        <v>-47849.13</v>
      </c>
      <c r="D49" s="32">
        <v>-66477.649999999994</v>
      </c>
      <c r="E49" s="32">
        <v>-87248.68</v>
      </c>
      <c r="F49" s="32">
        <v>120426.18</v>
      </c>
      <c r="G49" s="32">
        <v>-64262.35</v>
      </c>
      <c r="H49" s="32">
        <v>22367.72</v>
      </c>
      <c r="I49" s="32">
        <v>-64488.29</v>
      </c>
      <c r="J49" s="32">
        <v>-68205.56</v>
      </c>
      <c r="K49" s="32">
        <v>-90600.48</v>
      </c>
      <c r="L49" s="32">
        <v>35521.74</v>
      </c>
      <c r="M49" s="32">
        <v>297611.53000000003</v>
      </c>
      <c r="N49" s="32">
        <v>-8348.7800000000007</v>
      </c>
      <c r="O49" s="32">
        <v>7557.64</v>
      </c>
      <c r="P49" s="32">
        <v>-258248.59</v>
      </c>
      <c r="Q49" s="32">
        <v>-92660.18</v>
      </c>
      <c r="R49" s="32">
        <v>-39631.120000000003</v>
      </c>
      <c r="S49" s="32">
        <v>-63729.99</v>
      </c>
      <c r="T49" s="32">
        <v>-82555.38</v>
      </c>
      <c r="U49" s="32">
        <v>-34532.32</v>
      </c>
      <c r="V49" s="32">
        <v>-19262.75</v>
      </c>
      <c r="W49" s="32">
        <v>-29323.17</v>
      </c>
      <c r="X49" s="32">
        <v>-558870.64</v>
      </c>
    </row>
    <row r="50" spans="1:24" x14ac:dyDescent="0.2">
      <c r="A50" s="9" t="s">
        <v>390</v>
      </c>
      <c r="B50" s="32">
        <v>213900.28</v>
      </c>
      <c r="C50" s="32">
        <v>29155.51</v>
      </c>
      <c r="D50" s="32">
        <v>-56909.599999999999</v>
      </c>
      <c r="E50" s="32">
        <v>-50471.6</v>
      </c>
      <c r="F50" s="32">
        <v>142926.21</v>
      </c>
      <c r="G50" s="32">
        <v>-98835.28</v>
      </c>
      <c r="H50" s="32">
        <v>-71147.16</v>
      </c>
      <c r="I50" s="32">
        <v>-168189.6</v>
      </c>
      <c r="J50" s="32">
        <v>-165111.19</v>
      </c>
      <c r="K50" s="32">
        <v>-284697.48</v>
      </c>
      <c r="L50" s="32">
        <v>150400.04999999999</v>
      </c>
      <c r="M50" s="32">
        <v>337661.63</v>
      </c>
      <c r="N50" s="32">
        <v>-57333.69</v>
      </c>
      <c r="O50" s="32">
        <v>-207643.31</v>
      </c>
      <c r="P50" s="32">
        <v>48607.93</v>
      </c>
      <c r="Q50" s="32">
        <v>-96244.5</v>
      </c>
      <c r="R50" s="32">
        <v>-10809</v>
      </c>
      <c r="S50" s="32">
        <v>-19812.45</v>
      </c>
      <c r="T50" s="32">
        <v>-115154.06</v>
      </c>
      <c r="U50" s="32">
        <v>881.48</v>
      </c>
      <c r="V50" s="32">
        <v>34541.25</v>
      </c>
      <c r="W50" s="32">
        <v>-36131.050000000003</v>
      </c>
      <c r="X50" s="32">
        <v>-480415.63</v>
      </c>
    </row>
    <row r="51" spans="1:24" x14ac:dyDescent="0.2">
      <c r="A51" s="9" t="s">
        <v>391</v>
      </c>
      <c r="B51" s="33">
        <v>286683.53999999998</v>
      </c>
      <c r="C51" s="33">
        <v>-20979.33</v>
      </c>
      <c r="D51" s="33">
        <v>-125672.96000000001</v>
      </c>
      <c r="E51" s="33">
        <v>-140006</v>
      </c>
      <c r="F51" s="33">
        <v>261066.67</v>
      </c>
      <c r="G51" s="33">
        <v>-165383.35</v>
      </c>
      <c r="H51" s="33">
        <v>-51065.15</v>
      </c>
      <c r="I51" s="33">
        <v>-241894.48</v>
      </c>
      <c r="J51" s="33">
        <v>-242533.34</v>
      </c>
      <c r="K51" s="33">
        <v>-384514.55</v>
      </c>
      <c r="L51" s="33">
        <v>176705.2</v>
      </c>
      <c r="M51" s="33">
        <v>626056.56999999995</v>
      </c>
      <c r="N51" s="33">
        <v>-74899.06</v>
      </c>
      <c r="O51" s="33">
        <v>-209302.26</v>
      </c>
      <c r="P51" s="33">
        <v>-209640.66</v>
      </c>
      <c r="Q51" s="33">
        <v>-188904.68</v>
      </c>
      <c r="R51" s="33">
        <v>-50440.12</v>
      </c>
      <c r="S51" s="33">
        <v>-83542.44</v>
      </c>
      <c r="T51" s="33">
        <v>-197709.44</v>
      </c>
      <c r="U51" s="33">
        <v>-33650.839999999997</v>
      </c>
      <c r="V51" s="33">
        <v>15278.5</v>
      </c>
      <c r="W51" s="33">
        <v>-65454.22</v>
      </c>
      <c r="X51" s="33">
        <v>-1119802.3999999999</v>
      </c>
    </row>
    <row r="52" spans="1:24" ht="13.5" thickBot="1" x14ac:dyDescent="0.25">
      <c r="A52" s="31" t="s">
        <v>392</v>
      </c>
      <c r="B52" s="36">
        <v>1781708.08</v>
      </c>
      <c r="C52" s="36">
        <v>910625.72</v>
      </c>
      <c r="D52" s="36">
        <v>627600.71</v>
      </c>
      <c r="E52" s="36">
        <v>634058.15</v>
      </c>
      <c r="F52" s="36">
        <v>1327407.3600000001</v>
      </c>
      <c r="G52" s="36">
        <v>714503.71</v>
      </c>
      <c r="H52" s="36">
        <v>668943.05000000005</v>
      </c>
      <c r="I52" s="36">
        <v>286686.89</v>
      </c>
      <c r="J52" s="36">
        <v>291742.65000000002</v>
      </c>
      <c r="K52" s="36">
        <v>370687.83</v>
      </c>
      <c r="L52" s="36">
        <v>1078749.8700000001</v>
      </c>
      <c r="M52" s="36">
        <v>1895038.03</v>
      </c>
      <c r="N52" s="36">
        <v>848843.23</v>
      </c>
      <c r="O52" s="36">
        <v>807180.11</v>
      </c>
      <c r="P52" s="36">
        <v>949213.23</v>
      </c>
      <c r="Q52" s="36">
        <v>807429.2</v>
      </c>
      <c r="R52" s="36">
        <v>30459.32</v>
      </c>
      <c r="S52" s="36">
        <v>19145.63</v>
      </c>
      <c r="T52" s="36">
        <v>-122249.05</v>
      </c>
      <c r="U52" s="36">
        <v>79071.320000000007</v>
      </c>
      <c r="V52" s="36">
        <v>99634.17</v>
      </c>
      <c r="W52" s="36">
        <v>-61569.87</v>
      </c>
      <c r="X52" s="36">
        <v>14044909.34</v>
      </c>
    </row>
    <row r="53" spans="1:24" ht="13.5" thickTop="1" x14ac:dyDescent="0.2">
      <c r="A53" s="4" t="s">
        <v>6</v>
      </c>
    </row>
    <row r="54" spans="1:24" x14ac:dyDescent="0.2">
      <c r="A54" s="4" t="s">
        <v>6</v>
      </c>
    </row>
    <row r="55" spans="1:24" x14ac:dyDescent="0.2">
      <c r="A55" s="9" t="s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topLeftCell="A26" workbookViewId="0">
      <selection activeCell="E26" sqref="E26"/>
    </sheetView>
  </sheetViews>
  <sheetFormatPr defaultColWidth="9.140625" defaultRowHeight="12.75" x14ac:dyDescent="0.2"/>
  <cols>
    <col min="1" max="1" width="45.8554687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1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31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33</v>
      </c>
      <c r="B12" s="11">
        <v>6958746</v>
      </c>
      <c r="C12" s="11">
        <v>531865</v>
      </c>
      <c r="D12" s="11">
        <v>376445</v>
      </c>
      <c r="E12" s="11">
        <v>313930</v>
      </c>
      <c r="F12" s="11">
        <v>326956</v>
      </c>
      <c r="G12" s="11">
        <v>392295</v>
      </c>
      <c r="H12" s="11">
        <v>270507</v>
      </c>
      <c r="I12" s="11">
        <v>243410</v>
      </c>
      <c r="J12" s="11">
        <v>253936</v>
      </c>
      <c r="K12" s="11">
        <v>256027</v>
      </c>
      <c r="L12" s="11">
        <v>334446</v>
      </c>
      <c r="M12" s="11">
        <v>475222</v>
      </c>
      <c r="N12" s="11">
        <v>918704</v>
      </c>
      <c r="O12" s="11">
        <v>505022</v>
      </c>
      <c r="P12" s="11">
        <v>506497</v>
      </c>
      <c r="Q12" s="11">
        <v>369405</v>
      </c>
      <c r="R12" s="11">
        <v>381418</v>
      </c>
      <c r="S12" s="11">
        <v>113064</v>
      </c>
      <c r="T12" s="11">
        <v>125006</v>
      </c>
      <c r="U12" s="11">
        <v>54518</v>
      </c>
      <c r="V12" s="11">
        <v>130098</v>
      </c>
      <c r="W12" s="11">
        <v>79977</v>
      </c>
      <c r="X12" s="11">
        <v>0</v>
      </c>
    </row>
    <row r="13" spans="1:24" x14ac:dyDescent="0.2">
      <c r="A13" s="6" t="s">
        <v>34</v>
      </c>
      <c r="B13" s="11">
        <v>399671</v>
      </c>
      <c r="C13" s="11">
        <v>28454</v>
      </c>
      <c r="D13" s="11">
        <v>14381</v>
      </c>
      <c r="E13" s="11">
        <v>24422</v>
      </c>
      <c r="F13" s="11">
        <v>19450</v>
      </c>
      <c r="G13" s="11">
        <v>23002</v>
      </c>
      <c r="H13" s="11">
        <v>19162</v>
      </c>
      <c r="I13" s="11">
        <v>6583</v>
      </c>
      <c r="J13" s="11">
        <v>22483</v>
      </c>
      <c r="K13" s="11">
        <v>17722</v>
      </c>
      <c r="L13" s="11">
        <v>18720</v>
      </c>
      <c r="M13" s="11">
        <v>22982</v>
      </c>
      <c r="N13" s="11">
        <v>63955</v>
      </c>
      <c r="O13" s="11">
        <v>39670</v>
      </c>
      <c r="P13" s="11">
        <v>38461</v>
      </c>
      <c r="Q13" s="11">
        <v>18490</v>
      </c>
      <c r="R13" s="11">
        <v>21734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</row>
    <row r="14" spans="1:24" x14ac:dyDescent="0.2">
      <c r="A14" s="6" t="s">
        <v>35</v>
      </c>
      <c r="B14" s="11">
        <v>285371</v>
      </c>
      <c r="C14" s="11">
        <v>22574</v>
      </c>
      <c r="D14" s="11">
        <v>41561</v>
      </c>
      <c r="E14" s="11">
        <v>-688</v>
      </c>
      <c r="F14" s="11">
        <v>20097</v>
      </c>
      <c r="G14" s="11">
        <v>30847</v>
      </c>
      <c r="H14" s="11">
        <v>12834</v>
      </c>
      <c r="I14" s="11">
        <v>24388</v>
      </c>
      <c r="J14" s="11">
        <v>11105</v>
      </c>
      <c r="K14" s="11">
        <v>38</v>
      </c>
      <c r="L14" s="11">
        <v>10105</v>
      </c>
      <c r="M14" s="11">
        <v>17208</v>
      </c>
      <c r="N14" s="11">
        <v>14126</v>
      </c>
      <c r="O14" s="11">
        <v>15337</v>
      </c>
      <c r="P14" s="11">
        <v>30800</v>
      </c>
      <c r="Q14" s="11">
        <v>19299</v>
      </c>
      <c r="R14" s="11">
        <v>15472</v>
      </c>
      <c r="S14" s="11">
        <v>0</v>
      </c>
      <c r="T14" s="11">
        <v>269</v>
      </c>
      <c r="U14" s="11">
        <v>0</v>
      </c>
      <c r="V14" s="11">
        <v>0</v>
      </c>
      <c r="W14" s="11">
        <v>0</v>
      </c>
      <c r="X14" s="11">
        <v>0</v>
      </c>
    </row>
    <row r="15" spans="1:24" x14ac:dyDescent="0.2">
      <c r="A15" s="6" t="s">
        <v>36</v>
      </c>
      <c r="B15" s="12">
        <v>6273704</v>
      </c>
      <c r="C15" s="12">
        <v>480837</v>
      </c>
      <c r="D15" s="12">
        <v>320503</v>
      </c>
      <c r="E15" s="12">
        <v>290196</v>
      </c>
      <c r="F15" s="12">
        <v>287409</v>
      </c>
      <c r="G15" s="12">
        <v>338446</v>
      </c>
      <c r="H15" s="12">
        <v>238511</v>
      </c>
      <c r="I15" s="12">
        <v>212439</v>
      </c>
      <c r="J15" s="12">
        <v>220348</v>
      </c>
      <c r="K15" s="12">
        <v>238267</v>
      </c>
      <c r="L15" s="12">
        <v>305621</v>
      </c>
      <c r="M15" s="12">
        <v>435032</v>
      </c>
      <c r="N15" s="12">
        <v>840623</v>
      </c>
      <c r="O15" s="12">
        <v>450015</v>
      </c>
      <c r="P15" s="12">
        <v>437236</v>
      </c>
      <c r="Q15" s="12">
        <v>331616</v>
      </c>
      <c r="R15" s="12">
        <v>344212</v>
      </c>
      <c r="S15" s="12">
        <v>113064</v>
      </c>
      <c r="T15" s="12">
        <v>124737</v>
      </c>
      <c r="U15" s="12">
        <v>54518</v>
      </c>
      <c r="V15" s="12">
        <v>130098</v>
      </c>
      <c r="W15" s="12">
        <v>79977</v>
      </c>
      <c r="X15" s="12">
        <v>0</v>
      </c>
    </row>
    <row r="16" spans="1:24" x14ac:dyDescent="0.2">
      <c r="A16" s="6" t="s">
        <v>37</v>
      </c>
      <c r="B16" s="6" t="s">
        <v>32</v>
      </c>
      <c r="C16" s="6" t="s">
        <v>32</v>
      </c>
      <c r="D16" s="6" t="s">
        <v>32</v>
      </c>
      <c r="E16" s="6" t="s">
        <v>32</v>
      </c>
      <c r="F16" s="6" t="s">
        <v>32</v>
      </c>
      <c r="G16" s="6" t="s">
        <v>32</v>
      </c>
      <c r="H16" s="6" t="s">
        <v>32</v>
      </c>
      <c r="I16" s="6" t="s">
        <v>32</v>
      </c>
      <c r="J16" s="6" t="s">
        <v>32</v>
      </c>
      <c r="K16" s="6" t="s">
        <v>32</v>
      </c>
      <c r="L16" s="6" t="s">
        <v>32</v>
      </c>
      <c r="M16" s="6" t="s">
        <v>32</v>
      </c>
      <c r="N16" s="6" t="s">
        <v>32</v>
      </c>
      <c r="O16" s="6" t="s">
        <v>32</v>
      </c>
      <c r="P16" s="6" t="s">
        <v>32</v>
      </c>
      <c r="Q16" s="6" t="s">
        <v>32</v>
      </c>
      <c r="R16" s="6" t="s">
        <v>32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</row>
    <row r="17" spans="1:24" x14ac:dyDescent="0.2">
      <c r="A17" s="6" t="s">
        <v>38</v>
      </c>
      <c r="B17" s="11">
        <v>3126914</v>
      </c>
      <c r="C17" s="11">
        <v>185763</v>
      </c>
      <c r="D17" s="11">
        <v>138856</v>
      </c>
      <c r="E17" s="11">
        <v>138104</v>
      </c>
      <c r="F17" s="11">
        <v>149346</v>
      </c>
      <c r="G17" s="11">
        <v>147954</v>
      </c>
      <c r="H17" s="11">
        <v>116492</v>
      </c>
      <c r="I17" s="11">
        <v>95089</v>
      </c>
      <c r="J17" s="11">
        <v>148673</v>
      </c>
      <c r="K17" s="11">
        <v>155845</v>
      </c>
      <c r="L17" s="11">
        <v>182513</v>
      </c>
      <c r="M17" s="11">
        <v>190162</v>
      </c>
      <c r="N17" s="11">
        <v>389362</v>
      </c>
      <c r="O17" s="11">
        <v>224174</v>
      </c>
      <c r="P17" s="11">
        <v>307959</v>
      </c>
      <c r="Q17" s="11">
        <v>197195</v>
      </c>
      <c r="R17" s="11">
        <v>181498</v>
      </c>
      <c r="S17" s="11">
        <v>56554</v>
      </c>
      <c r="T17" s="11">
        <v>40790</v>
      </c>
      <c r="U17" s="11">
        <v>26648</v>
      </c>
      <c r="V17" s="11">
        <v>42076</v>
      </c>
      <c r="W17" s="11">
        <v>11862</v>
      </c>
      <c r="X17" s="11">
        <v>0</v>
      </c>
    </row>
    <row r="18" spans="1:24" x14ac:dyDescent="0.2">
      <c r="A18" s="6" t="s">
        <v>39</v>
      </c>
      <c r="B18" s="11">
        <v>243550</v>
      </c>
      <c r="C18" s="11">
        <v>14691</v>
      </c>
      <c r="D18" s="11">
        <v>15166</v>
      </c>
      <c r="E18" s="11">
        <v>13281</v>
      </c>
      <c r="F18" s="11">
        <v>15458</v>
      </c>
      <c r="G18" s="11">
        <v>11743</v>
      </c>
      <c r="H18" s="11">
        <v>14879</v>
      </c>
      <c r="I18" s="11">
        <v>5823</v>
      </c>
      <c r="J18" s="11">
        <v>9644</v>
      </c>
      <c r="K18" s="11">
        <v>8316</v>
      </c>
      <c r="L18" s="11">
        <v>11388</v>
      </c>
      <c r="M18" s="11">
        <v>14088</v>
      </c>
      <c r="N18" s="11">
        <v>34919</v>
      </c>
      <c r="O18" s="11">
        <v>11412</v>
      </c>
      <c r="P18" s="11">
        <v>16144</v>
      </c>
      <c r="Q18" s="11">
        <v>16232</v>
      </c>
      <c r="R18" s="11">
        <v>19454</v>
      </c>
      <c r="S18" s="11">
        <v>2308</v>
      </c>
      <c r="T18" s="11">
        <v>2298</v>
      </c>
      <c r="U18" s="11">
        <v>1804</v>
      </c>
      <c r="V18" s="11">
        <v>2059</v>
      </c>
      <c r="W18" s="11">
        <v>2443</v>
      </c>
      <c r="X18" s="11">
        <v>0</v>
      </c>
    </row>
    <row r="19" spans="1:24" x14ac:dyDescent="0.2">
      <c r="A19" s="6" t="s">
        <v>40</v>
      </c>
      <c r="B19" s="11">
        <v>407599</v>
      </c>
      <c r="C19" s="11">
        <v>17826</v>
      </c>
      <c r="D19" s="11">
        <v>16654</v>
      </c>
      <c r="E19" s="11">
        <v>12084</v>
      </c>
      <c r="F19" s="11">
        <v>22065</v>
      </c>
      <c r="G19" s="11">
        <v>15575</v>
      </c>
      <c r="H19" s="11">
        <v>15203</v>
      </c>
      <c r="I19" s="11">
        <v>6875</v>
      </c>
      <c r="J19" s="11">
        <v>13822</v>
      </c>
      <c r="K19" s="11">
        <v>12570</v>
      </c>
      <c r="L19" s="11">
        <v>28491</v>
      </c>
      <c r="M19" s="11">
        <v>19217</v>
      </c>
      <c r="N19" s="11">
        <v>37693</v>
      </c>
      <c r="O19" s="11">
        <v>43901</v>
      </c>
      <c r="P19" s="11">
        <v>44682</v>
      </c>
      <c r="Q19" s="11">
        <v>16269</v>
      </c>
      <c r="R19" s="11">
        <v>18899</v>
      </c>
      <c r="S19" s="11">
        <v>10618</v>
      </c>
      <c r="T19" s="11">
        <v>15018</v>
      </c>
      <c r="U19" s="11">
        <v>17841</v>
      </c>
      <c r="V19" s="11">
        <v>14818</v>
      </c>
      <c r="W19" s="11">
        <v>7036</v>
      </c>
      <c r="X19" s="11">
        <v>444</v>
      </c>
    </row>
    <row r="20" spans="1:24" x14ac:dyDescent="0.2">
      <c r="A20" s="6" t="s">
        <v>41</v>
      </c>
      <c r="B20" s="11">
        <v>597581</v>
      </c>
      <c r="C20" s="11">
        <v>34904</v>
      </c>
      <c r="D20" s="11">
        <v>29649</v>
      </c>
      <c r="E20" s="11">
        <v>29958</v>
      </c>
      <c r="F20" s="11">
        <v>26644</v>
      </c>
      <c r="G20" s="11">
        <v>28142</v>
      </c>
      <c r="H20" s="11">
        <v>23478</v>
      </c>
      <c r="I20" s="11">
        <v>21228</v>
      </c>
      <c r="J20" s="11">
        <v>29416</v>
      </c>
      <c r="K20" s="11">
        <v>24491</v>
      </c>
      <c r="L20" s="11">
        <v>34361</v>
      </c>
      <c r="M20" s="11">
        <v>40510</v>
      </c>
      <c r="N20" s="11">
        <v>72933</v>
      </c>
      <c r="O20" s="11">
        <v>39368</v>
      </c>
      <c r="P20" s="11">
        <v>36894</v>
      </c>
      <c r="Q20" s="11">
        <v>31818</v>
      </c>
      <c r="R20" s="11">
        <v>32732</v>
      </c>
      <c r="S20" s="11">
        <v>624</v>
      </c>
      <c r="T20" s="11">
        <v>18468</v>
      </c>
      <c r="U20" s="11">
        <v>10109</v>
      </c>
      <c r="V20" s="11">
        <v>17335</v>
      </c>
      <c r="W20" s="11">
        <v>14518</v>
      </c>
      <c r="X20" s="11">
        <v>0</v>
      </c>
    </row>
    <row r="21" spans="1:24" x14ac:dyDescent="0.2">
      <c r="A21" s="6" t="s">
        <v>42</v>
      </c>
      <c r="B21" s="11">
        <v>485154</v>
      </c>
      <c r="C21" s="11">
        <v>27749</v>
      </c>
      <c r="D21" s="11">
        <v>23803</v>
      </c>
      <c r="E21" s="11">
        <v>20980</v>
      </c>
      <c r="F21" s="11">
        <v>2535</v>
      </c>
      <c r="G21" s="11">
        <v>23349</v>
      </c>
      <c r="H21" s="11">
        <v>20404</v>
      </c>
      <c r="I21" s="11">
        <v>17843</v>
      </c>
      <c r="J21" s="11">
        <v>31226</v>
      </c>
      <c r="K21" s="11">
        <v>15807</v>
      </c>
      <c r="L21" s="11">
        <v>44856</v>
      </c>
      <c r="M21" s="11">
        <v>28060</v>
      </c>
      <c r="N21" s="11">
        <v>51058</v>
      </c>
      <c r="O21" s="11">
        <v>36321</v>
      </c>
      <c r="P21" s="11">
        <v>35216</v>
      </c>
      <c r="Q21" s="11">
        <v>30006</v>
      </c>
      <c r="R21" s="11">
        <v>29248</v>
      </c>
      <c r="S21" s="11">
        <v>9475</v>
      </c>
      <c r="T21" s="11">
        <v>19989</v>
      </c>
      <c r="U21" s="11">
        <v>5144</v>
      </c>
      <c r="V21" s="11">
        <v>9057</v>
      </c>
      <c r="W21" s="11">
        <v>2733</v>
      </c>
      <c r="X21" s="11">
        <v>292</v>
      </c>
    </row>
    <row r="22" spans="1:24" x14ac:dyDescent="0.2">
      <c r="A22" s="6" t="s">
        <v>43</v>
      </c>
      <c r="B22" s="11">
        <v>52763</v>
      </c>
      <c r="C22" s="11">
        <v>256</v>
      </c>
      <c r="D22" s="11">
        <v>129</v>
      </c>
      <c r="E22" s="11">
        <v>3795</v>
      </c>
      <c r="F22" s="11">
        <v>257</v>
      </c>
      <c r="G22" s="11">
        <v>3580</v>
      </c>
      <c r="H22" s="11">
        <v>1489</v>
      </c>
      <c r="I22" s="11">
        <v>34</v>
      </c>
      <c r="J22" s="11">
        <v>6173</v>
      </c>
      <c r="K22" s="11">
        <v>2828</v>
      </c>
      <c r="L22" s="11">
        <v>5632</v>
      </c>
      <c r="M22" s="11">
        <v>5384</v>
      </c>
      <c r="N22" s="11">
        <v>5455</v>
      </c>
      <c r="O22" s="11">
        <v>8722</v>
      </c>
      <c r="P22" s="11">
        <v>2546</v>
      </c>
      <c r="Q22" s="11">
        <v>5876</v>
      </c>
      <c r="R22" s="11">
        <v>348</v>
      </c>
      <c r="S22" s="11">
        <v>64</v>
      </c>
      <c r="T22" s="11">
        <v>132</v>
      </c>
      <c r="U22" s="11">
        <v>0</v>
      </c>
      <c r="V22" s="11">
        <v>0</v>
      </c>
      <c r="W22" s="11">
        <v>64</v>
      </c>
      <c r="X22" s="11">
        <v>0</v>
      </c>
    </row>
    <row r="23" spans="1:24" x14ac:dyDescent="0.2">
      <c r="A23" s="6" t="s">
        <v>44</v>
      </c>
      <c r="B23" s="12">
        <v>4913561</v>
      </c>
      <c r="C23" s="12">
        <v>281189</v>
      </c>
      <c r="D23" s="12">
        <v>224257</v>
      </c>
      <c r="E23" s="12">
        <v>218202</v>
      </c>
      <c r="F23" s="12">
        <v>216305</v>
      </c>
      <c r="G23" s="12">
        <v>230343</v>
      </c>
      <c r="H23" s="12">
        <v>191945</v>
      </c>
      <c r="I23" s="12">
        <v>146892</v>
      </c>
      <c r="J23" s="12">
        <v>238954</v>
      </c>
      <c r="K23" s="12">
        <v>219857</v>
      </c>
      <c r="L23" s="12">
        <v>307241</v>
      </c>
      <c r="M23" s="12">
        <v>297421</v>
      </c>
      <c r="N23" s="12">
        <v>591420</v>
      </c>
      <c r="O23" s="12">
        <v>363898</v>
      </c>
      <c r="P23" s="12">
        <v>443441</v>
      </c>
      <c r="Q23" s="12">
        <v>297396</v>
      </c>
      <c r="R23" s="12">
        <v>282179</v>
      </c>
      <c r="S23" s="12">
        <v>79643</v>
      </c>
      <c r="T23" s="12">
        <v>96695</v>
      </c>
      <c r="U23" s="12">
        <v>61546</v>
      </c>
      <c r="V23" s="12">
        <v>85345</v>
      </c>
      <c r="W23" s="12">
        <v>38656</v>
      </c>
      <c r="X23" s="12">
        <v>736</v>
      </c>
    </row>
    <row r="24" spans="1:24" x14ac:dyDescent="0.2">
      <c r="A24" s="6" t="s">
        <v>45</v>
      </c>
      <c r="B24" s="12">
        <v>1360143</v>
      </c>
      <c r="C24" s="12">
        <v>199648</v>
      </c>
      <c r="D24" s="12">
        <v>96246</v>
      </c>
      <c r="E24" s="12">
        <v>71994</v>
      </c>
      <c r="F24" s="12">
        <v>71104</v>
      </c>
      <c r="G24" s="12">
        <v>108103</v>
      </c>
      <c r="H24" s="12">
        <v>46566</v>
      </c>
      <c r="I24" s="12">
        <v>65547</v>
      </c>
      <c r="J24" s="12">
        <v>-18606</v>
      </c>
      <c r="K24" s="12">
        <v>18410</v>
      </c>
      <c r="L24" s="12">
        <v>-1620</v>
      </c>
      <c r="M24" s="12">
        <v>137611</v>
      </c>
      <c r="N24" s="12">
        <v>249203</v>
      </c>
      <c r="O24" s="12">
        <v>86117</v>
      </c>
      <c r="P24" s="12">
        <v>-6205</v>
      </c>
      <c r="Q24" s="12">
        <v>34220</v>
      </c>
      <c r="R24" s="12">
        <v>62033</v>
      </c>
      <c r="S24" s="12">
        <v>33421</v>
      </c>
      <c r="T24" s="12">
        <v>28042</v>
      </c>
      <c r="U24" s="12">
        <v>-7028</v>
      </c>
      <c r="V24" s="12">
        <v>44753</v>
      </c>
      <c r="W24" s="12">
        <v>41321</v>
      </c>
      <c r="X24" s="12">
        <v>-736</v>
      </c>
    </row>
    <row r="25" spans="1:24" x14ac:dyDescent="0.2">
      <c r="A25" s="6" t="s">
        <v>46</v>
      </c>
      <c r="B25" s="11">
        <v>916980</v>
      </c>
      <c r="C25" s="11">
        <v>51705</v>
      </c>
      <c r="D25" s="11">
        <v>40270</v>
      </c>
      <c r="E25" s="11">
        <v>42289</v>
      </c>
      <c r="F25" s="11">
        <v>41280</v>
      </c>
      <c r="G25" s="11">
        <v>46915</v>
      </c>
      <c r="H25" s="11">
        <v>36654</v>
      </c>
      <c r="I25" s="11">
        <v>42951</v>
      </c>
      <c r="J25" s="11">
        <v>40459</v>
      </c>
      <c r="K25" s="11">
        <v>37058</v>
      </c>
      <c r="L25" s="11">
        <v>50650</v>
      </c>
      <c r="M25" s="11">
        <v>49473</v>
      </c>
      <c r="N25" s="11">
        <v>76299</v>
      </c>
      <c r="O25" s="11">
        <v>52498</v>
      </c>
      <c r="P25" s="11">
        <v>74421</v>
      </c>
      <c r="Q25" s="11">
        <v>81043</v>
      </c>
      <c r="R25" s="11">
        <v>67746</v>
      </c>
      <c r="S25" s="11">
        <v>18203</v>
      </c>
      <c r="T25" s="11">
        <v>15420</v>
      </c>
      <c r="U25" s="11">
        <v>14036</v>
      </c>
      <c r="V25" s="11">
        <v>24770</v>
      </c>
      <c r="W25" s="11">
        <v>10200</v>
      </c>
      <c r="X25" s="11">
        <v>2641</v>
      </c>
    </row>
    <row r="26" spans="1:24" x14ac:dyDescent="0.2">
      <c r="A26" s="6" t="s">
        <v>47</v>
      </c>
      <c r="B26" s="12">
        <v>443163</v>
      </c>
      <c r="C26" s="12">
        <v>147943</v>
      </c>
      <c r="D26" s="12">
        <v>55976</v>
      </c>
      <c r="E26" s="12">
        <v>29705</v>
      </c>
      <c r="F26" s="12">
        <v>29824</v>
      </c>
      <c r="G26" s="12">
        <v>61188</v>
      </c>
      <c r="H26" s="12">
        <v>9912</v>
      </c>
      <c r="I26" s="12">
        <v>22596</v>
      </c>
      <c r="J26" s="12">
        <v>-59065</v>
      </c>
      <c r="K26" s="12">
        <v>-18648</v>
      </c>
      <c r="L26" s="12">
        <v>-52270</v>
      </c>
      <c r="M26" s="12">
        <v>88138</v>
      </c>
      <c r="N26" s="12">
        <v>172904</v>
      </c>
      <c r="O26" s="12">
        <v>33619</v>
      </c>
      <c r="P26" s="12">
        <v>-80626</v>
      </c>
      <c r="Q26" s="12">
        <v>-46823</v>
      </c>
      <c r="R26" s="12">
        <v>-5713</v>
      </c>
      <c r="S26" s="12">
        <v>15218</v>
      </c>
      <c r="T26" s="12">
        <v>12622</v>
      </c>
      <c r="U26" s="12">
        <v>-21064</v>
      </c>
      <c r="V26" s="12">
        <v>19983</v>
      </c>
      <c r="W26" s="12">
        <v>31122</v>
      </c>
      <c r="X26" s="12">
        <v>-3377</v>
      </c>
    </row>
    <row r="27" spans="1:24" x14ac:dyDescent="0.2">
      <c r="A27" s="6" t="s">
        <v>48</v>
      </c>
      <c r="B27" s="11">
        <v>439733</v>
      </c>
      <c r="C27" s="11">
        <v>25000</v>
      </c>
      <c r="D27" s="11">
        <v>15000</v>
      </c>
      <c r="E27" s="11">
        <v>15000</v>
      </c>
      <c r="F27" s="11">
        <v>15000</v>
      </c>
      <c r="G27" s="11">
        <v>25000</v>
      </c>
      <c r="H27" s="11">
        <v>15000</v>
      </c>
      <c r="I27" s="11">
        <v>15000</v>
      </c>
      <c r="J27" s="11">
        <v>23358</v>
      </c>
      <c r="K27" s="11">
        <v>18394</v>
      </c>
      <c r="L27" s="11">
        <v>28613</v>
      </c>
      <c r="M27" s="11">
        <v>24526</v>
      </c>
      <c r="N27" s="11">
        <v>58394</v>
      </c>
      <c r="O27" s="11">
        <v>39707</v>
      </c>
      <c r="P27" s="11">
        <v>35907</v>
      </c>
      <c r="Q27" s="11">
        <v>28333</v>
      </c>
      <c r="R27" s="11">
        <v>28333</v>
      </c>
      <c r="S27" s="11">
        <v>4171</v>
      </c>
      <c r="T27" s="11">
        <v>6287</v>
      </c>
      <c r="U27" s="11">
        <v>5380</v>
      </c>
      <c r="V27" s="11">
        <v>6891</v>
      </c>
      <c r="W27" s="11">
        <v>6438</v>
      </c>
      <c r="X27" s="11">
        <v>0</v>
      </c>
    </row>
    <row r="28" spans="1:24" x14ac:dyDescent="0.2">
      <c r="A28" s="6" t="s">
        <v>49</v>
      </c>
      <c r="B28" s="11">
        <v>121678</v>
      </c>
      <c r="C28" s="11">
        <v>4859</v>
      </c>
      <c r="D28" s="11">
        <v>7473</v>
      </c>
      <c r="E28" s="11">
        <v>3051</v>
      </c>
      <c r="F28" s="11">
        <v>3576</v>
      </c>
      <c r="G28" s="11">
        <v>4057</v>
      </c>
      <c r="H28" s="11">
        <v>478</v>
      </c>
      <c r="I28" s="11">
        <v>2365</v>
      </c>
      <c r="J28" s="11">
        <v>3147</v>
      </c>
      <c r="K28" s="11">
        <v>4121</v>
      </c>
      <c r="L28" s="11">
        <v>5417</v>
      </c>
      <c r="M28" s="11">
        <v>5315</v>
      </c>
      <c r="N28" s="11">
        <v>6985</v>
      </c>
      <c r="O28" s="11">
        <v>14278</v>
      </c>
      <c r="P28" s="11">
        <v>6319</v>
      </c>
      <c r="Q28" s="11">
        <v>7105</v>
      </c>
      <c r="R28" s="11">
        <v>11931</v>
      </c>
      <c r="S28" s="11">
        <v>4847</v>
      </c>
      <c r="T28" s="11">
        <v>4353</v>
      </c>
      <c r="U28" s="11">
        <v>6096</v>
      </c>
      <c r="V28" s="11">
        <v>5768</v>
      </c>
      <c r="W28" s="11">
        <v>8388</v>
      </c>
      <c r="X28" s="11">
        <v>1751</v>
      </c>
    </row>
    <row r="29" spans="1:24" x14ac:dyDescent="0.2">
      <c r="A29" s="6" t="s">
        <v>50</v>
      </c>
      <c r="B29" s="11">
        <v>88571</v>
      </c>
      <c r="C29" s="11">
        <v>8604</v>
      </c>
      <c r="D29" s="11">
        <v>4995</v>
      </c>
      <c r="E29" s="11">
        <v>3880</v>
      </c>
      <c r="F29" s="11">
        <v>3897</v>
      </c>
      <c r="G29" s="11">
        <v>6534</v>
      </c>
      <c r="H29" s="11">
        <v>4590</v>
      </c>
      <c r="I29" s="11">
        <v>4056</v>
      </c>
      <c r="J29" s="11">
        <v>3559</v>
      </c>
      <c r="K29" s="11">
        <v>4202</v>
      </c>
      <c r="L29" s="11">
        <v>4801</v>
      </c>
      <c r="M29" s="11">
        <v>7568</v>
      </c>
      <c r="N29" s="11">
        <v>9366</v>
      </c>
      <c r="O29" s="11">
        <v>6118</v>
      </c>
      <c r="P29" s="11">
        <v>6277</v>
      </c>
      <c r="Q29" s="11">
        <v>2886</v>
      </c>
      <c r="R29" s="11">
        <v>7078</v>
      </c>
      <c r="S29" s="11">
        <v>0</v>
      </c>
      <c r="T29" s="11">
        <v>0</v>
      </c>
      <c r="U29" s="11">
        <v>0</v>
      </c>
      <c r="V29" s="11">
        <v>67</v>
      </c>
      <c r="W29" s="11">
        <v>92</v>
      </c>
      <c r="X29" s="11">
        <v>0</v>
      </c>
    </row>
    <row r="30" spans="1:24" x14ac:dyDescent="0.2">
      <c r="A30" s="6" t="s">
        <v>51</v>
      </c>
      <c r="B30" s="11">
        <v>1020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55</v>
      </c>
      <c r="L30" s="11">
        <v>85</v>
      </c>
      <c r="M30" s="11">
        <v>67</v>
      </c>
      <c r="N30" s="11">
        <v>355</v>
      </c>
      <c r="O30" s="11">
        <v>137</v>
      </c>
      <c r="P30" s="11">
        <v>56</v>
      </c>
      <c r="Q30" s="11">
        <v>0</v>
      </c>
      <c r="R30" s="11">
        <v>0</v>
      </c>
      <c r="S30" s="11">
        <v>32</v>
      </c>
      <c r="T30" s="11">
        <v>68</v>
      </c>
      <c r="U30" s="11">
        <v>70</v>
      </c>
      <c r="V30" s="11">
        <v>51</v>
      </c>
      <c r="W30" s="11">
        <v>42</v>
      </c>
      <c r="X30" s="11">
        <v>0</v>
      </c>
    </row>
    <row r="31" spans="1:24" x14ac:dyDescent="0.2">
      <c r="A31" s="6" t="s">
        <v>52</v>
      </c>
      <c r="B31" s="11">
        <v>18741</v>
      </c>
      <c r="C31" s="11">
        <v>1509</v>
      </c>
      <c r="D31" s="11">
        <v>329</v>
      </c>
      <c r="E31" s="11">
        <v>1262</v>
      </c>
      <c r="F31" s="11">
        <v>281</v>
      </c>
      <c r="G31" s="11">
        <v>426</v>
      </c>
      <c r="H31" s="11">
        <v>1206</v>
      </c>
      <c r="I31" s="11">
        <v>462</v>
      </c>
      <c r="J31" s="11">
        <v>762</v>
      </c>
      <c r="K31" s="11">
        <v>1083</v>
      </c>
      <c r="L31" s="11">
        <v>591</v>
      </c>
      <c r="M31" s="11">
        <v>606</v>
      </c>
      <c r="N31" s="11">
        <v>673</v>
      </c>
      <c r="O31" s="11">
        <v>595</v>
      </c>
      <c r="P31" s="11">
        <v>1489</v>
      </c>
      <c r="Q31" s="11">
        <v>1303</v>
      </c>
      <c r="R31" s="11">
        <v>5007</v>
      </c>
      <c r="S31" s="11">
        <v>235</v>
      </c>
      <c r="T31" s="11">
        <v>357</v>
      </c>
      <c r="U31" s="11">
        <v>219</v>
      </c>
      <c r="V31" s="11">
        <v>369</v>
      </c>
      <c r="W31" s="11">
        <v>-21</v>
      </c>
      <c r="X31" s="11">
        <v>0</v>
      </c>
    </row>
    <row r="32" spans="1:24" x14ac:dyDescent="0.2">
      <c r="A32" s="6" t="s">
        <v>53</v>
      </c>
      <c r="B32" s="11">
        <v>14133</v>
      </c>
      <c r="C32" s="11">
        <v>831</v>
      </c>
      <c r="D32" s="11">
        <v>831</v>
      </c>
      <c r="E32" s="11">
        <v>832</v>
      </c>
      <c r="F32" s="11">
        <v>831</v>
      </c>
      <c r="G32" s="11">
        <v>831</v>
      </c>
      <c r="H32" s="11">
        <v>832</v>
      </c>
      <c r="I32" s="11">
        <v>832</v>
      </c>
      <c r="J32" s="11">
        <v>839</v>
      </c>
      <c r="K32" s="11">
        <v>839</v>
      </c>
      <c r="L32" s="11">
        <v>839</v>
      </c>
      <c r="M32" s="11">
        <v>839</v>
      </c>
      <c r="N32" s="11">
        <v>839</v>
      </c>
      <c r="O32" s="11">
        <v>839</v>
      </c>
      <c r="P32" s="11">
        <v>839</v>
      </c>
      <c r="Q32" s="11">
        <v>1198</v>
      </c>
      <c r="R32" s="11">
        <v>1242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</row>
    <row r="33" spans="1:24" x14ac:dyDescent="0.2">
      <c r="A33" s="6" t="s">
        <v>54</v>
      </c>
      <c r="B33" s="12">
        <v>683876</v>
      </c>
      <c r="C33" s="12">
        <v>40803</v>
      </c>
      <c r="D33" s="12">
        <v>28628</v>
      </c>
      <c r="E33" s="12">
        <v>24025</v>
      </c>
      <c r="F33" s="12">
        <v>23585</v>
      </c>
      <c r="G33" s="12">
        <v>36848</v>
      </c>
      <c r="H33" s="12">
        <v>22106</v>
      </c>
      <c r="I33" s="12">
        <v>22715</v>
      </c>
      <c r="J33" s="12">
        <v>31665</v>
      </c>
      <c r="K33" s="12">
        <v>28694</v>
      </c>
      <c r="L33" s="12">
        <v>40346</v>
      </c>
      <c r="M33" s="12">
        <v>38921</v>
      </c>
      <c r="N33" s="12">
        <v>76612</v>
      </c>
      <c r="O33" s="12">
        <v>61674</v>
      </c>
      <c r="P33" s="12">
        <v>50887</v>
      </c>
      <c r="Q33" s="12">
        <v>40825</v>
      </c>
      <c r="R33" s="12">
        <v>53591</v>
      </c>
      <c r="S33" s="12">
        <v>9285</v>
      </c>
      <c r="T33" s="12">
        <v>11065</v>
      </c>
      <c r="U33" s="12">
        <v>11765</v>
      </c>
      <c r="V33" s="12">
        <v>13146</v>
      </c>
      <c r="W33" s="12">
        <v>14939</v>
      </c>
      <c r="X33" s="12">
        <v>1751</v>
      </c>
    </row>
    <row r="34" spans="1:24" x14ac:dyDescent="0.2">
      <c r="A34" s="6" t="s">
        <v>55</v>
      </c>
      <c r="B34" s="12">
        <v>-240713</v>
      </c>
      <c r="C34" s="12">
        <v>107140</v>
      </c>
      <c r="D34" s="12">
        <v>27348</v>
      </c>
      <c r="E34" s="12">
        <v>5680</v>
      </c>
      <c r="F34" s="12">
        <v>6239</v>
      </c>
      <c r="G34" s="12">
        <v>24340</v>
      </c>
      <c r="H34" s="12">
        <v>-12194</v>
      </c>
      <c r="I34" s="12">
        <v>-119</v>
      </c>
      <c r="J34" s="12">
        <v>-90730</v>
      </c>
      <c r="K34" s="12">
        <v>-47342</v>
      </c>
      <c r="L34" s="12">
        <v>-92616</v>
      </c>
      <c r="M34" s="12">
        <v>49217</v>
      </c>
      <c r="N34" s="12">
        <v>96292</v>
      </c>
      <c r="O34" s="12">
        <v>-28055</v>
      </c>
      <c r="P34" s="12">
        <v>-131513</v>
      </c>
      <c r="Q34" s="12">
        <v>-87648</v>
      </c>
      <c r="R34" s="12">
        <v>-59304</v>
      </c>
      <c r="S34" s="12">
        <v>5933</v>
      </c>
      <c r="T34" s="12">
        <v>1557</v>
      </c>
      <c r="U34" s="12">
        <v>-32829</v>
      </c>
      <c r="V34" s="12">
        <v>6837</v>
      </c>
      <c r="W34" s="12">
        <v>16183</v>
      </c>
      <c r="X34" s="12">
        <v>-5128</v>
      </c>
    </row>
    <row r="35" spans="1:24" x14ac:dyDescent="0.2">
      <c r="A35" s="6" t="s">
        <v>56</v>
      </c>
      <c r="B35" s="11">
        <v>347937</v>
      </c>
      <c r="C35" s="11">
        <v>26593</v>
      </c>
      <c r="D35" s="11">
        <v>18822</v>
      </c>
      <c r="E35" s="11">
        <v>15696</v>
      </c>
      <c r="F35" s="11">
        <v>16348</v>
      </c>
      <c r="G35" s="11">
        <v>19615</v>
      </c>
      <c r="H35" s="11">
        <v>13525</v>
      </c>
      <c r="I35" s="11">
        <v>12170</v>
      </c>
      <c r="J35" s="11">
        <v>12696</v>
      </c>
      <c r="K35" s="11">
        <v>12801</v>
      </c>
      <c r="L35" s="11">
        <v>16722</v>
      </c>
      <c r="M35" s="11">
        <v>23761</v>
      </c>
      <c r="N35" s="11">
        <v>45935</v>
      </c>
      <c r="O35" s="11">
        <v>25251</v>
      </c>
      <c r="P35" s="11">
        <v>25325</v>
      </c>
      <c r="Q35" s="11">
        <v>18470</v>
      </c>
      <c r="R35" s="11">
        <v>19071</v>
      </c>
      <c r="S35" s="11">
        <v>5654</v>
      </c>
      <c r="T35" s="11">
        <v>6250</v>
      </c>
      <c r="U35" s="11">
        <v>2725</v>
      </c>
      <c r="V35" s="11">
        <v>6505</v>
      </c>
      <c r="W35" s="11">
        <v>3999</v>
      </c>
      <c r="X35" s="11">
        <v>0</v>
      </c>
    </row>
    <row r="36" spans="1:24" x14ac:dyDescent="0.2">
      <c r="A36" s="6" t="s">
        <v>57</v>
      </c>
      <c r="B36" s="12">
        <v>-588650</v>
      </c>
      <c r="C36" s="12">
        <v>80547</v>
      </c>
      <c r="D36" s="12">
        <v>8526</v>
      </c>
      <c r="E36" s="12">
        <v>-10016</v>
      </c>
      <c r="F36" s="12">
        <v>-10109</v>
      </c>
      <c r="G36" s="12">
        <v>4725</v>
      </c>
      <c r="H36" s="12">
        <v>-25719</v>
      </c>
      <c r="I36" s="12">
        <v>-12289</v>
      </c>
      <c r="J36" s="12">
        <v>-103426</v>
      </c>
      <c r="K36" s="12">
        <v>-60143</v>
      </c>
      <c r="L36" s="12">
        <v>-109338</v>
      </c>
      <c r="M36" s="12">
        <v>25456</v>
      </c>
      <c r="N36" s="12">
        <v>50357</v>
      </c>
      <c r="O36" s="12">
        <v>-53306</v>
      </c>
      <c r="P36" s="12">
        <v>-156838</v>
      </c>
      <c r="Q36" s="12">
        <v>-106118</v>
      </c>
      <c r="R36" s="12">
        <v>-78375</v>
      </c>
      <c r="S36" s="12">
        <v>279</v>
      </c>
      <c r="T36" s="12">
        <v>-4693</v>
      </c>
      <c r="U36" s="12">
        <v>-35554</v>
      </c>
      <c r="V36" s="12">
        <v>332</v>
      </c>
      <c r="W36" s="12">
        <v>12184</v>
      </c>
      <c r="X36" s="12">
        <v>-5128</v>
      </c>
    </row>
    <row r="37" spans="1:24" x14ac:dyDescent="0.2">
      <c r="A37" s="6" t="s">
        <v>58</v>
      </c>
      <c r="B37" s="6" t="s">
        <v>32</v>
      </c>
      <c r="C37" s="6" t="s">
        <v>32</v>
      </c>
      <c r="D37" s="6" t="s">
        <v>32</v>
      </c>
      <c r="E37" s="6" t="s">
        <v>32</v>
      </c>
      <c r="F37" s="6" t="s">
        <v>32</v>
      </c>
      <c r="G37" s="6" t="s">
        <v>32</v>
      </c>
      <c r="H37" s="6" t="s">
        <v>32</v>
      </c>
      <c r="I37" s="6" t="s">
        <v>32</v>
      </c>
      <c r="J37" s="6" t="s">
        <v>32</v>
      </c>
      <c r="K37" s="6" t="s">
        <v>32</v>
      </c>
      <c r="L37" s="6" t="s">
        <v>32</v>
      </c>
      <c r="M37" s="6" t="s">
        <v>32</v>
      </c>
      <c r="N37" s="6" t="s">
        <v>32</v>
      </c>
      <c r="O37" s="6" t="s">
        <v>32</v>
      </c>
      <c r="P37" s="6" t="s">
        <v>32</v>
      </c>
      <c r="Q37" s="6" t="s">
        <v>32</v>
      </c>
      <c r="R37" s="6" t="s">
        <v>32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</row>
    <row r="38" spans="1:24" x14ac:dyDescent="0.2">
      <c r="A38" s="6" t="s">
        <v>59</v>
      </c>
      <c r="B38" s="11">
        <v>324</v>
      </c>
      <c r="C38" s="11">
        <v>0</v>
      </c>
      <c r="D38" s="11">
        <v>0</v>
      </c>
      <c r="E38" s="11">
        <v>0</v>
      </c>
      <c r="F38" s="11">
        <v>0</v>
      </c>
      <c r="G38" s="11">
        <v>77</v>
      </c>
      <c r="H38" s="11">
        <v>3</v>
      </c>
      <c r="I38" s="11">
        <v>0</v>
      </c>
      <c r="J38" s="11">
        <v>0</v>
      </c>
      <c r="K38" s="11">
        <v>0</v>
      </c>
      <c r="L38" s="11">
        <v>1</v>
      </c>
      <c r="M38" s="11">
        <v>0</v>
      </c>
      <c r="N38" s="11">
        <v>219</v>
      </c>
      <c r="O38" s="11">
        <v>0</v>
      </c>
      <c r="P38" s="11">
        <v>20</v>
      </c>
      <c r="Q38" s="11">
        <v>2</v>
      </c>
      <c r="R38" s="11">
        <v>2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</row>
    <row r="39" spans="1:24" x14ac:dyDescent="0.2">
      <c r="A39" s="6" t="s">
        <v>60</v>
      </c>
      <c r="B39" s="11">
        <v>17</v>
      </c>
      <c r="C39" s="11">
        <v>0</v>
      </c>
      <c r="D39" s="11">
        <v>16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</row>
    <row r="40" spans="1:24" x14ac:dyDescent="0.2">
      <c r="A40" s="6" t="s">
        <v>61</v>
      </c>
      <c r="B40" s="11">
        <v>424149</v>
      </c>
      <c r="C40" s="11">
        <v>17687</v>
      </c>
      <c r="D40" s="11">
        <v>0</v>
      </c>
      <c r="E40" s="11">
        <v>0</v>
      </c>
      <c r="F40" s="11">
        <v>0</v>
      </c>
      <c r="G40" s="11">
        <v>2285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17975</v>
      </c>
      <c r="P40" s="11">
        <v>0</v>
      </c>
      <c r="Q40" s="11">
        <v>380000</v>
      </c>
      <c r="R40" s="11">
        <v>0</v>
      </c>
      <c r="S40" s="11">
        <v>0</v>
      </c>
      <c r="T40" s="11">
        <v>0</v>
      </c>
      <c r="U40" s="11">
        <v>0</v>
      </c>
      <c r="V40" s="11">
        <v>76</v>
      </c>
      <c r="W40" s="11">
        <v>6125</v>
      </c>
      <c r="X40" s="11">
        <v>0</v>
      </c>
    </row>
    <row r="41" spans="1:24" x14ac:dyDescent="0.2">
      <c r="A41" s="6" t="s">
        <v>62</v>
      </c>
      <c r="B41" s="11">
        <v>142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142</v>
      </c>
      <c r="X41" s="11">
        <v>0</v>
      </c>
    </row>
    <row r="42" spans="1:24" x14ac:dyDescent="0.2">
      <c r="A42" s="6" t="s">
        <v>63</v>
      </c>
      <c r="B42" s="11">
        <v>403</v>
      </c>
      <c r="C42" s="11">
        <v>27</v>
      </c>
      <c r="D42" s="11">
        <v>45</v>
      </c>
      <c r="E42" s="11">
        <v>0</v>
      </c>
      <c r="F42" s="11">
        <v>0</v>
      </c>
      <c r="G42" s="11">
        <v>0</v>
      </c>
      <c r="H42" s="11">
        <v>66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169</v>
      </c>
      <c r="Q42" s="11">
        <v>0</v>
      </c>
      <c r="R42" s="11">
        <v>96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</row>
    <row r="43" spans="1:24" x14ac:dyDescent="0.2">
      <c r="A43" s="6" t="s">
        <v>64</v>
      </c>
      <c r="B43" s="11">
        <v>6100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1500</v>
      </c>
      <c r="T43" s="11">
        <v>1500</v>
      </c>
      <c r="U43" s="11">
        <v>0</v>
      </c>
      <c r="V43" s="11">
        <v>1600</v>
      </c>
      <c r="W43" s="11">
        <v>750</v>
      </c>
      <c r="X43" s="11">
        <v>750</v>
      </c>
    </row>
    <row r="44" spans="1:24" x14ac:dyDescent="0.2">
      <c r="A44" s="6" t="s">
        <v>65</v>
      </c>
      <c r="B44" s="11">
        <v>1500</v>
      </c>
      <c r="C44" s="11">
        <v>0</v>
      </c>
      <c r="D44" s="11">
        <v>1500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</row>
    <row r="45" spans="1:24" x14ac:dyDescent="0.2">
      <c r="A45" s="6" t="s">
        <v>66</v>
      </c>
      <c r="B45" s="11">
        <v>76773</v>
      </c>
      <c r="C45" s="11">
        <v>0</v>
      </c>
      <c r="D45" s="11">
        <v>3815</v>
      </c>
      <c r="E45" s="11">
        <v>0</v>
      </c>
      <c r="F45" s="11">
        <v>0</v>
      </c>
      <c r="G45" s="11">
        <v>10528</v>
      </c>
      <c r="H45" s="11">
        <v>0</v>
      </c>
      <c r="I45" s="11">
        <v>1424</v>
      </c>
      <c r="J45" s="11">
        <v>9503</v>
      </c>
      <c r="K45" s="11">
        <v>6524</v>
      </c>
      <c r="L45" s="11">
        <v>0</v>
      </c>
      <c r="M45" s="11">
        <v>9711</v>
      </c>
      <c r="N45" s="11">
        <v>20934</v>
      </c>
      <c r="O45" s="11">
        <v>6305</v>
      </c>
      <c r="P45" s="11">
        <v>4781</v>
      </c>
      <c r="Q45" s="11">
        <v>0</v>
      </c>
      <c r="R45" s="11">
        <v>3246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</row>
    <row r="46" spans="1:24" x14ac:dyDescent="0.2">
      <c r="A46" s="6" t="s">
        <v>67</v>
      </c>
      <c r="B46" s="11">
        <v>150174</v>
      </c>
      <c r="C46" s="11">
        <v>7640</v>
      </c>
      <c r="D46" s="11">
        <v>5010</v>
      </c>
      <c r="E46" s="11">
        <v>13748</v>
      </c>
      <c r="F46" s="11">
        <v>8581</v>
      </c>
      <c r="G46" s="11">
        <v>10466</v>
      </c>
      <c r="H46" s="11">
        <v>7734</v>
      </c>
      <c r="I46" s="11">
        <v>3881</v>
      </c>
      <c r="J46" s="11">
        <v>8222</v>
      </c>
      <c r="K46" s="11">
        <v>6190</v>
      </c>
      <c r="L46" s="11">
        <v>7715</v>
      </c>
      <c r="M46" s="11">
        <v>9172</v>
      </c>
      <c r="N46" s="11">
        <v>26731</v>
      </c>
      <c r="O46" s="11">
        <v>11272</v>
      </c>
      <c r="P46" s="11">
        <v>10944</v>
      </c>
      <c r="Q46" s="11">
        <v>6334</v>
      </c>
      <c r="R46" s="11">
        <v>6533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</row>
    <row r="47" spans="1:24" x14ac:dyDescent="0.2">
      <c r="A47" s="6" t="s">
        <v>68</v>
      </c>
      <c r="B47" s="12">
        <v>659582</v>
      </c>
      <c r="C47" s="12">
        <v>25354</v>
      </c>
      <c r="D47" s="12">
        <v>10386</v>
      </c>
      <c r="E47" s="12">
        <v>13748</v>
      </c>
      <c r="F47" s="12">
        <v>8581</v>
      </c>
      <c r="G47" s="12">
        <v>23356</v>
      </c>
      <c r="H47" s="12">
        <v>7803</v>
      </c>
      <c r="I47" s="12">
        <v>5305</v>
      </c>
      <c r="J47" s="12">
        <v>17725</v>
      </c>
      <c r="K47" s="12">
        <v>12714</v>
      </c>
      <c r="L47" s="12">
        <v>7716</v>
      </c>
      <c r="M47" s="12">
        <v>18883</v>
      </c>
      <c r="N47" s="12">
        <v>47884</v>
      </c>
      <c r="O47" s="12">
        <v>35552</v>
      </c>
      <c r="P47" s="12">
        <v>15914</v>
      </c>
      <c r="Q47" s="12">
        <v>386336</v>
      </c>
      <c r="R47" s="12">
        <v>9877</v>
      </c>
      <c r="S47" s="12">
        <v>1500</v>
      </c>
      <c r="T47" s="12">
        <v>1500</v>
      </c>
      <c r="U47" s="12">
        <v>0</v>
      </c>
      <c r="V47" s="12">
        <v>1676</v>
      </c>
      <c r="W47" s="12">
        <v>7017</v>
      </c>
      <c r="X47" s="12">
        <v>750</v>
      </c>
    </row>
    <row r="48" spans="1:24" x14ac:dyDescent="0.2">
      <c r="A48" s="6" t="s">
        <v>69</v>
      </c>
      <c r="B48" s="13">
        <v>70932</v>
      </c>
      <c r="C48" s="13">
        <v>105901</v>
      </c>
      <c r="D48" s="13">
        <v>18912</v>
      </c>
      <c r="E48" s="13">
        <v>3732</v>
      </c>
      <c r="F48" s="13">
        <v>-1528</v>
      </c>
      <c r="G48" s="13">
        <v>28081</v>
      </c>
      <c r="H48" s="13">
        <v>-17916</v>
      </c>
      <c r="I48" s="13">
        <v>-6984</v>
      </c>
      <c r="J48" s="13">
        <v>-85701</v>
      </c>
      <c r="K48" s="13">
        <v>-47429</v>
      </c>
      <c r="L48" s="13">
        <v>-101622</v>
      </c>
      <c r="M48" s="13">
        <v>44339</v>
      </c>
      <c r="N48" s="13">
        <v>98241</v>
      </c>
      <c r="O48" s="13">
        <v>-17754</v>
      </c>
      <c r="P48" s="13">
        <v>-140924</v>
      </c>
      <c r="Q48" s="13">
        <v>280218</v>
      </c>
      <c r="R48" s="13">
        <v>-68498</v>
      </c>
      <c r="S48" s="13">
        <v>1779</v>
      </c>
      <c r="T48" s="13">
        <v>-3193</v>
      </c>
      <c r="U48" s="13">
        <v>-35554</v>
      </c>
      <c r="V48" s="13">
        <v>2008</v>
      </c>
      <c r="W48" s="13">
        <v>19201</v>
      </c>
      <c r="X48" s="13">
        <v>-4378</v>
      </c>
    </row>
    <row r="49" spans="1:24" x14ac:dyDescent="0.2">
      <c r="A49" s="6" t="s">
        <v>70</v>
      </c>
      <c r="B49" s="14">
        <v>70932</v>
      </c>
      <c r="C49" s="14">
        <v>105901</v>
      </c>
      <c r="D49" s="14">
        <v>18912</v>
      </c>
      <c r="E49" s="14">
        <v>3732</v>
      </c>
      <c r="F49" s="14">
        <v>-1528</v>
      </c>
      <c r="G49" s="14">
        <v>28081</v>
      </c>
      <c r="H49" s="14">
        <v>-17916</v>
      </c>
      <c r="I49" s="14">
        <v>-6984</v>
      </c>
      <c r="J49" s="14">
        <v>-85701</v>
      </c>
      <c r="K49" s="14">
        <v>-47429</v>
      </c>
      <c r="L49" s="14">
        <v>-101622</v>
      </c>
      <c r="M49" s="14">
        <v>44339</v>
      </c>
      <c r="N49" s="14">
        <v>98241</v>
      </c>
      <c r="O49" s="14">
        <v>-17754</v>
      </c>
      <c r="P49" s="14">
        <v>-140924</v>
      </c>
      <c r="Q49" s="14">
        <v>280218</v>
      </c>
      <c r="R49" s="14">
        <v>-68498</v>
      </c>
      <c r="S49" s="14">
        <v>1779</v>
      </c>
      <c r="T49" s="14">
        <v>-3193</v>
      </c>
      <c r="U49" s="14">
        <v>-35554</v>
      </c>
      <c r="V49" s="14">
        <v>2008</v>
      </c>
      <c r="W49" s="14">
        <v>19201</v>
      </c>
      <c r="X49" s="14">
        <v>-4378</v>
      </c>
    </row>
    <row r="50" spans="1:24" x14ac:dyDescent="0.2">
      <c r="A50" s="4" t="s">
        <v>6</v>
      </c>
    </row>
    <row r="51" spans="1:24" x14ac:dyDescent="0.2">
      <c r="A51" s="4" t="s">
        <v>340</v>
      </c>
      <c r="B51" s="22">
        <f>B49+B27+B29+B30+B31+B32</f>
        <v>633130</v>
      </c>
      <c r="C51" s="22">
        <f t="shared" ref="C51:X51" si="0">C49+C27+C29+C30+C31+C32</f>
        <v>141845</v>
      </c>
      <c r="D51" s="22">
        <f t="shared" si="0"/>
        <v>40067</v>
      </c>
      <c r="E51" s="22">
        <f t="shared" si="0"/>
        <v>24706</v>
      </c>
      <c r="F51" s="22">
        <f t="shared" si="0"/>
        <v>18481</v>
      </c>
      <c r="G51" s="22">
        <f t="shared" si="0"/>
        <v>60872</v>
      </c>
      <c r="H51" s="22">
        <f t="shared" si="0"/>
        <v>3712</v>
      </c>
      <c r="I51" s="22">
        <f t="shared" si="0"/>
        <v>13366</v>
      </c>
      <c r="J51" s="22">
        <f t="shared" si="0"/>
        <v>-57183</v>
      </c>
      <c r="K51" s="22">
        <f t="shared" si="0"/>
        <v>-22856</v>
      </c>
      <c r="L51" s="22">
        <f t="shared" si="0"/>
        <v>-66693</v>
      </c>
      <c r="M51" s="22">
        <f t="shared" si="0"/>
        <v>77945</v>
      </c>
      <c r="N51" s="22">
        <f t="shared" si="0"/>
        <v>167868</v>
      </c>
      <c r="O51" s="22">
        <f t="shared" si="0"/>
        <v>29642</v>
      </c>
      <c r="P51" s="22">
        <f t="shared" si="0"/>
        <v>-96356</v>
      </c>
      <c r="Q51" s="22">
        <f t="shared" si="0"/>
        <v>313938</v>
      </c>
      <c r="R51" s="22">
        <f t="shared" si="0"/>
        <v>-26838</v>
      </c>
      <c r="S51" s="22">
        <f t="shared" si="0"/>
        <v>6217</v>
      </c>
      <c r="T51" s="22">
        <f t="shared" si="0"/>
        <v>3519</v>
      </c>
      <c r="U51" s="22">
        <f t="shared" si="0"/>
        <v>-29885</v>
      </c>
      <c r="V51" s="22">
        <f t="shared" si="0"/>
        <v>9386</v>
      </c>
      <c r="W51" s="22">
        <f t="shared" si="0"/>
        <v>25752</v>
      </c>
      <c r="X51" s="22">
        <f t="shared" si="0"/>
        <v>-4378</v>
      </c>
    </row>
    <row r="53" spans="1:24" x14ac:dyDescent="0.2">
      <c r="A53" s="23" t="s">
        <v>341</v>
      </c>
    </row>
    <row r="54" spans="1:24" x14ac:dyDescent="0.2">
      <c r="A54" s="3" t="s">
        <v>342</v>
      </c>
      <c r="B54" s="11">
        <v>167000</v>
      </c>
      <c r="C54" s="11">
        <v>11000</v>
      </c>
      <c r="D54" s="11">
        <v>11000</v>
      </c>
      <c r="E54" s="11">
        <v>11000</v>
      </c>
      <c r="F54" s="11">
        <v>11000</v>
      </c>
      <c r="G54" s="11">
        <v>11000</v>
      </c>
      <c r="H54" s="11">
        <v>11000</v>
      </c>
      <c r="I54" s="11">
        <v>11000</v>
      </c>
      <c r="J54" s="11">
        <v>8000</v>
      </c>
      <c r="K54" s="11">
        <v>8000</v>
      </c>
      <c r="L54" s="11">
        <v>8000</v>
      </c>
      <c r="M54" s="11">
        <v>8000</v>
      </c>
      <c r="N54" s="11">
        <v>8000</v>
      </c>
      <c r="O54" s="11">
        <v>8000</v>
      </c>
      <c r="P54" s="11">
        <v>8000</v>
      </c>
      <c r="Q54" s="11">
        <v>11000</v>
      </c>
      <c r="R54" s="11">
        <v>11000</v>
      </c>
      <c r="S54" s="11">
        <v>2000</v>
      </c>
      <c r="T54" s="11">
        <v>2000</v>
      </c>
      <c r="U54" s="11">
        <v>2000</v>
      </c>
      <c r="V54" s="11">
        <v>2000</v>
      </c>
      <c r="W54" s="11">
        <v>2000</v>
      </c>
      <c r="X54" s="11">
        <v>2000</v>
      </c>
    </row>
    <row r="55" spans="1:24" x14ac:dyDescent="0.2">
      <c r="A55" s="3" t="s">
        <v>343</v>
      </c>
      <c r="B55" s="11">
        <v>93500</v>
      </c>
      <c r="C55" s="11">
        <v>2500</v>
      </c>
      <c r="D55" s="11">
        <v>2500</v>
      </c>
      <c r="E55" s="11">
        <v>2500</v>
      </c>
      <c r="F55" s="11">
        <v>2500</v>
      </c>
      <c r="G55" s="11">
        <v>2500</v>
      </c>
      <c r="H55" s="11">
        <v>2500</v>
      </c>
      <c r="I55" s="11">
        <v>2500</v>
      </c>
      <c r="J55" s="11">
        <v>10000</v>
      </c>
      <c r="K55" s="11">
        <v>10000</v>
      </c>
      <c r="L55" s="11">
        <v>10000</v>
      </c>
      <c r="M55" s="11">
        <v>10000</v>
      </c>
      <c r="N55" s="11">
        <v>10000</v>
      </c>
      <c r="O55" s="11">
        <v>10000</v>
      </c>
      <c r="P55" s="11">
        <v>10000</v>
      </c>
      <c r="Q55" s="11">
        <v>3000</v>
      </c>
      <c r="R55" s="11">
        <v>3000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</row>
    <row r="56" spans="1:24" x14ac:dyDescent="0.2">
      <c r="A56" s="24" t="s">
        <v>344</v>
      </c>
      <c r="B56" s="25">
        <f>SUM(B54:B55)</f>
        <v>260500</v>
      </c>
      <c r="C56" s="25">
        <f t="shared" ref="C56:X56" si="1">SUM(C54:C55)</f>
        <v>13500</v>
      </c>
      <c r="D56" s="25">
        <f t="shared" si="1"/>
        <v>13500</v>
      </c>
      <c r="E56" s="25">
        <f t="shared" si="1"/>
        <v>13500</v>
      </c>
      <c r="F56" s="25">
        <f t="shared" si="1"/>
        <v>13500</v>
      </c>
      <c r="G56" s="25">
        <f t="shared" si="1"/>
        <v>13500</v>
      </c>
      <c r="H56" s="25">
        <f t="shared" si="1"/>
        <v>13500</v>
      </c>
      <c r="I56" s="25">
        <f t="shared" si="1"/>
        <v>13500</v>
      </c>
      <c r="J56" s="25">
        <f t="shared" si="1"/>
        <v>18000</v>
      </c>
      <c r="K56" s="25">
        <f t="shared" si="1"/>
        <v>18000</v>
      </c>
      <c r="L56" s="25">
        <f t="shared" si="1"/>
        <v>18000</v>
      </c>
      <c r="M56" s="25">
        <f t="shared" si="1"/>
        <v>18000</v>
      </c>
      <c r="N56" s="25">
        <f t="shared" si="1"/>
        <v>18000</v>
      </c>
      <c r="O56" s="25">
        <f t="shared" si="1"/>
        <v>18000</v>
      </c>
      <c r="P56" s="25">
        <f t="shared" si="1"/>
        <v>18000</v>
      </c>
      <c r="Q56" s="25">
        <f t="shared" si="1"/>
        <v>14000</v>
      </c>
      <c r="R56" s="25">
        <f t="shared" si="1"/>
        <v>14000</v>
      </c>
      <c r="S56" s="25">
        <f t="shared" si="1"/>
        <v>2000</v>
      </c>
      <c r="T56" s="25">
        <f t="shared" si="1"/>
        <v>2000</v>
      </c>
      <c r="U56" s="25">
        <f t="shared" si="1"/>
        <v>2000</v>
      </c>
      <c r="V56" s="25">
        <f t="shared" si="1"/>
        <v>2000</v>
      </c>
      <c r="W56" s="25">
        <f t="shared" si="1"/>
        <v>2000</v>
      </c>
      <c r="X56" s="25">
        <f t="shared" si="1"/>
        <v>2000</v>
      </c>
    </row>
    <row r="57" spans="1:24" x14ac:dyDescent="0.2">
      <c r="A57" s="23" t="s">
        <v>345</v>
      </c>
      <c r="B57" s="22">
        <f>B56+B51</f>
        <v>893630</v>
      </c>
      <c r="C57" s="22">
        <f t="shared" ref="C57:X57" si="2">C56+C51</f>
        <v>155345</v>
      </c>
      <c r="D57" s="22">
        <f t="shared" si="2"/>
        <v>53567</v>
      </c>
      <c r="E57" s="22">
        <f t="shared" si="2"/>
        <v>38206</v>
      </c>
      <c r="F57" s="22">
        <f t="shared" si="2"/>
        <v>31981</v>
      </c>
      <c r="G57" s="22">
        <f t="shared" si="2"/>
        <v>74372</v>
      </c>
      <c r="H57" s="22">
        <f t="shared" si="2"/>
        <v>17212</v>
      </c>
      <c r="I57" s="22">
        <f t="shared" si="2"/>
        <v>26866</v>
      </c>
      <c r="J57" s="22">
        <f t="shared" si="2"/>
        <v>-39183</v>
      </c>
      <c r="K57" s="22">
        <f t="shared" si="2"/>
        <v>-4856</v>
      </c>
      <c r="L57" s="22">
        <f t="shared" si="2"/>
        <v>-48693</v>
      </c>
      <c r="M57" s="22">
        <f t="shared" si="2"/>
        <v>95945</v>
      </c>
      <c r="N57" s="22">
        <f t="shared" si="2"/>
        <v>185868</v>
      </c>
      <c r="O57" s="22">
        <f t="shared" si="2"/>
        <v>47642</v>
      </c>
      <c r="P57" s="22">
        <f t="shared" si="2"/>
        <v>-78356</v>
      </c>
      <c r="Q57" s="22">
        <f t="shared" si="2"/>
        <v>327938</v>
      </c>
      <c r="R57" s="22">
        <f t="shared" si="2"/>
        <v>-12838</v>
      </c>
      <c r="S57" s="22">
        <f t="shared" si="2"/>
        <v>8217</v>
      </c>
      <c r="T57" s="22">
        <f t="shared" si="2"/>
        <v>5519</v>
      </c>
      <c r="U57" s="22">
        <f t="shared" si="2"/>
        <v>-27885</v>
      </c>
      <c r="V57" s="22">
        <f t="shared" si="2"/>
        <v>11386</v>
      </c>
      <c r="W57" s="22">
        <f t="shared" si="2"/>
        <v>27752</v>
      </c>
      <c r="X57" s="22">
        <f t="shared" si="2"/>
        <v>-2378</v>
      </c>
    </row>
  </sheetData>
  <pageMargins left="0.75" right="0.75" top="1" bottom="1" header="0.5" footer="0.5"/>
  <pageSetup orientation="portrait" horizontalDpi="300" verticalDpi="300"/>
  <ignoredErrors>
    <ignoredError sqref="A1:IV50 A52:IV52 Y51:IV51 A58:IV65536 B53:IV53 Y57:IV57 Y55:IV55 Y54:IV54 Y56:IV5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2"/>
  <sheetViews>
    <sheetView topLeftCell="A38" workbookViewId="0">
      <selection activeCell="C36" sqref="C36"/>
    </sheetView>
  </sheetViews>
  <sheetFormatPr defaultColWidth="9.140625" defaultRowHeight="12.75" x14ac:dyDescent="0.2"/>
  <cols>
    <col min="1" max="1" width="4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71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37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38</v>
      </c>
      <c r="B12" s="6" t="s">
        <v>72</v>
      </c>
      <c r="C12" s="6" t="s">
        <v>72</v>
      </c>
      <c r="D12" s="6" t="s">
        <v>72</v>
      </c>
      <c r="E12" s="6" t="s">
        <v>72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</row>
    <row r="13" spans="1:24" x14ac:dyDescent="0.2">
      <c r="A13" s="6" t="s">
        <v>73</v>
      </c>
      <c r="B13" s="11">
        <v>2171039</v>
      </c>
      <c r="C13" s="11">
        <v>98199</v>
      </c>
      <c r="D13" s="11">
        <v>112807</v>
      </c>
      <c r="E13" s="11">
        <v>105426</v>
      </c>
      <c r="F13" s="11">
        <v>113678</v>
      </c>
      <c r="G13" s="11">
        <v>97193</v>
      </c>
      <c r="H13" s="11">
        <v>99286</v>
      </c>
      <c r="I13" s="11">
        <v>73686</v>
      </c>
      <c r="J13" s="11">
        <v>113242</v>
      </c>
      <c r="K13" s="11">
        <v>76460</v>
      </c>
      <c r="L13" s="11">
        <v>131751</v>
      </c>
      <c r="M13" s="11">
        <v>144250</v>
      </c>
      <c r="N13" s="11">
        <v>270686</v>
      </c>
      <c r="O13" s="11">
        <v>145408</v>
      </c>
      <c r="P13" s="11">
        <v>152422</v>
      </c>
      <c r="Q13" s="11">
        <v>137083</v>
      </c>
      <c r="R13" s="11">
        <v>131032</v>
      </c>
      <c r="S13" s="11">
        <v>54155</v>
      </c>
      <c r="T13" s="11">
        <v>36248</v>
      </c>
      <c r="U13" s="11">
        <v>25312</v>
      </c>
      <c r="V13" s="11">
        <v>41379</v>
      </c>
      <c r="W13" s="11">
        <v>11335</v>
      </c>
      <c r="X13" s="11">
        <v>0</v>
      </c>
    </row>
    <row r="14" spans="1:24" x14ac:dyDescent="0.2">
      <c r="A14" s="6" t="s">
        <v>74</v>
      </c>
      <c r="B14" s="11">
        <v>171759</v>
      </c>
      <c r="C14" s="11">
        <v>14325</v>
      </c>
      <c r="D14" s="11">
        <v>5214</v>
      </c>
      <c r="E14" s="11">
        <v>6268</v>
      </c>
      <c r="F14" s="11">
        <v>5755</v>
      </c>
      <c r="G14" s="11">
        <v>11858</v>
      </c>
      <c r="H14" s="11">
        <v>3946</v>
      </c>
      <c r="I14" s="11">
        <v>4960</v>
      </c>
      <c r="J14" s="11">
        <v>8194</v>
      </c>
      <c r="K14" s="11">
        <v>8156</v>
      </c>
      <c r="L14" s="11">
        <v>7437</v>
      </c>
      <c r="M14" s="11">
        <v>5480</v>
      </c>
      <c r="N14" s="11">
        <v>26175</v>
      </c>
      <c r="O14" s="11">
        <v>6548</v>
      </c>
      <c r="P14" s="11">
        <v>13083</v>
      </c>
      <c r="Q14" s="11">
        <v>17954</v>
      </c>
      <c r="R14" s="11">
        <v>23354</v>
      </c>
      <c r="S14" s="11">
        <v>383</v>
      </c>
      <c r="T14" s="11">
        <v>2016</v>
      </c>
      <c r="U14" s="11">
        <v>0</v>
      </c>
      <c r="V14" s="11">
        <v>615</v>
      </c>
      <c r="W14" s="11">
        <v>38</v>
      </c>
      <c r="X14" s="11">
        <v>0</v>
      </c>
    </row>
    <row r="15" spans="1:24" x14ac:dyDescent="0.2">
      <c r="A15" s="6" t="s">
        <v>75</v>
      </c>
      <c r="B15" s="11">
        <v>10597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482</v>
      </c>
      <c r="L15" s="11">
        <v>4017</v>
      </c>
      <c r="M15" s="11">
        <v>1250</v>
      </c>
      <c r="N15" s="11">
        <v>2134</v>
      </c>
      <c r="O15" s="11">
        <v>0</v>
      </c>
      <c r="P15" s="11">
        <v>2713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</row>
    <row r="16" spans="1:24" x14ac:dyDescent="0.2">
      <c r="A16" s="6" t="s">
        <v>76</v>
      </c>
      <c r="B16" s="11">
        <v>11102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150</v>
      </c>
      <c r="J16" s="11">
        <v>0</v>
      </c>
      <c r="K16" s="11">
        <v>926</v>
      </c>
      <c r="L16" s="11">
        <v>5</v>
      </c>
      <c r="M16" s="11">
        <v>30</v>
      </c>
      <c r="N16" s="11">
        <v>2707</v>
      </c>
      <c r="O16" s="11">
        <v>751</v>
      </c>
      <c r="P16" s="11">
        <v>2486</v>
      </c>
      <c r="Q16" s="11">
        <v>3029</v>
      </c>
      <c r="R16" s="11">
        <v>995</v>
      </c>
      <c r="S16" s="11">
        <v>0</v>
      </c>
      <c r="T16" s="11">
        <v>24</v>
      </c>
      <c r="U16" s="11">
        <v>0</v>
      </c>
      <c r="V16" s="11">
        <v>0</v>
      </c>
      <c r="W16" s="11">
        <v>0</v>
      </c>
      <c r="X16" s="11">
        <v>0</v>
      </c>
    </row>
    <row r="17" spans="1:24" x14ac:dyDescent="0.2">
      <c r="A17" s="6" t="s">
        <v>77</v>
      </c>
      <c r="B17" s="11">
        <v>99069</v>
      </c>
      <c r="C17" s="11">
        <v>9843</v>
      </c>
      <c r="D17" s="11">
        <v>8945</v>
      </c>
      <c r="E17" s="11">
        <v>5082</v>
      </c>
      <c r="F17" s="11">
        <v>5461</v>
      </c>
      <c r="G17" s="11">
        <v>3318</v>
      </c>
      <c r="H17" s="11">
        <v>3827</v>
      </c>
      <c r="I17" s="11">
        <v>3047</v>
      </c>
      <c r="J17" s="11">
        <v>2387</v>
      </c>
      <c r="K17" s="11">
        <v>2716</v>
      </c>
      <c r="L17" s="11">
        <v>5062</v>
      </c>
      <c r="M17" s="11">
        <v>4595</v>
      </c>
      <c r="N17" s="11">
        <v>16642</v>
      </c>
      <c r="O17" s="11">
        <v>7157</v>
      </c>
      <c r="P17" s="11">
        <v>8668</v>
      </c>
      <c r="Q17" s="11">
        <v>5405</v>
      </c>
      <c r="R17" s="11">
        <v>3632</v>
      </c>
      <c r="S17" s="11">
        <v>1732</v>
      </c>
      <c r="T17" s="11">
        <v>1445</v>
      </c>
      <c r="U17" s="11">
        <v>886</v>
      </c>
      <c r="V17" s="11">
        <v>-905</v>
      </c>
      <c r="W17" s="11">
        <v>125</v>
      </c>
      <c r="X17" s="11">
        <v>0</v>
      </c>
    </row>
    <row r="18" spans="1:24" x14ac:dyDescent="0.2">
      <c r="A18" s="6" t="s">
        <v>78</v>
      </c>
      <c r="B18" s="11">
        <v>55614</v>
      </c>
      <c r="C18" s="11">
        <v>4384</v>
      </c>
      <c r="D18" s="11">
        <v>3444</v>
      </c>
      <c r="E18" s="11">
        <v>2133</v>
      </c>
      <c r="F18" s="11">
        <v>3287</v>
      </c>
      <c r="G18" s="11">
        <v>3583</v>
      </c>
      <c r="H18" s="11">
        <v>3118</v>
      </c>
      <c r="I18" s="11">
        <v>2975</v>
      </c>
      <c r="J18" s="11">
        <v>2493</v>
      </c>
      <c r="K18" s="11">
        <v>1022</v>
      </c>
      <c r="L18" s="11">
        <v>4499</v>
      </c>
      <c r="M18" s="11">
        <v>3506</v>
      </c>
      <c r="N18" s="11">
        <v>5092</v>
      </c>
      <c r="O18" s="11">
        <v>3215</v>
      </c>
      <c r="P18" s="11">
        <v>5290</v>
      </c>
      <c r="Q18" s="11">
        <v>3304</v>
      </c>
      <c r="R18" s="11">
        <v>3369</v>
      </c>
      <c r="S18" s="11">
        <v>137</v>
      </c>
      <c r="T18" s="11">
        <v>690</v>
      </c>
      <c r="U18" s="11">
        <v>28</v>
      </c>
      <c r="V18" s="11">
        <v>12</v>
      </c>
      <c r="W18" s="11">
        <v>33</v>
      </c>
      <c r="X18" s="11">
        <v>0</v>
      </c>
    </row>
    <row r="19" spans="1:24" x14ac:dyDescent="0.2">
      <c r="A19" s="6" t="s">
        <v>79</v>
      </c>
      <c r="B19" s="11">
        <v>6604</v>
      </c>
      <c r="C19" s="11">
        <v>241</v>
      </c>
      <c r="D19" s="11">
        <v>852</v>
      </c>
      <c r="E19" s="11">
        <v>1877</v>
      </c>
      <c r="F19" s="11">
        <v>0</v>
      </c>
      <c r="G19" s="11">
        <v>433</v>
      </c>
      <c r="H19" s="11">
        <v>0</v>
      </c>
      <c r="I19" s="11">
        <v>185</v>
      </c>
      <c r="J19" s="11">
        <v>276</v>
      </c>
      <c r="K19" s="11">
        <v>555</v>
      </c>
      <c r="L19" s="11">
        <v>452</v>
      </c>
      <c r="M19" s="11">
        <v>27</v>
      </c>
      <c r="N19" s="11">
        <v>650</v>
      </c>
      <c r="O19" s="11">
        <v>0</v>
      </c>
      <c r="P19" s="11">
        <v>312</v>
      </c>
      <c r="Q19" s="11">
        <v>93</v>
      </c>
      <c r="R19" s="11">
        <v>278</v>
      </c>
      <c r="S19" s="11">
        <v>0</v>
      </c>
      <c r="T19" s="11">
        <v>93</v>
      </c>
      <c r="U19" s="11">
        <v>0</v>
      </c>
      <c r="V19" s="11">
        <v>0</v>
      </c>
      <c r="W19" s="11">
        <v>279</v>
      </c>
      <c r="X19" s="11">
        <v>0</v>
      </c>
    </row>
    <row r="20" spans="1:24" x14ac:dyDescent="0.2">
      <c r="A20" s="6" t="s">
        <v>80</v>
      </c>
      <c r="B20" s="11">
        <v>7018</v>
      </c>
      <c r="C20" s="11">
        <v>498</v>
      </c>
      <c r="D20" s="11">
        <v>318</v>
      </c>
      <c r="E20" s="11">
        <v>0</v>
      </c>
      <c r="F20" s="11">
        <v>0</v>
      </c>
      <c r="G20" s="11">
        <v>0</v>
      </c>
      <c r="H20" s="11">
        <v>369</v>
      </c>
      <c r="I20" s="11">
        <v>351</v>
      </c>
      <c r="J20" s="11">
        <v>0</v>
      </c>
      <c r="K20" s="11">
        <v>0</v>
      </c>
      <c r="L20" s="11">
        <v>784</v>
      </c>
      <c r="M20" s="11">
        <v>377</v>
      </c>
      <c r="N20" s="11">
        <v>1583</v>
      </c>
      <c r="O20" s="11">
        <v>0</v>
      </c>
      <c r="P20" s="11">
        <v>0</v>
      </c>
      <c r="Q20" s="11">
        <v>2003</v>
      </c>
      <c r="R20" s="11">
        <v>0</v>
      </c>
      <c r="S20" s="11">
        <v>0</v>
      </c>
      <c r="T20" s="11">
        <v>177</v>
      </c>
      <c r="U20" s="11">
        <v>0</v>
      </c>
      <c r="V20" s="11">
        <v>560</v>
      </c>
      <c r="W20" s="11">
        <v>0</v>
      </c>
      <c r="X20" s="11">
        <v>0</v>
      </c>
    </row>
    <row r="21" spans="1:24" x14ac:dyDescent="0.2">
      <c r="A21" s="6" t="s">
        <v>81</v>
      </c>
      <c r="B21" s="11">
        <v>4083</v>
      </c>
      <c r="C21" s="11">
        <v>22</v>
      </c>
      <c r="D21" s="11">
        <v>198</v>
      </c>
      <c r="E21" s="11">
        <v>29</v>
      </c>
      <c r="F21" s="11">
        <v>67</v>
      </c>
      <c r="G21" s="11">
        <v>58</v>
      </c>
      <c r="H21" s="11">
        <v>144</v>
      </c>
      <c r="I21" s="11">
        <v>0</v>
      </c>
      <c r="J21" s="11">
        <v>452</v>
      </c>
      <c r="K21" s="11">
        <v>489</v>
      </c>
      <c r="L21" s="11">
        <v>2025</v>
      </c>
      <c r="M21" s="11">
        <v>300</v>
      </c>
      <c r="N21" s="11">
        <v>57</v>
      </c>
      <c r="O21" s="11">
        <v>184</v>
      </c>
      <c r="P21" s="11">
        <v>60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</row>
    <row r="22" spans="1:24" x14ac:dyDescent="0.2">
      <c r="A22" s="6" t="s">
        <v>82</v>
      </c>
      <c r="B22" s="11">
        <v>2512</v>
      </c>
      <c r="C22" s="11">
        <v>0</v>
      </c>
      <c r="D22" s="11">
        <v>208</v>
      </c>
      <c r="E22" s="11">
        <v>154</v>
      </c>
      <c r="F22" s="11">
        <v>14</v>
      </c>
      <c r="G22" s="11">
        <v>0</v>
      </c>
      <c r="H22" s="11">
        <v>0</v>
      </c>
      <c r="I22" s="11">
        <v>0</v>
      </c>
      <c r="J22" s="11">
        <v>72</v>
      </c>
      <c r="K22" s="11">
        <v>344</v>
      </c>
      <c r="L22" s="11">
        <v>334</v>
      </c>
      <c r="M22" s="11">
        <v>119</v>
      </c>
      <c r="N22" s="11">
        <v>0</v>
      </c>
      <c r="O22" s="11">
        <v>128</v>
      </c>
      <c r="P22" s="11">
        <v>402</v>
      </c>
      <c r="Q22" s="11">
        <v>77</v>
      </c>
      <c r="R22" s="11">
        <v>170</v>
      </c>
      <c r="S22" s="11">
        <v>97</v>
      </c>
      <c r="T22" s="11">
        <v>21</v>
      </c>
      <c r="U22" s="11">
        <v>167</v>
      </c>
      <c r="V22" s="11">
        <v>203</v>
      </c>
      <c r="W22" s="11">
        <v>0</v>
      </c>
      <c r="X22" s="11">
        <v>0</v>
      </c>
    </row>
    <row r="23" spans="1:24" x14ac:dyDescent="0.2">
      <c r="A23" s="6" t="s">
        <v>83</v>
      </c>
      <c r="B23" s="11">
        <v>5939</v>
      </c>
      <c r="C23" s="11">
        <v>647</v>
      </c>
      <c r="D23" s="11">
        <v>352</v>
      </c>
      <c r="E23" s="11">
        <v>428</v>
      </c>
      <c r="F23" s="11">
        <v>0</v>
      </c>
      <c r="G23" s="11">
        <v>0</v>
      </c>
      <c r="H23" s="11">
        <v>139</v>
      </c>
      <c r="I23" s="11">
        <v>29</v>
      </c>
      <c r="J23" s="11">
        <v>266</v>
      </c>
      <c r="K23" s="11">
        <v>551</v>
      </c>
      <c r="L23" s="11">
        <v>274</v>
      </c>
      <c r="M23" s="11">
        <v>939</v>
      </c>
      <c r="N23" s="11">
        <v>493</v>
      </c>
      <c r="O23" s="11">
        <v>803</v>
      </c>
      <c r="P23" s="11">
        <v>402</v>
      </c>
      <c r="Q23" s="11">
        <v>236</v>
      </c>
      <c r="R23" s="11">
        <v>300</v>
      </c>
      <c r="S23" s="11">
        <v>0</v>
      </c>
      <c r="T23" s="11">
        <v>0</v>
      </c>
      <c r="U23" s="11">
        <v>63</v>
      </c>
      <c r="V23" s="11">
        <v>18</v>
      </c>
      <c r="W23" s="11">
        <v>0</v>
      </c>
      <c r="X23" s="11">
        <v>0</v>
      </c>
    </row>
    <row r="24" spans="1:24" x14ac:dyDescent="0.2">
      <c r="A24" s="6" t="s">
        <v>84</v>
      </c>
      <c r="B24" s="11">
        <v>24313</v>
      </c>
      <c r="C24" s="11">
        <v>1722</v>
      </c>
      <c r="D24" s="11">
        <v>1578</v>
      </c>
      <c r="E24" s="11">
        <v>954</v>
      </c>
      <c r="F24" s="11">
        <v>1632</v>
      </c>
      <c r="G24" s="11">
        <v>948</v>
      </c>
      <c r="H24" s="11">
        <v>1856</v>
      </c>
      <c r="I24" s="11">
        <v>381</v>
      </c>
      <c r="J24" s="11">
        <v>966</v>
      </c>
      <c r="K24" s="11">
        <v>961</v>
      </c>
      <c r="L24" s="11">
        <v>767</v>
      </c>
      <c r="M24" s="11">
        <v>2153</v>
      </c>
      <c r="N24" s="11">
        <v>2870</v>
      </c>
      <c r="O24" s="11">
        <v>1713</v>
      </c>
      <c r="P24" s="11">
        <v>2039</v>
      </c>
      <c r="Q24" s="11">
        <v>3044</v>
      </c>
      <c r="R24" s="11">
        <v>728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</row>
    <row r="25" spans="1:24" x14ac:dyDescent="0.2">
      <c r="A25" s="6" t="s">
        <v>85</v>
      </c>
      <c r="B25" s="11">
        <v>7435</v>
      </c>
      <c r="C25" s="11">
        <v>534</v>
      </c>
      <c r="D25" s="11">
        <v>841</v>
      </c>
      <c r="E25" s="11">
        <v>0</v>
      </c>
      <c r="F25" s="11">
        <v>518</v>
      </c>
      <c r="G25" s="11">
        <v>217</v>
      </c>
      <c r="H25" s="11">
        <v>1098</v>
      </c>
      <c r="I25" s="11">
        <v>93</v>
      </c>
      <c r="J25" s="11">
        <v>125</v>
      </c>
      <c r="K25" s="11">
        <v>0</v>
      </c>
      <c r="L25" s="11">
        <v>239</v>
      </c>
      <c r="M25" s="11">
        <v>1162</v>
      </c>
      <c r="N25" s="11">
        <v>1316</v>
      </c>
      <c r="O25" s="11">
        <v>549</v>
      </c>
      <c r="P25" s="11">
        <v>0</v>
      </c>
      <c r="Q25" s="11">
        <v>278</v>
      </c>
      <c r="R25" s="11">
        <v>465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</row>
    <row r="26" spans="1:24" x14ac:dyDescent="0.2">
      <c r="A26" s="6" t="s">
        <v>86</v>
      </c>
      <c r="B26" s="11">
        <v>3978</v>
      </c>
      <c r="C26" s="11">
        <v>307</v>
      </c>
      <c r="D26" s="11">
        <v>299</v>
      </c>
      <c r="E26" s="11">
        <v>50</v>
      </c>
      <c r="F26" s="11">
        <v>338</v>
      </c>
      <c r="G26" s="11">
        <v>171</v>
      </c>
      <c r="H26" s="11">
        <v>135</v>
      </c>
      <c r="I26" s="11">
        <v>246</v>
      </c>
      <c r="J26" s="11">
        <v>200</v>
      </c>
      <c r="K26" s="11">
        <v>0</v>
      </c>
      <c r="L26" s="11">
        <v>432</v>
      </c>
      <c r="M26" s="11">
        <v>174</v>
      </c>
      <c r="N26" s="11">
        <v>439</v>
      </c>
      <c r="O26" s="11">
        <v>186</v>
      </c>
      <c r="P26" s="11">
        <v>120</v>
      </c>
      <c r="Q26" s="11">
        <v>-261</v>
      </c>
      <c r="R26" s="11">
        <v>750</v>
      </c>
      <c r="S26" s="11">
        <v>0</v>
      </c>
      <c r="T26" s="11">
        <v>75</v>
      </c>
      <c r="U26" s="11">
        <v>141</v>
      </c>
      <c r="V26" s="11">
        <v>123</v>
      </c>
      <c r="W26" s="11">
        <v>52</v>
      </c>
      <c r="X26" s="11">
        <v>0</v>
      </c>
    </row>
    <row r="27" spans="1:24" x14ac:dyDescent="0.2">
      <c r="A27" s="6" t="s">
        <v>87</v>
      </c>
      <c r="B27" s="11">
        <v>920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920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</row>
    <row r="28" spans="1:24" x14ac:dyDescent="0.2">
      <c r="A28" s="6" t="s">
        <v>88</v>
      </c>
      <c r="B28" s="11">
        <v>419175</v>
      </c>
      <c r="C28" s="11">
        <v>51241</v>
      </c>
      <c r="D28" s="11">
        <v>0</v>
      </c>
      <c r="E28" s="11">
        <v>12203</v>
      </c>
      <c r="F28" s="11">
        <v>15797</v>
      </c>
      <c r="G28" s="11">
        <v>26675</v>
      </c>
      <c r="H28" s="11">
        <v>0</v>
      </c>
      <c r="I28" s="11">
        <v>6110</v>
      </c>
      <c r="J28" s="11">
        <v>6439</v>
      </c>
      <c r="K28" s="11">
        <v>49229</v>
      </c>
      <c r="L28" s="11">
        <v>12911</v>
      </c>
      <c r="M28" s="11">
        <v>12085</v>
      </c>
      <c r="N28" s="11">
        <v>45349</v>
      </c>
      <c r="O28" s="11">
        <v>44105</v>
      </c>
      <c r="P28" s="11">
        <v>107567</v>
      </c>
      <c r="Q28" s="11">
        <v>18845</v>
      </c>
      <c r="R28" s="11">
        <v>10621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</row>
    <row r="29" spans="1:24" x14ac:dyDescent="0.2">
      <c r="A29" s="6" t="s">
        <v>89</v>
      </c>
      <c r="B29" s="11">
        <v>525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36</v>
      </c>
      <c r="N29" s="11">
        <v>100</v>
      </c>
      <c r="O29" s="11">
        <v>50</v>
      </c>
      <c r="P29" s="11">
        <v>50</v>
      </c>
      <c r="Q29" s="11">
        <v>58</v>
      </c>
      <c r="R29" s="11">
        <v>58</v>
      </c>
      <c r="S29" s="11">
        <v>50</v>
      </c>
      <c r="T29" s="11">
        <v>0</v>
      </c>
      <c r="U29" s="11">
        <v>50</v>
      </c>
      <c r="V29" s="11">
        <v>72</v>
      </c>
      <c r="W29" s="11">
        <v>0</v>
      </c>
      <c r="X29" s="11">
        <v>0</v>
      </c>
    </row>
    <row r="30" spans="1:24" x14ac:dyDescent="0.2">
      <c r="A30" s="6" t="s">
        <v>90</v>
      </c>
      <c r="B30" s="11">
        <v>1292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593</v>
      </c>
      <c r="R30" s="11">
        <v>698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</row>
    <row r="31" spans="1:24" x14ac:dyDescent="0.2">
      <c r="A31" s="6" t="s">
        <v>91</v>
      </c>
      <c r="B31" s="11">
        <v>19350</v>
      </c>
      <c r="C31" s="11">
        <v>1300</v>
      </c>
      <c r="D31" s="11">
        <v>1300</v>
      </c>
      <c r="E31" s="11">
        <v>1000</v>
      </c>
      <c r="F31" s="11">
        <v>300</v>
      </c>
      <c r="G31" s="11">
        <v>1000</v>
      </c>
      <c r="H31" s="11">
        <v>75</v>
      </c>
      <c r="I31" s="11">
        <v>375</v>
      </c>
      <c r="J31" s="11">
        <v>1500</v>
      </c>
      <c r="K31" s="11">
        <v>1500</v>
      </c>
      <c r="L31" s="11">
        <v>1000</v>
      </c>
      <c r="M31" s="11">
        <v>3000</v>
      </c>
      <c r="N31" s="11">
        <v>1500</v>
      </c>
      <c r="O31" s="11">
        <v>1500</v>
      </c>
      <c r="P31" s="11">
        <v>1500</v>
      </c>
      <c r="Q31" s="11">
        <v>1500</v>
      </c>
      <c r="R31" s="11">
        <v>1000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</row>
    <row r="32" spans="1:24" x14ac:dyDescent="0.2">
      <c r="A32" s="6" t="s">
        <v>92</v>
      </c>
      <c r="B32" s="11">
        <v>6630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514</v>
      </c>
      <c r="K32" s="11">
        <v>432</v>
      </c>
      <c r="L32" s="11">
        <v>524</v>
      </c>
      <c r="M32" s="11">
        <v>679</v>
      </c>
      <c r="N32" s="11">
        <v>1569</v>
      </c>
      <c r="O32" s="11">
        <v>851</v>
      </c>
      <c r="P32" s="11">
        <v>846</v>
      </c>
      <c r="Q32" s="11">
        <v>559</v>
      </c>
      <c r="R32" s="11">
        <v>657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</row>
    <row r="33" spans="1:24" x14ac:dyDescent="0.2">
      <c r="A33" s="6" t="s">
        <v>93</v>
      </c>
      <c r="B33" s="11">
        <v>93500</v>
      </c>
      <c r="C33" s="11">
        <v>2500</v>
      </c>
      <c r="D33" s="11">
        <v>2500</v>
      </c>
      <c r="E33" s="11">
        <v>2500</v>
      </c>
      <c r="F33" s="11">
        <v>2500</v>
      </c>
      <c r="G33" s="11">
        <v>2500</v>
      </c>
      <c r="H33" s="11">
        <v>2500</v>
      </c>
      <c r="I33" s="11">
        <v>2500</v>
      </c>
      <c r="J33" s="11">
        <v>10000</v>
      </c>
      <c r="K33" s="11">
        <v>10000</v>
      </c>
      <c r="L33" s="11">
        <v>10000</v>
      </c>
      <c r="M33" s="11">
        <v>10000</v>
      </c>
      <c r="N33" s="11">
        <v>10000</v>
      </c>
      <c r="O33" s="11">
        <v>10000</v>
      </c>
      <c r="P33" s="11">
        <v>10000</v>
      </c>
      <c r="Q33" s="11">
        <v>3000</v>
      </c>
      <c r="R33" s="11">
        <v>3000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</row>
    <row r="34" spans="1:24" x14ac:dyDescent="0.2">
      <c r="A34" s="6" t="s">
        <v>94</v>
      </c>
      <c r="B34" s="11">
        <v>3675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1547</v>
      </c>
      <c r="K34" s="11">
        <v>1102</v>
      </c>
      <c r="L34" s="11">
        <v>0</v>
      </c>
      <c r="M34" s="11">
        <v>0</v>
      </c>
      <c r="N34" s="11">
        <v>0</v>
      </c>
      <c r="O34" s="11">
        <v>1026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</row>
    <row r="35" spans="1:24" x14ac:dyDescent="0.2">
      <c r="A35" s="6" t="s">
        <v>95</v>
      </c>
      <c r="B35" s="11">
        <v>785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395</v>
      </c>
      <c r="R35" s="11">
        <v>391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</row>
    <row r="36" spans="1:24" x14ac:dyDescent="0.2">
      <c r="A36" s="6" t="s">
        <v>96</v>
      </c>
      <c r="B36" s="13">
        <v>3126914</v>
      </c>
      <c r="C36" s="13">
        <v>185763</v>
      </c>
      <c r="D36" s="13">
        <v>138856</v>
      </c>
      <c r="E36" s="13">
        <v>138104</v>
      </c>
      <c r="F36" s="13">
        <v>149347</v>
      </c>
      <c r="G36" s="13">
        <v>147954</v>
      </c>
      <c r="H36" s="13">
        <v>116493</v>
      </c>
      <c r="I36" s="13">
        <v>95088</v>
      </c>
      <c r="J36" s="13">
        <v>148673</v>
      </c>
      <c r="K36" s="13">
        <v>155845</v>
      </c>
      <c r="L36" s="13">
        <v>182513</v>
      </c>
      <c r="M36" s="13">
        <v>190162</v>
      </c>
      <c r="N36" s="13">
        <v>389362</v>
      </c>
      <c r="O36" s="13">
        <v>224174</v>
      </c>
      <c r="P36" s="13">
        <v>307960</v>
      </c>
      <c r="Q36" s="13">
        <v>197195</v>
      </c>
      <c r="R36" s="13">
        <v>181498</v>
      </c>
      <c r="S36" s="13">
        <v>56554</v>
      </c>
      <c r="T36" s="13">
        <v>40789</v>
      </c>
      <c r="U36" s="13">
        <v>26647</v>
      </c>
      <c r="V36" s="13">
        <v>42077</v>
      </c>
      <c r="W36" s="13">
        <v>11862</v>
      </c>
      <c r="X36" s="13">
        <v>0</v>
      </c>
    </row>
    <row r="37" spans="1:24" x14ac:dyDescent="0.2">
      <c r="A37" s="6" t="s">
        <v>39</v>
      </c>
      <c r="B37" s="15" t="s">
        <v>72</v>
      </c>
      <c r="C37" s="15" t="s">
        <v>72</v>
      </c>
      <c r="D37" s="15" t="s">
        <v>72</v>
      </c>
      <c r="E37" s="15" t="s">
        <v>72</v>
      </c>
      <c r="F37" s="15" t="s">
        <v>72</v>
      </c>
      <c r="G37" s="15" t="s">
        <v>72</v>
      </c>
      <c r="H37" s="15" t="s">
        <v>72</v>
      </c>
      <c r="I37" s="15" t="s">
        <v>72</v>
      </c>
      <c r="J37" s="15" t="s">
        <v>72</v>
      </c>
      <c r="K37" s="15" t="s">
        <v>72</v>
      </c>
      <c r="L37" s="15" t="s">
        <v>72</v>
      </c>
      <c r="M37" s="15" t="s">
        <v>72</v>
      </c>
      <c r="N37" s="15" t="s">
        <v>72</v>
      </c>
      <c r="O37" s="15" t="s">
        <v>72</v>
      </c>
      <c r="P37" s="15" t="s">
        <v>72</v>
      </c>
      <c r="Q37" s="15" t="s">
        <v>72</v>
      </c>
      <c r="R37" s="15" t="s">
        <v>72</v>
      </c>
      <c r="S37" s="15" t="s">
        <v>72</v>
      </c>
      <c r="T37" s="15" t="s">
        <v>72</v>
      </c>
      <c r="U37" s="15" t="s">
        <v>72</v>
      </c>
      <c r="V37" s="15" t="s">
        <v>72</v>
      </c>
      <c r="W37" s="15" t="s">
        <v>72</v>
      </c>
      <c r="X37" s="15" t="s">
        <v>72</v>
      </c>
    </row>
    <row r="38" spans="1:24" x14ac:dyDescent="0.2">
      <c r="A38" s="6" t="s">
        <v>73</v>
      </c>
      <c r="B38" s="11">
        <v>206082</v>
      </c>
      <c r="C38" s="11">
        <v>10986</v>
      </c>
      <c r="D38" s="11">
        <v>13248</v>
      </c>
      <c r="E38" s="11">
        <v>11577</v>
      </c>
      <c r="F38" s="11">
        <v>13799</v>
      </c>
      <c r="G38" s="11">
        <v>9431</v>
      </c>
      <c r="H38" s="11">
        <v>13607</v>
      </c>
      <c r="I38" s="11">
        <v>6031</v>
      </c>
      <c r="J38" s="11">
        <v>8184</v>
      </c>
      <c r="K38" s="11">
        <v>7084</v>
      </c>
      <c r="L38" s="11">
        <v>8762</v>
      </c>
      <c r="M38" s="11">
        <v>11927</v>
      </c>
      <c r="N38" s="11">
        <v>28293</v>
      </c>
      <c r="O38" s="11">
        <v>9715</v>
      </c>
      <c r="P38" s="11">
        <v>14094</v>
      </c>
      <c r="Q38" s="11">
        <v>14126</v>
      </c>
      <c r="R38" s="11">
        <v>17666</v>
      </c>
      <c r="S38" s="11">
        <v>1956</v>
      </c>
      <c r="T38" s="11">
        <v>1766</v>
      </c>
      <c r="U38" s="11">
        <v>1187</v>
      </c>
      <c r="V38" s="11">
        <v>1109</v>
      </c>
      <c r="W38" s="11">
        <v>1531</v>
      </c>
      <c r="X38" s="11">
        <v>0</v>
      </c>
    </row>
    <row r="39" spans="1:24" x14ac:dyDescent="0.2">
      <c r="A39" s="6" t="s">
        <v>74</v>
      </c>
      <c r="B39" s="11">
        <v>5096</v>
      </c>
      <c r="C39" s="11">
        <v>1669</v>
      </c>
      <c r="D39" s="11">
        <v>256</v>
      </c>
      <c r="E39" s="11">
        <v>116</v>
      </c>
      <c r="F39" s="11">
        <v>42</v>
      </c>
      <c r="G39" s="11">
        <v>917</v>
      </c>
      <c r="H39" s="11">
        <v>51</v>
      </c>
      <c r="I39" s="11">
        <v>0</v>
      </c>
      <c r="J39" s="11">
        <v>134</v>
      </c>
      <c r="K39" s="11">
        <v>163</v>
      </c>
      <c r="L39" s="11">
        <v>518</v>
      </c>
      <c r="M39" s="11">
        <v>254</v>
      </c>
      <c r="N39" s="11">
        <v>725</v>
      </c>
      <c r="O39" s="11">
        <v>0</v>
      </c>
      <c r="P39" s="11">
        <v>207</v>
      </c>
      <c r="Q39" s="11">
        <v>6</v>
      </c>
      <c r="R39" s="11">
        <v>36</v>
      </c>
      <c r="S39" s="11">
        <v>4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</row>
    <row r="40" spans="1:24" x14ac:dyDescent="0.2">
      <c r="A40" s="6" t="s">
        <v>77</v>
      </c>
      <c r="B40" s="11">
        <v>10879</v>
      </c>
      <c r="C40" s="11">
        <v>652</v>
      </c>
      <c r="D40" s="11">
        <v>635</v>
      </c>
      <c r="E40" s="11">
        <v>531</v>
      </c>
      <c r="F40" s="11">
        <v>628</v>
      </c>
      <c r="G40" s="11">
        <v>698</v>
      </c>
      <c r="H40" s="11">
        <v>118</v>
      </c>
      <c r="I40" s="11">
        <v>-207</v>
      </c>
      <c r="J40" s="11">
        <v>315</v>
      </c>
      <c r="K40" s="11">
        <v>470</v>
      </c>
      <c r="L40" s="11">
        <v>543</v>
      </c>
      <c r="M40" s="11">
        <v>508</v>
      </c>
      <c r="N40" s="11">
        <v>2021</v>
      </c>
      <c r="O40" s="11">
        <v>520</v>
      </c>
      <c r="P40" s="11">
        <v>710</v>
      </c>
      <c r="Q40" s="11">
        <v>597</v>
      </c>
      <c r="R40" s="11">
        <v>986</v>
      </c>
      <c r="S40" s="11">
        <v>88</v>
      </c>
      <c r="T40" s="11">
        <v>72</v>
      </c>
      <c r="U40" s="11">
        <v>81</v>
      </c>
      <c r="V40" s="11">
        <v>226</v>
      </c>
      <c r="W40" s="11">
        <v>685</v>
      </c>
      <c r="X40" s="11">
        <v>0</v>
      </c>
    </row>
    <row r="41" spans="1:24" x14ac:dyDescent="0.2">
      <c r="A41" s="6" t="s">
        <v>97</v>
      </c>
      <c r="B41" s="11">
        <v>21493</v>
      </c>
      <c r="C41" s="11">
        <v>1383</v>
      </c>
      <c r="D41" s="11">
        <v>1027</v>
      </c>
      <c r="E41" s="11">
        <v>1057</v>
      </c>
      <c r="F41" s="11">
        <v>989</v>
      </c>
      <c r="G41" s="11">
        <v>697</v>
      </c>
      <c r="H41" s="11">
        <v>1102</v>
      </c>
      <c r="I41" s="11">
        <v>0</v>
      </c>
      <c r="J41" s="11">
        <v>1011</v>
      </c>
      <c r="K41" s="11">
        <v>598</v>
      </c>
      <c r="L41" s="11">
        <v>1565</v>
      </c>
      <c r="M41" s="11">
        <v>1398</v>
      </c>
      <c r="N41" s="11">
        <v>3880</v>
      </c>
      <c r="O41" s="11">
        <v>1177</v>
      </c>
      <c r="P41" s="11">
        <v>1133</v>
      </c>
      <c r="Q41" s="11">
        <v>1503</v>
      </c>
      <c r="R41" s="11">
        <v>766</v>
      </c>
      <c r="S41" s="11">
        <v>260</v>
      </c>
      <c r="T41" s="11">
        <v>461</v>
      </c>
      <c r="U41" s="11">
        <v>537</v>
      </c>
      <c r="V41" s="11">
        <v>724</v>
      </c>
      <c r="W41" s="11">
        <v>226</v>
      </c>
      <c r="X41" s="11">
        <v>0</v>
      </c>
    </row>
    <row r="42" spans="1:24" x14ac:dyDescent="0.2">
      <c r="A42" s="6" t="s">
        <v>98</v>
      </c>
      <c r="B42" s="13">
        <v>243550</v>
      </c>
      <c r="C42" s="13">
        <v>14690</v>
      </c>
      <c r="D42" s="13">
        <v>15166</v>
      </c>
      <c r="E42" s="13">
        <v>13281</v>
      </c>
      <c r="F42" s="13">
        <v>15458</v>
      </c>
      <c r="G42" s="13">
        <v>11743</v>
      </c>
      <c r="H42" s="13">
        <v>14878</v>
      </c>
      <c r="I42" s="13">
        <v>5824</v>
      </c>
      <c r="J42" s="13">
        <v>9644</v>
      </c>
      <c r="K42" s="13">
        <v>8315</v>
      </c>
      <c r="L42" s="13">
        <v>11388</v>
      </c>
      <c r="M42" s="13">
        <v>14087</v>
      </c>
      <c r="N42" s="13">
        <v>34919</v>
      </c>
      <c r="O42" s="13">
        <v>11412</v>
      </c>
      <c r="P42" s="13">
        <v>16144</v>
      </c>
      <c r="Q42" s="13">
        <v>16232</v>
      </c>
      <c r="R42" s="13">
        <v>19454</v>
      </c>
      <c r="S42" s="13">
        <v>2308</v>
      </c>
      <c r="T42" s="13">
        <v>2299</v>
      </c>
      <c r="U42" s="13">
        <v>1805</v>
      </c>
      <c r="V42" s="13">
        <v>2059</v>
      </c>
      <c r="W42" s="13">
        <v>2442</v>
      </c>
      <c r="X42" s="13">
        <v>0</v>
      </c>
    </row>
    <row r="43" spans="1:24" x14ac:dyDescent="0.2">
      <c r="A43" s="6" t="s">
        <v>40</v>
      </c>
      <c r="B43" s="15" t="s">
        <v>72</v>
      </c>
      <c r="C43" s="15" t="s">
        <v>72</v>
      </c>
      <c r="D43" s="15" t="s">
        <v>72</v>
      </c>
      <c r="E43" s="15" t="s">
        <v>72</v>
      </c>
      <c r="F43" s="15" t="s">
        <v>72</v>
      </c>
      <c r="G43" s="15" t="s">
        <v>72</v>
      </c>
      <c r="H43" s="15" t="s">
        <v>72</v>
      </c>
      <c r="I43" s="15" t="s">
        <v>72</v>
      </c>
      <c r="J43" s="15" t="s">
        <v>72</v>
      </c>
      <c r="K43" s="15" t="s">
        <v>72</v>
      </c>
      <c r="L43" s="15" t="s">
        <v>72</v>
      </c>
      <c r="M43" s="15" t="s">
        <v>72</v>
      </c>
      <c r="N43" s="15" t="s">
        <v>72</v>
      </c>
      <c r="O43" s="15" t="s">
        <v>72</v>
      </c>
      <c r="P43" s="15" t="s">
        <v>72</v>
      </c>
      <c r="Q43" s="15" t="s">
        <v>72</v>
      </c>
      <c r="R43" s="15" t="s">
        <v>72</v>
      </c>
      <c r="S43" s="15" t="s">
        <v>72</v>
      </c>
      <c r="T43" s="15" t="s">
        <v>72</v>
      </c>
      <c r="U43" s="15" t="s">
        <v>72</v>
      </c>
      <c r="V43" s="15" t="s">
        <v>72</v>
      </c>
      <c r="W43" s="15" t="s">
        <v>72</v>
      </c>
      <c r="X43" s="15" t="s">
        <v>72</v>
      </c>
    </row>
    <row r="44" spans="1:24" x14ac:dyDescent="0.2">
      <c r="A44" s="6" t="s">
        <v>73</v>
      </c>
      <c r="B44" s="11">
        <v>76672</v>
      </c>
      <c r="C44" s="11">
        <v>3111</v>
      </c>
      <c r="D44" s="11">
        <v>3346</v>
      </c>
      <c r="E44" s="11">
        <v>3652</v>
      </c>
      <c r="F44" s="11">
        <v>3748</v>
      </c>
      <c r="G44" s="11">
        <v>3065</v>
      </c>
      <c r="H44" s="11">
        <v>3056</v>
      </c>
      <c r="I44" s="11">
        <v>733</v>
      </c>
      <c r="J44" s="11">
        <v>3400</v>
      </c>
      <c r="K44" s="11">
        <v>3782</v>
      </c>
      <c r="L44" s="11">
        <v>3748</v>
      </c>
      <c r="M44" s="11">
        <v>3543</v>
      </c>
      <c r="N44" s="11">
        <v>6925</v>
      </c>
      <c r="O44" s="11">
        <v>6884</v>
      </c>
      <c r="P44" s="11">
        <v>7806</v>
      </c>
      <c r="Q44" s="11">
        <v>3370</v>
      </c>
      <c r="R44" s="11">
        <v>4429</v>
      </c>
      <c r="S44" s="11">
        <v>3357</v>
      </c>
      <c r="T44" s="11">
        <v>3174</v>
      </c>
      <c r="U44" s="11">
        <v>2360</v>
      </c>
      <c r="V44" s="11">
        <v>3182</v>
      </c>
      <c r="W44" s="11">
        <v>0</v>
      </c>
      <c r="X44" s="11">
        <v>0</v>
      </c>
    </row>
    <row r="45" spans="1:24" x14ac:dyDescent="0.2">
      <c r="A45" s="6" t="s">
        <v>74</v>
      </c>
      <c r="B45" s="11">
        <v>3242</v>
      </c>
      <c r="C45" s="11">
        <v>153</v>
      </c>
      <c r="D45" s="11">
        <v>134</v>
      </c>
      <c r="E45" s="11">
        <v>278</v>
      </c>
      <c r="F45" s="11">
        <v>5</v>
      </c>
      <c r="G45" s="11">
        <v>116</v>
      </c>
      <c r="H45" s="11">
        <v>0</v>
      </c>
      <c r="I45" s="11">
        <v>4</v>
      </c>
      <c r="J45" s="11">
        <v>92</v>
      </c>
      <c r="K45" s="11">
        <v>5</v>
      </c>
      <c r="L45" s="11">
        <v>0</v>
      </c>
      <c r="M45" s="11">
        <v>1188</v>
      </c>
      <c r="N45" s="11">
        <v>0</v>
      </c>
      <c r="O45" s="11">
        <v>37</v>
      </c>
      <c r="P45" s="11">
        <v>892</v>
      </c>
      <c r="Q45" s="11">
        <v>16</v>
      </c>
      <c r="R45" s="11">
        <v>0</v>
      </c>
      <c r="S45" s="11">
        <v>141</v>
      </c>
      <c r="T45" s="11">
        <v>108</v>
      </c>
      <c r="U45" s="11">
        <v>0</v>
      </c>
      <c r="V45" s="11">
        <v>72</v>
      </c>
      <c r="W45" s="11">
        <v>0</v>
      </c>
      <c r="X45" s="11">
        <v>0</v>
      </c>
    </row>
    <row r="46" spans="1:24" x14ac:dyDescent="0.2">
      <c r="A46" s="6" t="s">
        <v>76</v>
      </c>
      <c r="B46" s="11">
        <v>150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150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</row>
    <row r="47" spans="1:24" x14ac:dyDescent="0.2">
      <c r="A47" s="6" t="s">
        <v>77</v>
      </c>
      <c r="B47" s="11">
        <v>4165</v>
      </c>
      <c r="C47" s="11">
        <v>150</v>
      </c>
      <c r="D47" s="11">
        <v>239</v>
      </c>
      <c r="E47" s="11">
        <v>244</v>
      </c>
      <c r="F47" s="11">
        <v>0</v>
      </c>
      <c r="G47" s="11">
        <v>62</v>
      </c>
      <c r="H47" s="11">
        <v>-18</v>
      </c>
      <c r="I47" s="11">
        <v>98</v>
      </c>
      <c r="J47" s="11">
        <v>60</v>
      </c>
      <c r="K47" s="11">
        <v>352</v>
      </c>
      <c r="L47" s="11">
        <v>0</v>
      </c>
      <c r="M47" s="11">
        <v>61</v>
      </c>
      <c r="N47" s="11">
        <v>641</v>
      </c>
      <c r="O47" s="11">
        <v>880</v>
      </c>
      <c r="P47" s="11">
        <v>-49</v>
      </c>
      <c r="Q47" s="11">
        <v>0</v>
      </c>
      <c r="R47" s="11">
        <v>153</v>
      </c>
      <c r="S47" s="11">
        <v>273</v>
      </c>
      <c r="T47" s="11">
        <v>210</v>
      </c>
      <c r="U47" s="11">
        <v>219</v>
      </c>
      <c r="V47" s="11">
        <v>593</v>
      </c>
      <c r="W47" s="11">
        <v>0</v>
      </c>
      <c r="X47" s="11">
        <v>0</v>
      </c>
    </row>
    <row r="48" spans="1:24" x14ac:dyDescent="0.2">
      <c r="A48" s="6" t="s">
        <v>99</v>
      </c>
      <c r="B48" s="11">
        <v>1888</v>
      </c>
      <c r="C48" s="11">
        <v>0</v>
      </c>
      <c r="D48" s="11">
        <v>841</v>
      </c>
      <c r="E48" s="11">
        <v>88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145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226</v>
      </c>
      <c r="V48" s="11">
        <v>587</v>
      </c>
      <c r="W48" s="11">
        <v>0</v>
      </c>
      <c r="X48" s="11">
        <v>0</v>
      </c>
    </row>
    <row r="49" spans="1:24" x14ac:dyDescent="0.2">
      <c r="A49" s="6" t="s">
        <v>100</v>
      </c>
      <c r="B49" s="11">
        <v>12679</v>
      </c>
      <c r="C49" s="11">
        <v>38</v>
      </c>
      <c r="D49" s="11">
        <v>38</v>
      </c>
      <c r="E49" s="11">
        <v>0</v>
      </c>
      <c r="F49" s="11">
        <v>0</v>
      </c>
      <c r="G49" s="11">
        <v>62</v>
      </c>
      <c r="H49" s="11">
        <v>650</v>
      </c>
      <c r="I49" s="11">
        <v>0</v>
      </c>
      <c r="J49" s="11">
        <v>0</v>
      </c>
      <c r="K49" s="11">
        <v>0</v>
      </c>
      <c r="L49" s="11">
        <v>0</v>
      </c>
      <c r="M49" s="11">
        <v>775</v>
      </c>
      <c r="N49" s="11">
        <v>1802</v>
      </c>
      <c r="O49" s="11">
        <v>0</v>
      </c>
      <c r="P49" s="11">
        <v>5885</v>
      </c>
      <c r="Q49" s="11">
        <v>1970</v>
      </c>
      <c r="R49" s="11">
        <v>0</v>
      </c>
      <c r="S49" s="11">
        <v>0</v>
      </c>
      <c r="T49" s="11">
        <v>713</v>
      </c>
      <c r="U49" s="11">
        <v>679</v>
      </c>
      <c r="V49" s="11">
        <v>0</v>
      </c>
      <c r="W49" s="11">
        <v>68</v>
      </c>
      <c r="X49" s="11">
        <v>0</v>
      </c>
    </row>
    <row r="50" spans="1:24" x14ac:dyDescent="0.2">
      <c r="A50" s="6" t="s">
        <v>101</v>
      </c>
      <c r="B50" s="11">
        <v>16691</v>
      </c>
      <c r="C50" s="11">
        <v>250</v>
      </c>
      <c r="D50" s="11">
        <v>352</v>
      </c>
      <c r="E50" s="11">
        <v>112</v>
      </c>
      <c r="F50" s="11">
        <v>85</v>
      </c>
      <c r="G50" s="11">
        <v>907</v>
      </c>
      <c r="H50" s="11">
        <v>55</v>
      </c>
      <c r="I50" s="11">
        <v>21</v>
      </c>
      <c r="J50" s="11">
        <v>0</v>
      </c>
      <c r="K50" s="11">
        <v>0</v>
      </c>
      <c r="L50" s="11">
        <v>6746</v>
      </c>
      <c r="M50" s="11">
        <v>390</v>
      </c>
      <c r="N50" s="11">
        <v>725</v>
      </c>
      <c r="O50" s="11">
        <v>0</v>
      </c>
      <c r="P50" s="11">
        <v>1455</v>
      </c>
      <c r="Q50" s="11">
        <v>295</v>
      </c>
      <c r="R50" s="11">
        <v>2384</v>
      </c>
      <c r="S50" s="11">
        <v>255</v>
      </c>
      <c r="T50" s="11">
        <v>291</v>
      </c>
      <c r="U50" s="11">
        <v>1916</v>
      </c>
      <c r="V50" s="11">
        <v>295</v>
      </c>
      <c r="W50" s="11">
        <v>157</v>
      </c>
      <c r="X50" s="11">
        <v>0</v>
      </c>
    </row>
    <row r="51" spans="1:24" x14ac:dyDescent="0.2">
      <c r="A51" s="6" t="s">
        <v>102</v>
      </c>
      <c r="B51" s="11">
        <v>165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165</v>
      </c>
      <c r="W51" s="11">
        <v>0</v>
      </c>
      <c r="X51" s="11">
        <v>0</v>
      </c>
    </row>
    <row r="52" spans="1:24" x14ac:dyDescent="0.2">
      <c r="A52" s="6" t="s">
        <v>103</v>
      </c>
      <c r="B52" s="11">
        <v>44155</v>
      </c>
      <c r="C52" s="11">
        <v>1360</v>
      </c>
      <c r="D52" s="11">
        <v>-1369</v>
      </c>
      <c r="E52" s="11">
        <v>2804</v>
      </c>
      <c r="F52" s="11">
        <v>3187</v>
      </c>
      <c r="G52" s="11">
        <v>3187</v>
      </c>
      <c r="H52" s="11">
        <v>1007</v>
      </c>
      <c r="I52" s="11">
        <v>324</v>
      </c>
      <c r="J52" s="11">
        <v>1686</v>
      </c>
      <c r="K52" s="11">
        <v>111</v>
      </c>
      <c r="L52" s="11">
        <v>6079</v>
      </c>
      <c r="M52" s="11">
        <v>1677</v>
      </c>
      <c r="N52" s="11">
        <v>5513</v>
      </c>
      <c r="O52" s="11">
        <v>2312</v>
      </c>
      <c r="P52" s="11">
        <v>5875</v>
      </c>
      <c r="Q52" s="11">
        <v>1058</v>
      </c>
      <c r="R52" s="11">
        <v>2210</v>
      </c>
      <c r="S52" s="11">
        <v>1794</v>
      </c>
      <c r="T52" s="11">
        <v>396</v>
      </c>
      <c r="U52" s="11">
        <v>4599</v>
      </c>
      <c r="V52" s="11">
        <v>329</v>
      </c>
      <c r="W52" s="11">
        <v>13</v>
      </c>
      <c r="X52" s="11">
        <v>0</v>
      </c>
    </row>
    <row r="53" spans="1:24" x14ac:dyDescent="0.2">
      <c r="A53" s="6" t="s">
        <v>104</v>
      </c>
      <c r="B53" s="11">
        <v>-1353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-1353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</row>
    <row r="54" spans="1:24" x14ac:dyDescent="0.2">
      <c r="A54" s="6" t="s">
        <v>105</v>
      </c>
      <c r="B54" s="11">
        <v>8390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8390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</row>
    <row r="55" spans="1:24" x14ac:dyDescent="0.2">
      <c r="A55" s="6" t="s">
        <v>106</v>
      </c>
      <c r="B55" s="11">
        <v>4640</v>
      </c>
      <c r="C55" s="11">
        <v>1034</v>
      </c>
      <c r="D55" s="11">
        <v>114</v>
      </c>
      <c r="E55" s="11">
        <v>134</v>
      </c>
      <c r="F55" s="11">
        <v>108</v>
      </c>
      <c r="G55" s="11">
        <v>202</v>
      </c>
      <c r="H55" s="11">
        <v>114</v>
      </c>
      <c r="I55" s="11">
        <v>134</v>
      </c>
      <c r="J55" s="11">
        <v>150</v>
      </c>
      <c r="K55" s="11">
        <v>150</v>
      </c>
      <c r="L55" s="11">
        <v>150</v>
      </c>
      <c r="M55" s="11">
        <v>150</v>
      </c>
      <c r="N55" s="11">
        <v>150</v>
      </c>
      <c r="O55" s="11">
        <v>150</v>
      </c>
      <c r="P55" s="11">
        <v>300</v>
      </c>
      <c r="Q55" s="11">
        <v>150</v>
      </c>
      <c r="R55" s="11">
        <v>150</v>
      </c>
      <c r="S55" s="11">
        <v>0</v>
      </c>
      <c r="T55" s="11">
        <v>550</v>
      </c>
      <c r="U55" s="11">
        <v>300</v>
      </c>
      <c r="V55" s="11">
        <v>300</v>
      </c>
      <c r="W55" s="11">
        <v>150</v>
      </c>
      <c r="X55" s="11">
        <v>0</v>
      </c>
    </row>
    <row r="56" spans="1:24" x14ac:dyDescent="0.2">
      <c r="A56" s="6" t="s">
        <v>107</v>
      </c>
      <c r="B56" s="11">
        <v>12061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3579</v>
      </c>
      <c r="I56" s="11">
        <v>0</v>
      </c>
      <c r="J56" s="11">
        <v>0</v>
      </c>
      <c r="K56" s="11">
        <v>1814</v>
      </c>
      <c r="L56" s="11">
        <v>967</v>
      </c>
      <c r="M56" s="11">
        <v>0</v>
      </c>
      <c r="N56" s="11">
        <v>0</v>
      </c>
      <c r="O56" s="11">
        <v>2876</v>
      </c>
      <c r="P56" s="11">
        <v>0</v>
      </c>
      <c r="Q56" s="11">
        <v>-486</v>
      </c>
      <c r="R56" s="11">
        <v>956</v>
      </c>
      <c r="S56" s="11">
        <v>0</v>
      </c>
      <c r="T56" s="11">
        <v>967</v>
      </c>
      <c r="U56" s="11">
        <v>1388</v>
      </c>
      <c r="V56" s="11">
        <v>0</v>
      </c>
      <c r="W56" s="11">
        <v>0</v>
      </c>
      <c r="X56" s="11">
        <v>0</v>
      </c>
    </row>
    <row r="57" spans="1:24" x14ac:dyDescent="0.2">
      <c r="A57" s="6" t="s">
        <v>108</v>
      </c>
      <c r="B57" s="11">
        <v>12388</v>
      </c>
      <c r="C57" s="11">
        <v>400</v>
      </c>
      <c r="D57" s="11">
        <v>499</v>
      </c>
      <c r="E57" s="11">
        <v>735</v>
      </c>
      <c r="F57" s="11">
        <v>565</v>
      </c>
      <c r="G57" s="11">
        <v>711</v>
      </c>
      <c r="H57" s="11">
        <v>800</v>
      </c>
      <c r="I57" s="11">
        <v>525</v>
      </c>
      <c r="J57" s="11">
        <v>743</v>
      </c>
      <c r="K57" s="11">
        <v>565</v>
      </c>
      <c r="L57" s="11">
        <v>695</v>
      </c>
      <c r="M57" s="11">
        <v>675</v>
      </c>
      <c r="N57" s="11">
        <v>1195</v>
      </c>
      <c r="O57" s="11">
        <v>885</v>
      </c>
      <c r="P57" s="11">
        <v>0</v>
      </c>
      <c r="Q57" s="11">
        <v>885</v>
      </c>
      <c r="R57" s="11">
        <v>520</v>
      </c>
      <c r="S57" s="11">
        <v>310</v>
      </c>
      <c r="T57" s="11">
        <v>574</v>
      </c>
      <c r="U57" s="11">
        <v>400</v>
      </c>
      <c r="V57" s="11">
        <v>396</v>
      </c>
      <c r="W57" s="11">
        <v>310</v>
      </c>
      <c r="X57" s="11">
        <v>0</v>
      </c>
    </row>
    <row r="58" spans="1:24" x14ac:dyDescent="0.2">
      <c r="A58" s="6" t="s">
        <v>109</v>
      </c>
      <c r="B58" s="11">
        <v>225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75</v>
      </c>
      <c r="N58" s="11">
        <v>0</v>
      </c>
      <c r="O58" s="11">
        <v>0</v>
      </c>
      <c r="P58" s="11">
        <v>0</v>
      </c>
      <c r="Q58" s="11">
        <v>75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75</v>
      </c>
      <c r="X58" s="11">
        <v>0</v>
      </c>
    </row>
    <row r="59" spans="1:24" x14ac:dyDescent="0.2">
      <c r="A59" s="6" t="s">
        <v>110</v>
      </c>
      <c r="B59" s="11">
        <v>124147</v>
      </c>
      <c r="C59" s="11">
        <v>7263</v>
      </c>
      <c r="D59" s="11">
        <v>7128</v>
      </c>
      <c r="E59" s="11">
        <v>665</v>
      </c>
      <c r="F59" s="11">
        <v>7422</v>
      </c>
      <c r="G59" s="11">
        <v>4136</v>
      </c>
      <c r="H59" s="11">
        <v>4908</v>
      </c>
      <c r="I59" s="11">
        <v>3607</v>
      </c>
      <c r="J59" s="11">
        <v>4513</v>
      </c>
      <c r="K59" s="11">
        <v>793</v>
      </c>
      <c r="L59" s="11">
        <v>8339</v>
      </c>
      <c r="M59" s="11">
        <v>4232</v>
      </c>
      <c r="N59" s="11">
        <v>11863</v>
      </c>
      <c r="O59" s="11">
        <v>8720</v>
      </c>
      <c r="P59" s="11">
        <v>10820</v>
      </c>
      <c r="Q59" s="11">
        <v>5264</v>
      </c>
      <c r="R59" s="11">
        <v>5903</v>
      </c>
      <c r="S59" s="11">
        <v>3867</v>
      </c>
      <c r="T59" s="11">
        <v>7021</v>
      </c>
      <c r="U59" s="11">
        <v>4633</v>
      </c>
      <c r="V59" s="11">
        <v>7199</v>
      </c>
      <c r="W59" s="11">
        <v>5669</v>
      </c>
      <c r="X59" s="11">
        <v>184</v>
      </c>
    </row>
    <row r="60" spans="1:24" x14ac:dyDescent="0.2">
      <c r="A60" s="6" t="s">
        <v>111</v>
      </c>
      <c r="B60" s="11">
        <v>27325</v>
      </c>
      <c r="C60" s="11">
        <v>729</v>
      </c>
      <c r="D60" s="11">
        <v>1080</v>
      </c>
      <c r="E60" s="11">
        <v>1502</v>
      </c>
      <c r="F60" s="11">
        <v>2117</v>
      </c>
      <c r="G60" s="11">
        <v>947</v>
      </c>
      <c r="H60" s="11">
        <v>603</v>
      </c>
      <c r="I60" s="11">
        <v>376</v>
      </c>
      <c r="J60" s="11">
        <v>2155</v>
      </c>
      <c r="K60" s="11">
        <v>1294</v>
      </c>
      <c r="L60" s="11">
        <v>723</v>
      </c>
      <c r="M60" s="11">
        <v>3440</v>
      </c>
      <c r="N60" s="11">
        <v>2700</v>
      </c>
      <c r="O60" s="11">
        <v>2037</v>
      </c>
      <c r="P60" s="11">
        <v>562</v>
      </c>
      <c r="Q60" s="11">
        <v>3109</v>
      </c>
      <c r="R60" s="11">
        <v>1057</v>
      </c>
      <c r="S60" s="11">
        <v>317</v>
      </c>
      <c r="T60" s="11">
        <v>535</v>
      </c>
      <c r="U60" s="11">
        <v>759</v>
      </c>
      <c r="V60" s="11">
        <v>674</v>
      </c>
      <c r="W60" s="11">
        <v>349</v>
      </c>
      <c r="X60" s="11">
        <v>260</v>
      </c>
    </row>
    <row r="61" spans="1:24" x14ac:dyDescent="0.2">
      <c r="A61" s="6" t="s">
        <v>112</v>
      </c>
      <c r="B61" s="11">
        <v>59970</v>
      </c>
      <c r="C61" s="11">
        <v>3339</v>
      </c>
      <c r="D61" s="11">
        <v>4251</v>
      </c>
      <c r="E61" s="11">
        <v>1870</v>
      </c>
      <c r="F61" s="11">
        <v>4827</v>
      </c>
      <c r="G61" s="11">
        <v>2179</v>
      </c>
      <c r="H61" s="11">
        <v>450</v>
      </c>
      <c r="I61" s="11">
        <v>1053</v>
      </c>
      <c r="J61" s="11">
        <v>1023</v>
      </c>
      <c r="K61" s="11">
        <v>5058</v>
      </c>
      <c r="L61" s="11">
        <v>899</v>
      </c>
      <c r="M61" s="11">
        <v>3012</v>
      </c>
      <c r="N61" s="11">
        <v>6179</v>
      </c>
      <c r="O61" s="11">
        <v>10730</v>
      </c>
      <c r="P61" s="11">
        <v>10985</v>
      </c>
      <c r="Q61" s="11">
        <v>563</v>
      </c>
      <c r="R61" s="11">
        <v>1137</v>
      </c>
      <c r="S61" s="11">
        <v>304</v>
      </c>
      <c r="T61" s="11">
        <v>479</v>
      </c>
      <c r="U61" s="11">
        <v>361</v>
      </c>
      <c r="V61" s="11">
        <v>1026</v>
      </c>
      <c r="W61" s="11">
        <v>246</v>
      </c>
      <c r="X61" s="11">
        <v>0</v>
      </c>
    </row>
    <row r="62" spans="1:24" x14ac:dyDescent="0.2">
      <c r="A62" s="6" t="s">
        <v>113</v>
      </c>
      <c r="B62" s="13">
        <v>407600</v>
      </c>
      <c r="C62" s="13">
        <v>17827</v>
      </c>
      <c r="D62" s="13">
        <v>16653</v>
      </c>
      <c r="E62" s="13">
        <v>12084</v>
      </c>
      <c r="F62" s="13">
        <v>22064</v>
      </c>
      <c r="G62" s="13">
        <v>15574</v>
      </c>
      <c r="H62" s="13">
        <v>15204</v>
      </c>
      <c r="I62" s="13">
        <v>6875</v>
      </c>
      <c r="J62" s="13">
        <v>13822</v>
      </c>
      <c r="K62" s="13">
        <v>12571</v>
      </c>
      <c r="L62" s="13">
        <v>28491</v>
      </c>
      <c r="M62" s="13">
        <v>19218</v>
      </c>
      <c r="N62" s="13">
        <v>37693</v>
      </c>
      <c r="O62" s="13">
        <v>43901</v>
      </c>
      <c r="P62" s="13">
        <v>44681</v>
      </c>
      <c r="Q62" s="13">
        <v>16269</v>
      </c>
      <c r="R62" s="13">
        <v>18899</v>
      </c>
      <c r="S62" s="13">
        <v>10618</v>
      </c>
      <c r="T62" s="13">
        <v>15018</v>
      </c>
      <c r="U62" s="13">
        <v>17840</v>
      </c>
      <c r="V62" s="13">
        <v>14818</v>
      </c>
      <c r="W62" s="13">
        <v>7037</v>
      </c>
      <c r="X62" s="13">
        <v>444</v>
      </c>
    </row>
    <row r="63" spans="1:24" x14ac:dyDescent="0.2">
      <c r="A63" s="6" t="s">
        <v>41</v>
      </c>
      <c r="B63" s="15" t="s">
        <v>72</v>
      </c>
      <c r="C63" s="15" t="s">
        <v>72</v>
      </c>
      <c r="D63" s="15" t="s">
        <v>72</v>
      </c>
      <c r="E63" s="15" t="s">
        <v>72</v>
      </c>
      <c r="F63" s="15" t="s">
        <v>72</v>
      </c>
      <c r="G63" s="15" t="s">
        <v>72</v>
      </c>
      <c r="H63" s="15" t="s">
        <v>72</v>
      </c>
      <c r="I63" s="15" t="s">
        <v>72</v>
      </c>
      <c r="J63" s="15" t="s">
        <v>72</v>
      </c>
      <c r="K63" s="15" t="s">
        <v>72</v>
      </c>
      <c r="L63" s="15" t="s">
        <v>72</v>
      </c>
      <c r="M63" s="15" t="s">
        <v>72</v>
      </c>
      <c r="N63" s="15" t="s">
        <v>72</v>
      </c>
      <c r="O63" s="15" t="s">
        <v>72</v>
      </c>
      <c r="P63" s="15" t="s">
        <v>72</v>
      </c>
      <c r="Q63" s="15" t="s">
        <v>72</v>
      </c>
      <c r="R63" s="15" t="s">
        <v>72</v>
      </c>
      <c r="S63" s="15" t="s">
        <v>72</v>
      </c>
      <c r="T63" s="15" t="s">
        <v>72</v>
      </c>
      <c r="U63" s="15" t="s">
        <v>72</v>
      </c>
      <c r="V63" s="15" t="s">
        <v>72</v>
      </c>
      <c r="W63" s="15" t="s">
        <v>72</v>
      </c>
      <c r="X63" s="15" t="s">
        <v>72</v>
      </c>
    </row>
    <row r="64" spans="1:24" x14ac:dyDescent="0.2">
      <c r="A64" s="6" t="s">
        <v>73</v>
      </c>
      <c r="B64" s="11">
        <v>312161</v>
      </c>
      <c r="C64" s="11">
        <v>16638</v>
      </c>
      <c r="D64" s="11">
        <v>16008</v>
      </c>
      <c r="E64" s="11">
        <v>14233</v>
      </c>
      <c r="F64" s="11">
        <v>16057</v>
      </c>
      <c r="G64" s="11">
        <v>15119</v>
      </c>
      <c r="H64" s="11">
        <v>14414</v>
      </c>
      <c r="I64" s="11">
        <v>12571</v>
      </c>
      <c r="J64" s="11">
        <v>16702</v>
      </c>
      <c r="K64" s="11">
        <v>12201</v>
      </c>
      <c r="L64" s="11">
        <v>19120</v>
      </c>
      <c r="M64" s="11">
        <v>19321</v>
      </c>
      <c r="N64" s="11">
        <v>32803</v>
      </c>
      <c r="O64" s="11">
        <v>20177</v>
      </c>
      <c r="P64" s="11">
        <v>18267</v>
      </c>
      <c r="Q64" s="11">
        <v>16829</v>
      </c>
      <c r="R64" s="11">
        <v>18691</v>
      </c>
      <c r="S64" s="11">
        <v>0</v>
      </c>
      <c r="T64" s="11">
        <v>10500</v>
      </c>
      <c r="U64" s="11">
        <v>6192</v>
      </c>
      <c r="V64" s="11">
        <v>10039</v>
      </c>
      <c r="W64" s="11">
        <v>6279</v>
      </c>
      <c r="X64" s="11">
        <v>0</v>
      </c>
    </row>
    <row r="65" spans="1:24" x14ac:dyDescent="0.2">
      <c r="A65" s="6" t="s">
        <v>74</v>
      </c>
      <c r="B65" s="11">
        <v>10437</v>
      </c>
      <c r="C65" s="11">
        <v>352</v>
      </c>
      <c r="D65" s="11">
        <v>487</v>
      </c>
      <c r="E65" s="11">
        <v>674</v>
      </c>
      <c r="F65" s="11">
        <v>106</v>
      </c>
      <c r="G65" s="11">
        <v>333</v>
      </c>
      <c r="H65" s="11">
        <v>27</v>
      </c>
      <c r="I65" s="11">
        <v>461</v>
      </c>
      <c r="J65" s="11">
        <v>123</v>
      </c>
      <c r="K65" s="11">
        <v>894</v>
      </c>
      <c r="L65" s="11">
        <v>0</v>
      </c>
      <c r="M65" s="11">
        <v>2168</v>
      </c>
      <c r="N65" s="11">
        <v>873</v>
      </c>
      <c r="O65" s="11">
        <v>34</v>
      </c>
      <c r="P65" s="11">
        <v>1517</v>
      </c>
      <c r="Q65" s="11">
        <v>875</v>
      </c>
      <c r="R65" s="11">
        <v>0</v>
      </c>
      <c r="S65" s="11">
        <v>0</v>
      </c>
      <c r="T65" s="11">
        <v>1237</v>
      </c>
      <c r="U65" s="11">
        <v>0</v>
      </c>
      <c r="V65" s="11">
        <v>277</v>
      </c>
      <c r="W65" s="11">
        <v>0</v>
      </c>
      <c r="X65" s="11">
        <v>0</v>
      </c>
    </row>
    <row r="66" spans="1:24" x14ac:dyDescent="0.2">
      <c r="A66" s="6" t="s">
        <v>76</v>
      </c>
      <c r="B66" s="11">
        <v>493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393</v>
      </c>
      <c r="L66" s="11">
        <v>0</v>
      </c>
      <c r="M66" s="11">
        <v>50</v>
      </c>
      <c r="N66" s="11">
        <v>0</v>
      </c>
      <c r="O66" s="11">
        <v>0</v>
      </c>
      <c r="P66" s="11">
        <v>50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</row>
    <row r="67" spans="1:24" x14ac:dyDescent="0.2">
      <c r="A67" s="6" t="s">
        <v>77</v>
      </c>
      <c r="B67" s="11">
        <v>10443</v>
      </c>
      <c r="C67" s="11">
        <v>161</v>
      </c>
      <c r="D67" s="11">
        <v>583</v>
      </c>
      <c r="E67" s="11">
        <v>50</v>
      </c>
      <c r="F67" s="11">
        <v>318</v>
      </c>
      <c r="G67" s="11">
        <v>-293</v>
      </c>
      <c r="H67" s="11">
        <v>365</v>
      </c>
      <c r="I67" s="11">
        <v>426</v>
      </c>
      <c r="J67" s="11">
        <v>946</v>
      </c>
      <c r="K67" s="11">
        <v>753</v>
      </c>
      <c r="L67" s="11">
        <v>611</v>
      </c>
      <c r="M67" s="11">
        <v>549</v>
      </c>
      <c r="N67" s="11">
        <v>1268</v>
      </c>
      <c r="O67" s="11">
        <v>1075</v>
      </c>
      <c r="P67" s="11">
        <v>842</v>
      </c>
      <c r="Q67" s="11">
        <v>317</v>
      </c>
      <c r="R67" s="11">
        <v>1363</v>
      </c>
      <c r="S67" s="11">
        <v>0</v>
      </c>
      <c r="T67" s="11">
        <v>281</v>
      </c>
      <c r="U67" s="11">
        <v>-193</v>
      </c>
      <c r="V67" s="11">
        <v>770</v>
      </c>
      <c r="W67" s="11">
        <v>251</v>
      </c>
      <c r="X67" s="11">
        <v>0</v>
      </c>
    </row>
    <row r="68" spans="1:24" x14ac:dyDescent="0.2">
      <c r="A68" s="6" t="s">
        <v>114</v>
      </c>
      <c r="B68" s="11">
        <v>218196</v>
      </c>
      <c r="C68" s="11">
        <v>14998</v>
      </c>
      <c r="D68" s="11">
        <v>9744</v>
      </c>
      <c r="E68" s="11">
        <v>11857</v>
      </c>
      <c r="F68" s="11">
        <v>8293</v>
      </c>
      <c r="G68" s="11">
        <v>10704</v>
      </c>
      <c r="H68" s="11">
        <v>7075</v>
      </c>
      <c r="I68" s="11">
        <v>6629</v>
      </c>
      <c r="J68" s="11">
        <v>11333</v>
      </c>
      <c r="K68" s="11">
        <v>9145</v>
      </c>
      <c r="L68" s="11">
        <v>11495</v>
      </c>
      <c r="M68" s="11">
        <v>15906</v>
      </c>
      <c r="N68" s="11">
        <v>31645</v>
      </c>
      <c r="O68" s="11">
        <v>14289</v>
      </c>
      <c r="P68" s="11">
        <v>14567</v>
      </c>
      <c r="Q68" s="11">
        <v>8376</v>
      </c>
      <c r="R68" s="11">
        <v>10439</v>
      </c>
      <c r="S68" s="11">
        <v>71</v>
      </c>
      <c r="T68" s="11">
        <v>6323</v>
      </c>
      <c r="U68" s="11">
        <v>3649</v>
      </c>
      <c r="V68" s="11">
        <v>5521</v>
      </c>
      <c r="W68" s="11">
        <v>6135</v>
      </c>
      <c r="X68" s="11">
        <v>0</v>
      </c>
    </row>
    <row r="69" spans="1:24" x14ac:dyDescent="0.2">
      <c r="A69" s="6" t="s">
        <v>115</v>
      </c>
      <c r="B69" s="11">
        <v>14294</v>
      </c>
      <c r="C69" s="11">
        <v>1557</v>
      </c>
      <c r="D69" s="11">
        <v>939</v>
      </c>
      <c r="E69" s="11">
        <v>1322</v>
      </c>
      <c r="F69" s="11">
        <v>870</v>
      </c>
      <c r="G69" s="11">
        <v>729</v>
      </c>
      <c r="H69" s="11">
        <v>524</v>
      </c>
      <c r="I69" s="11">
        <v>289</v>
      </c>
      <c r="J69" s="11">
        <v>367</v>
      </c>
      <c r="K69" s="11">
        <v>474</v>
      </c>
      <c r="L69" s="11">
        <v>343</v>
      </c>
      <c r="M69" s="11">
        <v>851</v>
      </c>
      <c r="N69" s="11">
        <v>2724</v>
      </c>
      <c r="O69" s="11">
        <v>1317</v>
      </c>
      <c r="P69" s="11">
        <v>239</v>
      </c>
      <c r="Q69" s="11">
        <v>743</v>
      </c>
      <c r="R69" s="11">
        <v>1005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</row>
    <row r="70" spans="1:24" x14ac:dyDescent="0.2">
      <c r="A70" s="6" t="s">
        <v>116</v>
      </c>
      <c r="B70" s="11">
        <v>784</v>
      </c>
      <c r="C70" s="11">
        <v>80</v>
      </c>
      <c r="D70" s="11">
        <v>371</v>
      </c>
      <c r="E70" s="11">
        <v>0</v>
      </c>
      <c r="F70" s="11">
        <v>0</v>
      </c>
      <c r="G70" s="11">
        <v>57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277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</row>
    <row r="71" spans="1:24" x14ac:dyDescent="0.2">
      <c r="A71" s="6" t="s">
        <v>117</v>
      </c>
      <c r="B71" s="11">
        <v>13444</v>
      </c>
      <c r="C71" s="11">
        <v>456</v>
      </c>
      <c r="D71" s="11">
        <v>426</v>
      </c>
      <c r="E71" s="11">
        <v>608</v>
      </c>
      <c r="F71" s="11">
        <v>753</v>
      </c>
      <c r="G71" s="11">
        <v>514</v>
      </c>
      <c r="H71" s="11">
        <v>426</v>
      </c>
      <c r="I71" s="11">
        <v>282</v>
      </c>
      <c r="J71" s="11">
        <v>69</v>
      </c>
      <c r="K71" s="11">
        <v>337</v>
      </c>
      <c r="L71" s="11">
        <v>862</v>
      </c>
      <c r="M71" s="11">
        <v>1083</v>
      </c>
      <c r="N71" s="11">
        <v>3291</v>
      </c>
      <c r="O71" s="11">
        <v>1362</v>
      </c>
      <c r="P71" s="11">
        <v>734</v>
      </c>
      <c r="Q71" s="11">
        <v>870</v>
      </c>
      <c r="R71" s="11">
        <v>337</v>
      </c>
      <c r="S71" s="11">
        <v>0</v>
      </c>
      <c r="T71" s="11">
        <v>127</v>
      </c>
      <c r="U71" s="11">
        <v>225</v>
      </c>
      <c r="V71" s="11">
        <v>347</v>
      </c>
      <c r="W71" s="11">
        <v>336</v>
      </c>
      <c r="X71" s="11">
        <v>0</v>
      </c>
    </row>
    <row r="72" spans="1:24" x14ac:dyDescent="0.2">
      <c r="A72" s="6" t="s">
        <v>118</v>
      </c>
      <c r="B72" s="11">
        <v>191</v>
      </c>
      <c r="C72" s="11">
        <v>0</v>
      </c>
      <c r="D72" s="11">
        <v>0</v>
      </c>
      <c r="E72" s="11">
        <v>51</v>
      </c>
      <c r="F72" s="11">
        <v>0</v>
      </c>
      <c r="G72" s="11">
        <v>64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14</v>
      </c>
      <c r="O72" s="11">
        <v>0</v>
      </c>
      <c r="P72" s="11">
        <v>0</v>
      </c>
      <c r="Q72" s="11">
        <v>0</v>
      </c>
      <c r="R72" s="11">
        <v>0</v>
      </c>
      <c r="S72" s="11">
        <v>6</v>
      </c>
      <c r="T72" s="11">
        <v>0</v>
      </c>
      <c r="U72" s="11">
        <v>0</v>
      </c>
      <c r="V72" s="11">
        <v>0</v>
      </c>
      <c r="W72" s="11">
        <v>55</v>
      </c>
      <c r="X72" s="11">
        <v>0</v>
      </c>
    </row>
    <row r="73" spans="1:24" x14ac:dyDescent="0.2">
      <c r="A73" s="6" t="s">
        <v>119</v>
      </c>
      <c r="B73" s="11">
        <v>6179</v>
      </c>
      <c r="C73" s="11">
        <v>0</v>
      </c>
      <c r="D73" s="11">
        <v>541</v>
      </c>
      <c r="E73" s="11">
        <v>235</v>
      </c>
      <c r="F73" s="11">
        <v>248</v>
      </c>
      <c r="G73" s="11">
        <v>255</v>
      </c>
      <c r="H73" s="11">
        <v>0</v>
      </c>
      <c r="I73" s="11">
        <v>51</v>
      </c>
      <c r="J73" s="11">
        <v>143</v>
      </c>
      <c r="K73" s="11">
        <v>294</v>
      </c>
      <c r="L73" s="11">
        <v>615</v>
      </c>
      <c r="M73" s="11">
        <v>582</v>
      </c>
      <c r="N73" s="11">
        <v>315</v>
      </c>
      <c r="O73" s="11">
        <v>1113</v>
      </c>
      <c r="P73" s="11">
        <v>679</v>
      </c>
      <c r="Q73" s="11">
        <v>193</v>
      </c>
      <c r="R73" s="11">
        <v>0</v>
      </c>
      <c r="S73" s="11">
        <v>22</v>
      </c>
      <c r="T73" s="11">
        <v>0</v>
      </c>
      <c r="U73" s="11">
        <v>236</v>
      </c>
      <c r="V73" s="11">
        <v>381</v>
      </c>
      <c r="W73" s="11">
        <v>277</v>
      </c>
      <c r="X73" s="11">
        <v>0</v>
      </c>
    </row>
    <row r="74" spans="1:24" x14ac:dyDescent="0.2">
      <c r="A74" s="6" t="s">
        <v>120</v>
      </c>
      <c r="B74" s="11">
        <v>5168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-267</v>
      </c>
      <c r="K74" s="11">
        <v>0</v>
      </c>
      <c r="L74" s="11">
        <v>1315</v>
      </c>
      <c r="M74" s="11">
        <v>0</v>
      </c>
      <c r="N74" s="11">
        <v>0</v>
      </c>
      <c r="O74" s="11">
        <v>0</v>
      </c>
      <c r="P74" s="11">
        <v>0</v>
      </c>
      <c r="Q74" s="11">
        <v>1513</v>
      </c>
      <c r="R74" s="11">
        <v>897</v>
      </c>
      <c r="S74" s="11">
        <v>525</v>
      </c>
      <c r="T74" s="11">
        <v>0</v>
      </c>
      <c r="U74" s="11">
        <v>0</v>
      </c>
      <c r="V74" s="11">
        <v>0</v>
      </c>
      <c r="W74" s="11">
        <v>1185</v>
      </c>
      <c r="X74" s="11">
        <v>0</v>
      </c>
    </row>
    <row r="75" spans="1:24" x14ac:dyDescent="0.2">
      <c r="A75" s="6" t="s">
        <v>121</v>
      </c>
      <c r="B75" s="11">
        <v>488</v>
      </c>
      <c r="C75" s="11">
        <v>0</v>
      </c>
      <c r="D75" s="11">
        <v>0</v>
      </c>
      <c r="E75" s="11">
        <v>488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</row>
    <row r="76" spans="1:24" x14ac:dyDescent="0.2">
      <c r="A76" s="6" t="s">
        <v>122</v>
      </c>
      <c r="B76" s="11">
        <v>5302</v>
      </c>
      <c r="C76" s="11">
        <v>662</v>
      </c>
      <c r="D76" s="11">
        <v>551</v>
      </c>
      <c r="E76" s="11">
        <v>440</v>
      </c>
      <c r="F76" s="11">
        <v>0</v>
      </c>
      <c r="G76" s="11">
        <v>660</v>
      </c>
      <c r="H76" s="11">
        <v>646</v>
      </c>
      <c r="I76" s="11">
        <v>519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1825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</row>
    <row r="77" spans="1:24" x14ac:dyDescent="0.2">
      <c r="A77" s="6" t="s">
        <v>123</v>
      </c>
      <c r="B77" s="13">
        <v>597580</v>
      </c>
      <c r="C77" s="13">
        <v>34904</v>
      </c>
      <c r="D77" s="13">
        <v>29650</v>
      </c>
      <c r="E77" s="13">
        <v>29958</v>
      </c>
      <c r="F77" s="13">
        <v>26645</v>
      </c>
      <c r="G77" s="13">
        <v>28142</v>
      </c>
      <c r="H77" s="13">
        <v>23477</v>
      </c>
      <c r="I77" s="13">
        <v>21228</v>
      </c>
      <c r="J77" s="13">
        <v>29416</v>
      </c>
      <c r="K77" s="13">
        <v>24491</v>
      </c>
      <c r="L77" s="13">
        <v>34361</v>
      </c>
      <c r="M77" s="13">
        <v>40510</v>
      </c>
      <c r="N77" s="13">
        <v>72933</v>
      </c>
      <c r="O77" s="13">
        <v>39367</v>
      </c>
      <c r="P77" s="13">
        <v>36895</v>
      </c>
      <c r="Q77" s="13">
        <v>31818</v>
      </c>
      <c r="R77" s="13">
        <v>32732</v>
      </c>
      <c r="S77" s="13">
        <v>624</v>
      </c>
      <c r="T77" s="13">
        <v>18468</v>
      </c>
      <c r="U77" s="13">
        <v>10109</v>
      </c>
      <c r="V77" s="13">
        <v>17335</v>
      </c>
      <c r="W77" s="13">
        <v>14518</v>
      </c>
      <c r="X77" s="13">
        <v>0</v>
      </c>
    </row>
    <row r="78" spans="1:24" x14ac:dyDescent="0.2">
      <c r="A78" s="6" t="s">
        <v>42</v>
      </c>
      <c r="B78" s="15" t="s">
        <v>72</v>
      </c>
      <c r="C78" s="15" t="s">
        <v>72</v>
      </c>
      <c r="D78" s="15" t="s">
        <v>72</v>
      </c>
      <c r="E78" s="15" t="s">
        <v>72</v>
      </c>
      <c r="F78" s="15" t="s">
        <v>72</v>
      </c>
      <c r="G78" s="15" t="s">
        <v>72</v>
      </c>
      <c r="H78" s="15" t="s">
        <v>72</v>
      </c>
      <c r="I78" s="15" t="s">
        <v>72</v>
      </c>
      <c r="J78" s="15" t="s">
        <v>72</v>
      </c>
      <c r="K78" s="15" t="s">
        <v>72</v>
      </c>
      <c r="L78" s="15" t="s">
        <v>72</v>
      </c>
      <c r="M78" s="15" t="s">
        <v>72</v>
      </c>
      <c r="N78" s="15" t="s">
        <v>72</v>
      </c>
      <c r="O78" s="15" t="s">
        <v>72</v>
      </c>
      <c r="P78" s="15" t="s">
        <v>72</v>
      </c>
      <c r="Q78" s="15" t="s">
        <v>72</v>
      </c>
      <c r="R78" s="15" t="s">
        <v>72</v>
      </c>
      <c r="S78" s="15" t="s">
        <v>72</v>
      </c>
      <c r="T78" s="15" t="s">
        <v>72</v>
      </c>
      <c r="U78" s="15" t="s">
        <v>72</v>
      </c>
      <c r="V78" s="15" t="s">
        <v>72</v>
      </c>
      <c r="W78" s="15" t="s">
        <v>72</v>
      </c>
      <c r="X78" s="15" t="s">
        <v>72</v>
      </c>
    </row>
    <row r="79" spans="1:24" x14ac:dyDescent="0.2">
      <c r="A79" s="6" t="s">
        <v>124</v>
      </c>
      <c r="B79" s="11">
        <v>251208</v>
      </c>
      <c r="C79" s="11">
        <v>12907</v>
      </c>
      <c r="D79" s="11">
        <v>12380</v>
      </c>
      <c r="E79" s="11">
        <v>11963</v>
      </c>
      <c r="F79" s="11">
        <v>12186</v>
      </c>
      <c r="G79" s="11">
        <v>12232</v>
      </c>
      <c r="H79" s="11">
        <v>11193</v>
      </c>
      <c r="I79" s="11">
        <v>8187</v>
      </c>
      <c r="J79" s="11">
        <v>12445</v>
      </c>
      <c r="K79" s="11">
        <v>9243</v>
      </c>
      <c r="L79" s="11">
        <v>14523</v>
      </c>
      <c r="M79" s="11">
        <v>15557</v>
      </c>
      <c r="N79" s="11">
        <v>30526</v>
      </c>
      <c r="O79" s="11">
        <v>15746</v>
      </c>
      <c r="P79" s="11">
        <v>18575</v>
      </c>
      <c r="Q79" s="11">
        <v>17242</v>
      </c>
      <c r="R79" s="11">
        <v>16403</v>
      </c>
      <c r="S79" s="11">
        <v>5355</v>
      </c>
      <c r="T79" s="11">
        <v>4598</v>
      </c>
      <c r="U79" s="11">
        <v>3025</v>
      </c>
      <c r="V79" s="11">
        <v>5459</v>
      </c>
      <c r="W79" s="11">
        <v>1461</v>
      </c>
      <c r="X79" s="11">
        <v>0</v>
      </c>
    </row>
    <row r="80" spans="1:24" x14ac:dyDescent="0.2">
      <c r="A80" s="6" t="s">
        <v>125</v>
      </c>
      <c r="B80" s="11">
        <v>66096</v>
      </c>
      <c r="C80" s="11">
        <v>4245</v>
      </c>
      <c r="D80" s="11">
        <v>4634</v>
      </c>
      <c r="E80" s="11">
        <v>4320</v>
      </c>
      <c r="F80" s="11">
        <v>-14784</v>
      </c>
      <c r="G80" s="11">
        <v>4592</v>
      </c>
      <c r="H80" s="11">
        <v>4496</v>
      </c>
      <c r="I80" s="11">
        <v>3046</v>
      </c>
      <c r="J80" s="11">
        <v>4724</v>
      </c>
      <c r="K80" s="11">
        <v>3399</v>
      </c>
      <c r="L80" s="11">
        <v>4518</v>
      </c>
      <c r="M80" s="11">
        <v>6019</v>
      </c>
      <c r="N80" s="11">
        <v>9910</v>
      </c>
      <c r="O80" s="11">
        <v>5923</v>
      </c>
      <c r="P80" s="11">
        <v>6872</v>
      </c>
      <c r="Q80" s="11">
        <v>6030</v>
      </c>
      <c r="R80" s="11">
        <v>4222</v>
      </c>
      <c r="S80" s="11">
        <v>449</v>
      </c>
      <c r="T80" s="11">
        <v>404</v>
      </c>
      <c r="U80" s="11">
        <v>949</v>
      </c>
      <c r="V80" s="11">
        <v>1456</v>
      </c>
      <c r="W80" s="11">
        <v>671</v>
      </c>
      <c r="X80" s="11">
        <v>0</v>
      </c>
    </row>
    <row r="81" spans="1:24" x14ac:dyDescent="0.2">
      <c r="A81" s="6" t="s">
        <v>126</v>
      </c>
      <c r="B81" s="11">
        <v>5624</v>
      </c>
      <c r="C81" s="11">
        <v>210</v>
      </c>
      <c r="D81" s="11">
        <v>283</v>
      </c>
      <c r="E81" s="11">
        <v>310</v>
      </c>
      <c r="F81" s="11">
        <v>274</v>
      </c>
      <c r="G81" s="11">
        <v>326</v>
      </c>
      <c r="H81" s="11">
        <v>249</v>
      </c>
      <c r="I81" s="11">
        <v>165</v>
      </c>
      <c r="J81" s="11">
        <v>316</v>
      </c>
      <c r="K81" s="11">
        <v>253</v>
      </c>
      <c r="L81" s="11">
        <v>259</v>
      </c>
      <c r="M81" s="11">
        <v>431</v>
      </c>
      <c r="N81" s="11">
        <v>533</v>
      </c>
      <c r="O81" s="11">
        <v>233</v>
      </c>
      <c r="P81" s="11">
        <v>317</v>
      </c>
      <c r="Q81" s="11">
        <v>390</v>
      </c>
      <c r="R81" s="11">
        <v>337</v>
      </c>
      <c r="S81" s="11">
        <v>210</v>
      </c>
      <c r="T81" s="11">
        <v>172</v>
      </c>
      <c r="U81" s="11">
        <v>149</v>
      </c>
      <c r="V81" s="11">
        <v>116</v>
      </c>
      <c r="W81" s="11">
        <v>92</v>
      </c>
      <c r="X81" s="11">
        <v>0</v>
      </c>
    </row>
    <row r="82" spans="1:24" x14ac:dyDescent="0.2">
      <c r="A82" s="6" t="s">
        <v>127</v>
      </c>
      <c r="B82" s="11">
        <v>36019</v>
      </c>
      <c r="C82" s="11">
        <v>3571</v>
      </c>
      <c r="D82" s="11">
        <v>3058</v>
      </c>
      <c r="E82" s="11">
        <v>3356</v>
      </c>
      <c r="F82" s="11">
        <v>3080</v>
      </c>
      <c r="G82" s="11">
        <v>3015</v>
      </c>
      <c r="H82" s="11">
        <v>2881</v>
      </c>
      <c r="I82" s="11">
        <v>2493</v>
      </c>
      <c r="J82" s="11">
        <v>2416</v>
      </c>
      <c r="K82" s="11">
        <v>509</v>
      </c>
      <c r="L82" s="11">
        <v>904</v>
      </c>
      <c r="M82" s="11">
        <v>755</v>
      </c>
      <c r="N82" s="11">
        <v>1779</v>
      </c>
      <c r="O82" s="11">
        <v>1083</v>
      </c>
      <c r="P82" s="11">
        <v>1302</v>
      </c>
      <c r="Q82" s="11">
        <v>1830</v>
      </c>
      <c r="R82" s="11">
        <v>1063</v>
      </c>
      <c r="S82" s="11">
        <v>622</v>
      </c>
      <c r="T82" s="11">
        <v>686</v>
      </c>
      <c r="U82" s="11">
        <v>523</v>
      </c>
      <c r="V82" s="11">
        <v>843</v>
      </c>
      <c r="W82" s="11">
        <v>251</v>
      </c>
      <c r="X82" s="11">
        <v>0</v>
      </c>
    </row>
    <row r="83" spans="1:24" x14ac:dyDescent="0.2">
      <c r="A83" s="6" t="s">
        <v>128</v>
      </c>
      <c r="B83" s="11">
        <v>116285</v>
      </c>
      <c r="C83" s="11">
        <v>6229</v>
      </c>
      <c r="D83" s="11">
        <v>3163</v>
      </c>
      <c r="E83" s="11">
        <v>785</v>
      </c>
      <c r="F83" s="11">
        <v>1477</v>
      </c>
      <c r="G83" s="11">
        <v>2918</v>
      </c>
      <c r="H83" s="11">
        <v>1486</v>
      </c>
      <c r="I83" s="11">
        <v>3852</v>
      </c>
      <c r="J83" s="11">
        <v>11043</v>
      </c>
      <c r="K83" s="11">
        <v>2005</v>
      </c>
      <c r="L83" s="11">
        <v>23476</v>
      </c>
      <c r="M83" s="11">
        <v>4589</v>
      </c>
      <c r="N83" s="11">
        <v>8117</v>
      </c>
      <c r="O83" s="11">
        <v>12823</v>
      </c>
      <c r="P83" s="11">
        <v>5967</v>
      </c>
      <c r="Q83" s="11">
        <v>3595</v>
      </c>
      <c r="R83" s="11">
        <v>6567</v>
      </c>
      <c r="S83" s="11">
        <v>2808</v>
      </c>
      <c r="T83" s="11">
        <v>13843</v>
      </c>
      <c r="U83" s="11">
        <v>247</v>
      </c>
      <c r="V83" s="11">
        <v>748</v>
      </c>
      <c r="W83" s="11">
        <v>254</v>
      </c>
      <c r="X83" s="11">
        <v>292</v>
      </c>
    </row>
    <row r="84" spans="1:24" x14ac:dyDescent="0.2">
      <c r="A84" s="6" t="s">
        <v>129</v>
      </c>
      <c r="B84" s="11">
        <v>847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92</v>
      </c>
      <c r="K84" s="11">
        <v>41</v>
      </c>
      <c r="L84" s="11">
        <v>97</v>
      </c>
      <c r="M84" s="11">
        <v>83</v>
      </c>
      <c r="N84" s="11">
        <v>159</v>
      </c>
      <c r="O84" s="11">
        <v>229</v>
      </c>
      <c r="P84" s="11">
        <v>75</v>
      </c>
      <c r="Q84" s="11">
        <v>0</v>
      </c>
      <c r="R84" s="11">
        <v>0</v>
      </c>
      <c r="S84" s="11">
        <v>31</v>
      </c>
      <c r="T84" s="11">
        <v>0</v>
      </c>
      <c r="U84" s="11">
        <v>0</v>
      </c>
      <c r="V84" s="11">
        <v>38</v>
      </c>
      <c r="W84" s="11">
        <v>4</v>
      </c>
      <c r="X84" s="11">
        <v>0</v>
      </c>
    </row>
    <row r="85" spans="1:24" x14ac:dyDescent="0.2">
      <c r="A85" s="6" t="s">
        <v>130</v>
      </c>
      <c r="B85" s="11">
        <v>3772</v>
      </c>
      <c r="C85" s="11">
        <v>404</v>
      </c>
      <c r="D85" s="11">
        <v>0</v>
      </c>
      <c r="E85" s="11">
        <v>67</v>
      </c>
      <c r="F85" s="11">
        <v>201</v>
      </c>
      <c r="G85" s="11">
        <v>45</v>
      </c>
      <c r="H85" s="11">
        <v>0</v>
      </c>
      <c r="I85" s="11">
        <v>0</v>
      </c>
      <c r="J85" s="11">
        <v>40</v>
      </c>
      <c r="K85" s="11">
        <v>305</v>
      </c>
      <c r="L85" s="11">
        <v>359</v>
      </c>
      <c r="M85" s="11">
        <v>626</v>
      </c>
      <c r="N85" s="11">
        <v>34</v>
      </c>
      <c r="O85" s="11">
        <v>85</v>
      </c>
      <c r="P85" s="11">
        <v>1270</v>
      </c>
      <c r="Q85" s="11">
        <v>246</v>
      </c>
      <c r="R85" s="11">
        <v>90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</row>
    <row r="86" spans="1:24" x14ac:dyDescent="0.2">
      <c r="A86" s="6" t="s">
        <v>131</v>
      </c>
      <c r="B86" s="11">
        <v>205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74</v>
      </c>
      <c r="Q86" s="11">
        <v>15</v>
      </c>
      <c r="R86" s="11">
        <v>116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</row>
    <row r="87" spans="1:24" x14ac:dyDescent="0.2">
      <c r="A87" s="6" t="s">
        <v>132</v>
      </c>
      <c r="B87" s="11">
        <v>100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100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</row>
    <row r="88" spans="1:24" x14ac:dyDescent="0.2">
      <c r="A88" s="6" t="s">
        <v>133</v>
      </c>
      <c r="B88" s="11">
        <v>1753</v>
      </c>
      <c r="C88" s="11">
        <v>100</v>
      </c>
      <c r="D88" s="11">
        <v>284</v>
      </c>
      <c r="E88" s="11">
        <v>100</v>
      </c>
      <c r="F88" s="11">
        <v>100</v>
      </c>
      <c r="G88" s="11">
        <v>100</v>
      </c>
      <c r="H88" s="11">
        <v>100</v>
      </c>
      <c r="I88" s="11">
        <v>100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483</v>
      </c>
      <c r="R88" s="11">
        <v>100</v>
      </c>
      <c r="S88" s="11">
        <v>0</v>
      </c>
      <c r="T88" s="11">
        <v>0</v>
      </c>
      <c r="U88" s="11">
        <v>252</v>
      </c>
      <c r="V88" s="11">
        <v>33</v>
      </c>
      <c r="W88" s="11">
        <v>0</v>
      </c>
      <c r="X88" s="11">
        <v>0</v>
      </c>
    </row>
    <row r="89" spans="1:24" x14ac:dyDescent="0.2">
      <c r="A89" s="6" t="s">
        <v>134</v>
      </c>
      <c r="B89" s="11">
        <v>3162</v>
      </c>
      <c r="C89" s="11">
        <v>0</v>
      </c>
      <c r="D89" s="11">
        <v>0</v>
      </c>
      <c r="E89" s="11">
        <v>79</v>
      </c>
      <c r="F89" s="11">
        <v>0</v>
      </c>
      <c r="G89" s="11">
        <v>122</v>
      </c>
      <c r="H89" s="11">
        <v>0</v>
      </c>
      <c r="I89" s="11">
        <v>0</v>
      </c>
      <c r="J89" s="11">
        <v>150</v>
      </c>
      <c r="K89" s="11">
        <v>52</v>
      </c>
      <c r="L89" s="11">
        <v>720</v>
      </c>
      <c r="M89" s="11">
        <v>0</v>
      </c>
      <c r="N89" s="11">
        <v>0</v>
      </c>
      <c r="O89" s="11">
        <v>200</v>
      </c>
      <c r="P89" s="11">
        <v>764</v>
      </c>
      <c r="Q89" s="11">
        <v>175</v>
      </c>
      <c r="R89" s="11">
        <v>251</v>
      </c>
      <c r="S89" s="11">
        <v>0</v>
      </c>
      <c r="T89" s="11">
        <v>286</v>
      </c>
      <c r="U89" s="11">
        <v>0</v>
      </c>
      <c r="V89" s="11">
        <v>363</v>
      </c>
      <c r="W89" s="11">
        <v>0</v>
      </c>
      <c r="X89" s="11">
        <v>0</v>
      </c>
    </row>
    <row r="90" spans="1:24" x14ac:dyDescent="0.2">
      <c r="A90" s="6" t="s">
        <v>135</v>
      </c>
      <c r="B90" s="11">
        <v>83</v>
      </c>
      <c r="C90" s="11">
        <v>83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</row>
    <row r="91" spans="1:24" x14ac:dyDescent="0.2">
      <c r="A91" s="6" t="s">
        <v>136</v>
      </c>
      <c r="B91" s="13">
        <v>485154</v>
      </c>
      <c r="C91" s="13">
        <v>27749</v>
      </c>
      <c r="D91" s="13">
        <v>23802</v>
      </c>
      <c r="E91" s="13">
        <v>20980</v>
      </c>
      <c r="F91" s="13">
        <v>2534</v>
      </c>
      <c r="G91" s="13">
        <v>23350</v>
      </c>
      <c r="H91" s="13">
        <v>20405</v>
      </c>
      <c r="I91" s="13">
        <v>17843</v>
      </c>
      <c r="J91" s="13">
        <v>31226</v>
      </c>
      <c r="K91" s="13">
        <v>15807</v>
      </c>
      <c r="L91" s="13">
        <v>44856</v>
      </c>
      <c r="M91" s="13">
        <v>28060</v>
      </c>
      <c r="N91" s="13">
        <v>51058</v>
      </c>
      <c r="O91" s="13">
        <v>36322</v>
      </c>
      <c r="P91" s="13">
        <v>35216</v>
      </c>
      <c r="Q91" s="13">
        <v>30006</v>
      </c>
      <c r="R91" s="13">
        <v>29249</v>
      </c>
      <c r="S91" s="13">
        <v>9475</v>
      </c>
      <c r="T91" s="13">
        <v>19989</v>
      </c>
      <c r="U91" s="13">
        <v>5145</v>
      </c>
      <c r="V91" s="13">
        <v>9056</v>
      </c>
      <c r="W91" s="13">
        <v>2733</v>
      </c>
      <c r="X91" s="13">
        <v>292</v>
      </c>
    </row>
    <row r="92" spans="1:24" x14ac:dyDescent="0.2">
      <c r="A92" s="6" t="s">
        <v>43</v>
      </c>
      <c r="B92" s="15" t="s">
        <v>72</v>
      </c>
      <c r="C92" s="15" t="s">
        <v>72</v>
      </c>
      <c r="D92" s="15" t="s">
        <v>72</v>
      </c>
      <c r="E92" s="15" t="s">
        <v>72</v>
      </c>
      <c r="F92" s="15" t="s">
        <v>72</v>
      </c>
      <c r="G92" s="15" t="s">
        <v>72</v>
      </c>
      <c r="H92" s="15" t="s">
        <v>72</v>
      </c>
      <c r="I92" s="15" t="s">
        <v>72</v>
      </c>
      <c r="J92" s="15" t="s">
        <v>72</v>
      </c>
      <c r="K92" s="15" t="s">
        <v>72</v>
      </c>
      <c r="L92" s="15" t="s">
        <v>72</v>
      </c>
      <c r="M92" s="15" t="s">
        <v>72</v>
      </c>
      <c r="N92" s="15" t="s">
        <v>72</v>
      </c>
      <c r="O92" s="15" t="s">
        <v>72</v>
      </c>
      <c r="P92" s="15" t="s">
        <v>72</v>
      </c>
      <c r="Q92" s="15" t="s">
        <v>72</v>
      </c>
      <c r="R92" s="15" t="s">
        <v>72</v>
      </c>
      <c r="S92" s="15" t="s">
        <v>72</v>
      </c>
      <c r="T92" s="15" t="s">
        <v>72</v>
      </c>
      <c r="U92" s="15" t="s">
        <v>72</v>
      </c>
      <c r="V92" s="15" t="s">
        <v>72</v>
      </c>
      <c r="W92" s="15" t="s">
        <v>72</v>
      </c>
      <c r="X92" s="15" t="s">
        <v>72</v>
      </c>
    </row>
    <row r="93" spans="1:24" x14ac:dyDescent="0.2">
      <c r="A93" s="6" t="s">
        <v>73</v>
      </c>
      <c r="B93" s="11">
        <v>44031</v>
      </c>
      <c r="C93" s="11">
        <v>0</v>
      </c>
      <c r="D93" s="11">
        <v>0</v>
      </c>
      <c r="E93" s="11">
        <v>3459</v>
      </c>
      <c r="F93" s="11">
        <v>0</v>
      </c>
      <c r="G93" s="11">
        <v>3524</v>
      </c>
      <c r="H93" s="11">
        <v>1315</v>
      </c>
      <c r="I93" s="11">
        <v>0</v>
      </c>
      <c r="J93" s="11">
        <v>5303</v>
      </c>
      <c r="K93" s="11">
        <v>2164</v>
      </c>
      <c r="L93" s="11">
        <v>4216</v>
      </c>
      <c r="M93" s="11">
        <v>4473</v>
      </c>
      <c r="N93" s="11">
        <v>5476</v>
      </c>
      <c r="O93" s="11">
        <v>7520</v>
      </c>
      <c r="P93" s="11">
        <v>1711</v>
      </c>
      <c r="Q93" s="11">
        <v>4868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</row>
    <row r="94" spans="1:24" x14ac:dyDescent="0.2">
      <c r="A94" s="6" t="s">
        <v>74</v>
      </c>
      <c r="B94" s="11">
        <v>610</v>
      </c>
      <c r="C94" s="11">
        <v>0</v>
      </c>
      <c r="D94" s="11">
        <v>0</v>
      </c>
      <c r="E94" s="11">
        <v>0</v>
      </c>
      <c r="F94" s="11">
        <v>0</v>
      </c>
      <c r="G94" s="11">
        <v>11</v>
      </c>
      <c r="H94" s="11">
        <v>0</v>
      </c>
      <c r="I94" s="11">
        <v>0</v>
      </c>
      <c r="J94" s="11">
        <v>75</v>
      </c>
      <c r="K94" s="11">
        <v>0</v>
      </c>
      <c r="L94" s="11">
        <v>164</v>
      </c>
      <c r="M94" s="11">
        <v>47</v>
      </c>
      <c r="N94" s="11">
        <v>0</v>
      </c>
      <c r="O94" s="11">
        <v>314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</row>
    <row r="95" spans="1:24" x14ac:dyDescent="0.2">
      <c r="A95" s="6" t="s">
        <v>76</v>
      </c>
      <c r="B95" s="11">
        <v>50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50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</row>
    <row r="96" spans="1:24" x14ac:dyDescent="0.2">
      <c r="A96" s="6" t="s">
        <v>77</v>
      </c>
      <c r="B96" s="11">
        <v>967</v>
      </c>
      <c r="C96" s="11">
        <v>0</v>
      </c>
      <c r="D96" s="11">
        <v>0</v>
      </c>
      <c r="E96" s="11">
        <v>79</v>
      </c>
      <c r="F96" s="11">
        <v>0</v>
      </c>
      <c r="G96" s="11">
        <v>-106</v>
      </c>
      <c r="H96" s="11">
        <v>48</v>
      </c>
      <c r="I96" s="11">
        <v>0</v>
      </c>
      <c r="J96" s="11">
        <v>256</v>
      </c>
      <c r="K96" s="11">
        <v>48</v>
      </c>
      <c r="L96" s="11">
        <v>194</v>
      </c>
      <c r="M96" s="11">
        <v>358</v>
      </c>
      <c r="N96" s="11">
        <v>-406</v>
      </c>
      <c r="O96" s="11">
        <v>255</v>
      </c>
      <c r="P96" s="11">
        <v>-2</v>
      </c>
      <c r="Q96" s="11">
        <v>242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</row>
    <row r="97" spans="1:24" x14ac:dyDescent="0.2">
      <c r="A97" s="6" t="s">
        <v>137</v>
      </c>
      <c r="B97" s="11">
        <v>5377</v>
      </c>
      <c r="C97" s="11">
        <v>255</v>
      </c>
      <c r="D97" s="11">
        <v>130</v>
      </c>
      <c r="E97" s="11">
        <v>257</v>
      </c>
      <c r="F97" s="11">
        <v>257</v>
      </c>
      <c r="G97" s="11">
        <v>151</v>
      </c>
      <c r="H97" s="11">
        <v>125</v>
      </c>
      <c r="I97" s="11">
        <v>0</v>
      </c>
      <c r="J97" s="11">
        <v>376</v>
      </c>
      <c r="K97" s="11">
        <v>396</v>
      </c>
      <c r="L97" s="11">
        <v>493</v>
      </c>
      <c r="M97" s="11">
        <v>505</v>
      </c>
      <c r="N97" s="11">
        <v>385</v>
      </c>
      <c r="O97" s="11">
        <v>633</v>
      </c>
      <c r="P97" s="11">
        <v>523</v>
      </c>
      <c r="Q97" s="11">
        <v>284</v>
      </c>
      <c r="R97" s="11">
        <v>347</v>
      </c>
      <c r="S97" s="11">
        <v>64</v>
      </c>
      <c r="T97" s="11">
        <v>132</v>
      </c>
      <c r="U97" s="11">
        <v>0</v>
      </c>
      <c r="V97" s="11">
        <v>0</v>
      </c>
      <c r="W97" s="11">
        <v>64</v>
      </c>
      <c r="X97" s="11">
        <v>0</v>
      </c>
    </row>
    <row r="98" spans="1:24" x14ac:dyDescent="0.2">
      <c r="A98" s="6" t="s">
        <v>138</v>
      </c>
      <c r="B98" s="11">
        <v>1728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34</v>
      </c>
      <c r="J98" s="11">
        <v>163</v>
      </c>
      <c r="K98" s="11">
        <v>220</v>
      </c>
      <c r="L98" s="11">
        <v>565</v>
      </c>
      <c r="M98" s="11">
        <v>0</v>
      </c>
      <c r="N98" s="11">
        <v>0</v>
      </c>
      <c r="O98" s="11">
        <v>0</v>
      </c>
      <c r="P98" s="11">
        <v>264</v>
      </c>
      <c r="Q98" s="11">
        <v>482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</row>
    <row r="99" spans="1:24" x14ac:dyDescent="0.2">
      <c r="A99" s="6" t="s">
        <v>139</v>
      </c>
      <c r="B99" s="13">
        <v>52763</v>
      </c>
      <c r="C99" s="13">
        <v>255</v>
      </c>
      <c r="D99" s="13">
        <v>130</v>
      </c>
      <c r="E99" s="13">
        <v>3795</v>
      </c>
      <c r="F99" s="13">
        <v>257</v>
      </c>
      <c r="G99" s="13">
        <v>3580</v>
      </c>
      <c r="H99" s="13">
        <v>1488</v>
      </c>
      <c r="I99" s="13">
        <v>34</v>
      </c>
      <c r="J99" s="13">
        <v>6173</v>
      </c>
      <c r="K99" s="13">
        <v>2828</v>
      </c>
      <c r="L99" s="13">
        <v>5632</v>
      </c>
      <c r="M99" s="13">
        <v>5383</v>
      </c>
      <c r="N99" s="13">
        <v>5455</v>
      </c>
      <c r="O99" s="13">
        <v>8722</v>
      </c>
      <c r="P99" s="13">
        <v>2546</v>
      </c>
      <c r="Q99" s="13">
        <v>5876</v>
      </c>
      <c r="R99" s="13">
        <v>347</v>
      </c>
      <c r="S99" s="13">
        <v>64</v>
      </c>
      <c r="T99" s="13">
        <v>132</v>
      </c>
      <c r="U99" s="13">
        <v>0</v>
      </c>
      <c r="V99" s="13">
        <v>0</v>
      </c>
      <c r="W99" s="13">
        <v>64</v>
      </c>
      <c r="X99" s="13">
        <v>0</v>
      </c>
    </row>
    <row r="100" spans="1:24" x14ac:dyDescent="0.2">
      <c r="A100" s="6" t="s">
        <v>44</v>
      </c>
      <c r="B100" s="14">
        <v>4913561</v>
      </c>
      <c r="C100" s="14">
        <v>281188</v>
      </c>
      <c r="D100" s="14">
        <v>224257</v>
      </c>
      <c r="E100" s="14">
        <v>218202</v>
      </c>
      <c r="F100" s="14">
        <v>216305</v>
      </c>
      <c r="G100" s="14">
        <v>230343</v>
      </c>
      <c r="H100" s="14">
        <v>191945</v>
      </c>
      <c r="I100" s="14">
        <v>146892</v>
      </c>
      <c r="J100" s="14">
        <v>238954</v>
      </c>
      <c r="K100" s="14">
        <v>219857</v>
      </c>
      <c r="L100" s="14">
        <v>307241</v>
      </c>
      <c r="M100" s="14">
        <v>297420</v>
      </c>
      <c r="N100" s="14">
        <v>591420</v>
      </c>
      <c r="O100" s="14">
        <v>363898</v>
      </c>
      <c r="P100" s="14">
        <v>443442</v>
      </c>
      <c r="Q100" s="14">
        <v>297396</v>
      </c>
      <c r="R100" s="14">
        <v>282179</v>
      </c>
      <c r="S100" s="14">
        <v>79643</v>
      </c>
      <c r="T100" s="14">
        <v>96695</v>
      </c>
      <c r="U100" s="14">
        <v>61546</v>
      </c>
      <c r="V100" s="14">
        <v>85345</v>
      </c>
      <c r="W100" s="14">
        <v>38656</v>
      </c>
      <c r="X100" s="14">
        <v>736</v>
      </c>
    </row>
    <row r="101" spans="1:24" x14ac:dyDescent="0.2">
      <c r="A101" s="4" t="s">
        <v>6</v>
      </c>
    </row>
    <row r="102" spans="1:24" x14ac:dyDescent="0.2">
      <c r="A102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3"/>
  <sheetViews>
    <sheetView workbookViewId="0">
      <selection activeCell="E29" sqref="E29"/>
    </sheetView>
  </sheetViews>
  <sheetFormatPr defaultColWidth="9.140625" defaultRowHeight="12.75" x14ac:dyDescent="0.2"/>
  <cols>
    <col min="1" max="1" width="47.710937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140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46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141</v>
      </c>
      <c r="B12" s="6" t="s">
        <v>72</v>
      </c>
      <c r="C12" s="6" t="s">
        <v>72</v>
      </c>
      <c r="D12" s="6" t="s">
        <v>72</v>
      </c>
      <c r="E12" s="6" t="s">
        <v>72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</row>
    <row r="13" spans="1:24" x14ac:dyDescent="0.2">
      <c r="A13" s="6" t="s">
        <v>142</v>
      </c>
      <c r="B13" s="11">
        <v>4515</v>
      </c>
      <c r="C13" s="11">
        <v>24</v>
      </c>
      <c r="D13" s="11">
        <v>51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306</v>
      </c>
      <c r="M13" s="11">
        <v>409</v>
      </c>
      <c r="N13" s="11">
        <v>212</v>
      </c>
      <c r="O13" s="11">
        <v>24</v>
      </c>
      <c r="P13" s="11">
        <v>489</v>
      </c>
      <c r="Q13" s="11">
        <v>686</v>
      </c>
      <c r="R13" s="11">
        <v>840</v>
      </c>
      <c r="S13" s="11">
        <v>214</v>
      </c>
      <c r="T13" s="11">
        <v>0</v>
      </c>
      <c r="U13" s="11">
        <v>379</v>
      </c>
      <c r="V13" s="11">
        <v>512</v>
      </c>
      <c r="W13" s="11">
        <v>368</v>
      </c>
      <c r="X13" s="11">
        <v>0</v>
      </c>
    </row>
    <row r="14" spans="1:24" x14ac:dyDescent="0.2">
      <c r="A14" s="6" t="s">
        <v>143</v>
      </c>
      <c r="B14" s="11">
        <v>77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31</v>
      </c>
      <c r="V14" s="11">
        <v>46</v>
      </c>
      <c r="W14" s="11">
        <v>0</v>
      </c>
      <c r="X14" s="11">
        <v>0</v>
      </c>
    </row>
    <row r="15" spans="1:24" x14ac:dyDescent="0.2">
      <c r="A15" s="6" t="s">
        <v>144</v>
      </c>
      <c r="B15" s="13">
        <v>4592</v>
      </c>
      <c r="C15" s="13">
        <v>24</v>
      </c>
      <c r="D15" s="13">
        <v>51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306</v>
      </c>
      <c r="M15" s="13">
        <v>409</v>
      </c>
      <c r="N15" s="13">
        <v>212</v>
      </c>
      <c r="O15" s="13">
        <v>24</v>
      </c>
      <c r="P15" s="13">
        <v>489</v>
      </c>
      <c r="Q15" s="13">
        <v>686</v>
      </c>
      <c r="R15" s="13">
        <v>840</v>
      </c>
      <c r="S15" s="13">
        <v>214</v>
      </c>
      <c r="T15" s="13">
        <v>0</v>
      </c>
      <c r="U15" s="13">
        <v>410</v>
      </c>
      <c r="V15" s="13">
        <v>558</v>
      </c>
      <c r="W15" s="13">
        <v>368</v>
      </c>
      <c r="X15" s="13">
        <v>0</v>
      </c>
    </row>
    <row r="16" spans="1:24" x14ac:dyDescent="0.2">
      <c r="A16" s="6" t="s">
        <v>145</v>
      </c>
      <c r="B16" s="15" t="s">
        <v>72</v>
      </c>
      <c r="C16" s="15" t="s">
        <v>72</v>
      </c>
      <c r="D16" s="15" t="s">
        <v>72</v>
      </c>
      <c r="E16" s="15" t="s">
        <v>72</v>
      </c>
      <c r="F16" s="15" t="s">
        <v>72</v>
      </c>
      <c r="G16" s="15" t="s">
        <v>72</v>
      </c>
      <c r="H16" s="15" t="s">
        <v>72</v>
      </c>
      <c r="I16" s="15" t="s">
        <v>72</v>
      </c>
      <c r="J16" s="15" t="s">
        <v>72</v>
      </c>
      <c r="K16" s="15" t="s">
        <v>72</v>
      </c>
      <c r="L16" s="15" t="s">
        <v>72</v>
      </c>
      <c r="M16" s="15" t="s">
        <v>72</v>
      </c>
      <c r="N16" s="15" t="s">
        <v>72</v>
      </c>
      <c r="O16" s="15" t="s">
        <v>72</v>
      </c>
      <c r="P16" s="15" t="s">
        <v>72</v>
      </c>
      <c r="Q16" s="15" t="s">
        <v>72</v>
      </c>
      <c r="R16" s="15" t="s">
        <v>72</v>
      </c>
      <c r="S16" s="15" t="s">
        <v>72</v>
      </c>
      <c r="T16" s="15" t="s">
        <v>72</v>
      </c>
      <c r="U16" s="15" t="s">
        <v>72</v>
      </c>
      <c r="V16" s="15" t="s">
        <v>72</v>
      </c>
      <c r="W16" s="15" t="s">
        <v>72</v>
      </c>
      <c r="X16" s="15" t="s">
        <v>72</v>
      </c>
    </row>
    <row r="17" spans="1:24" x14ac:dyDescent="0.2">
      <c r="A17" s="6" t="s">
        <v>73</v>
      </c>
      <c r="B17" s="11">
        <v>204462</v>
      </c>
      <c r="C17" s="11">
        <v>14450</v>
      </c>
      <c r="D17" s="11">
        <v>8317</v>
      </c>
      <c r="E17" s="11">
        <v>8532</v>
      </c>
      <c r="F17" s="11">
        <v>5739</v>
      </c>
      <c r="G17" s="11">
        <v>14057</v>
      </c>
      <c r="H17" s="11">
        <v>6998</v>
      </c>
      <c r="I17" s="11">
        <v>10118</v>
      </c>
      <c r="J17" s="11">
        <v>5499</v>
      </c>
      <c r="K17" s="11">
        <v>3488</v>
      </c>
      <c r="L17" s="11">
        <v>9121</v>
      </c>
      <c r="M17" s="11">
        <v>9810</v>
      </c>
      <c r="N17" s="11">
        <v>17590</v>
      </c>
      <c r="O17" s="11">
        <v>6700</v>
      </c>
      <c r="P17" s="11">
        <v>21716</v>
      </c>
      <c r="Q17" s="11">
        <v>22101</v>
      </c>
      <c r="R17" s="11">
        <v>11536</v>
      </c>
      <c r="S17" s="11">
        <v>8320</v>
      </c>
      <c r="T17" s="11">
        <v>3931</v>
      </c>
      <c r="U17" s="11">
        <v>3864</v>
      </c>
      <c r="V17" s="11">
        <v>12574</v>
      </c>
      <c r="W17" s="11">
        <v>0</v>
      </c>
      <c r="X17" s="11">
        <v>0</v>
      </c>
    </row>
    <row r="18" spans="1:24" x14ac:dyDescent="0.2">
      <c r="A18" s="6" t="s">
        <v>74</v>
      </c>
      <c r="B18" s="11">
        <v>2897</v>
      </c>
      <c r="C18" s="11">
        <v>996</v>
      </c>
      <c r="D18" s="11">
        <v>19</v>
      </c>
      <c r="E18" s="11">
        <v>0</v>
      </c>
      <c r="F18" s="11">
        <v>7</v>
      </c>
      <c r="G18" s="11">
        <v>0</v>
      </c>
      <c r="H18" s="11">
        <v>24</v>
      </c>
      <c r="I18" s="11">
        <v>111</v>
      </c>
      <c r="J18" s="11">
        <v>597</v>
      </c>
      <c r="K18" s="11">
        <v>24</v>
      </c>
      <c r="L18" s="11">
        <v>0</v>
      </c>
      <c r="M18" s="11">
        <v>0</v>
      </c>
      <c r="N18" s="11">
        <v>861</v>
      </c>
      <c r="O18" s="11">
        <v>0</v>
      </c>
      <c r="P18" s="11">
        <v>0</v>
      </c>
      <c r="Q18" s="11">
        <v>37</v>
      </c>
      <c r="R18" s="11">
        <v>0</v>
      </c>
      <c r="S18" s="11">
        <v>221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</row>
    <row r="19" spans="1:24" x14ac:dyDescent="0.2">
      <c r="A19" s="6" t="s">
        <v>76</v>
      </c>
      <c r="B19" s="11">
        <v>450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450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</row>
    <row r="20" spans="1:24" x14ac:dyDescent="0.2">
      <c r="A20" s="6" t="s">
        <v>77</v>
      </c>
      <c r="B20" s="11">
        <v>9271</v>
      </c>
      <c r="C20" s="11">
        <v>659</v>
      </c>
      <c r="D20" s="11">
        <v>387</v>
      </c>
      <c r="E20" s="11">
        <v>345</v>
      </c>
      <c r="F20" s="11">
        <v>338</v>
      </c>
      <c r="G20" s="11">
        <v>444</v>
      </c>
      <c r="H20" s="11">
        <v>195</v>
      </c>
      <c r="I20" s="11">
        <v>731</v>
      </c>
      <c r="J20" s="11">
        <v>163</v>
      </c>
      <c r="K20" s="11">
        <v>748</v>
      </c>
      <c r="L20" s="11">
        <v>407</v>
      </c>
      <c r="M20" s="11">
        <v>701</v>
      </c>
      <c r="N20" s="11">
        <v>437</v>
      </c>
      <c r="O20" s="11">
        <v>233</v>
      </c>
      <c r="P20" s="11">
        <v>430</v>
      </c>
      <c r="Q20" s="11">
        <v>260</v>
      </c>
      <c r="R20" s="11">
        <v>1450</v>
      </c>
      <c r="S20" s="11">
        <v>376</v>
      </c>
      <c r="T20" s="11">
        <v>630</v>
      </c>
      <c r="U20" s="11">
        <v>-429</v>
      </c>
      <c r="V20" s="11">
        <v>767</v>
      </c>
      <c r="W20" s="11">
        <v>0</v>
      </c>
      <c r="X20" s="11">
        <v>0</v>
      </c>
    </row>
    <row r="21" spans="1:24" x14ac:dyDescent="0.2">
      <c r="A21" s="6" t="s">
        <v>146</v>
      </c>
      <c r="B21" s="11">
        <v>7000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3500</v>
      </c>
      <c r="R21" s="11">
        <v>3500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</row>
    <row r="22" spans="1:24" x14ac:dyDescent="0.2">
      <c r="A22" s="6" t="s">
        <v>147</v>
      </c>
      <c r="B22" s="11">
        <v>2056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35</v>
      </c>
      <c r="I22" s="11">
        <v>1069</v>
      </c>
      <c r="J22" s="11">
        <v>182</v>
      </c>
      <c r="K22" s="11">
        <v>0</v>
      </c>
      <c r="L22" s="11">
        <v>225</v>
      </c>
      <c r="M22" s="11">
        <v>0</v>
      </c>
      <c r="N22" s="11">
        <v>152</v>
      </c>
      <c r="O22" s="11">
        <v>0</v>
      </c>
      <c r="P22" s="11">
        <v>0</v>
      </c>
      <c r="Q22" s="11">
        <v>393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</row>
    <row r="23" spans="1:24" x14ac:dyDescent="0.2">
      <c r="A23" s="6" t="s">
        <v>148</v>
      </c>
      <c r="B23" s="11">
        <v>13638</v>
      </c>
      <c r="C23" s="11">
        <v>373</v>
      </c>
      <c r="D23" s="11">
        <v>361</v>
      </c>
      <c r="E23" s="11">
        <v>558</v>
      </c>
      <c r="F23" s="11">
        <v>1208</v>
      </c>
      <c r="G23" s="11">
        <v>602</v>
      </c>
      <c r="H23" s="11">
        <v>364</v>
      </c>
      <c r="I23" s="11">
        <v>1037</v>
      </c>
      <c r="J23" s="11">
        <v>458</v>
      </c>
      <c r="K23" s="11">
        <v>1170</v>
      </c>
      <c r="L23" s="11">
        <v>601</v>
      </c>
      <c r="M23" s="11">
        <v>697</v>
      </c>
      <c r="N23" s="11">
        <v>1845</v>
      </c>
      <c r="O23" s="11">
        <v>601</v>
      </c>
      <c r="P23" s="11">
        <v>826</v>
      </c>
      <c r="Q23" s="11">
        <v>902</v>
      </c>
      <c r="R23" s="11">
        <v>1433</v>
      </c>
      <c r="S23" s="11">
        <v>110</v>
      </c>
      <c r="T23" s="11">
        <v>120</v>
      </c>
      <c r="U23" s="11">
        <v>109</v>
      </c>
      <c r="V23" s="11">
        <v>123</v>
      </c>
      <c r="W23" s="11">
        <v>110</v>
      </c>
      <c r="X23" s="11">
        <v>32</v>
      </c>
    </row>
    <row r="24" spans="1:24" x14ac:dyDescent="0.2">
      <c r="A24" s="6" t="s">
        <v>149</v>
      </c>
      <c r="B24" s="11">
        <v>3587</v>
      </c>
      <c r="C24" s="11">
        <v>421</v>
      </c>
      <c r="D24" s="11">
        <v>66</v>
      </c>
      <c r="E24" s="11">
        <v>78</v>
      </c>
      <c r="F24" s="11">
        <v>84</v>
      </c>
      <c r="G24" s="11">
        <v>136</v>
      </c>
      <c r="H24" s="11">
        <v>126</v>
      </c>
      <c r="I24" s="11">
        <v>288</v>
      </c>
      <c r="J24" s="11">
        <v>49</v>
      </c>
      <c r="K24" s="11">
        <v>34</v>
      </c>
      <c r="L24" s="11">
        <v>0</v>
      </c>
      <c r="M24" s="11">
        <v>174</v>
      </c>
      <c r="N24" s="11">
        <v>64</v>
      </c>
      <c r="O24" s="11">
        <v>34</v>
      </c>
      <c r="P24" s="11">
        <v>49</v>
      </c>
      <c r="Q24" s="11">
        <v>1011</v>
      </c>
      <c r="R24" s="11">
        <v>687</v>
      </c>
      <c r="S24" s="11">
        <v>40</v>
      </c>
      <c r="T24" s="11">
        <v>40</v>
      </c>
      <c r="U24" s="11">
        <v>60</v>
      </c>
      <c r="V24" s="11">
        <v>49</v>
      </c>
      <c r="W24" s="11">
        <v>49</v>
      </c>
      <c r="X24" s="11">
        <v>49</v>
      </c>
    </row>
    <row r="25" spans="1:24" x14ac:dyDescent="0.2">
      <c r="A25" s="6" t="s">
        <v>150</v>
      </c>
      <c r="B25" s="11">
        <v>116040</v>
      </c>
      <c r="C25" s="11">
        <v>4067</v>
      </c>
      <c r="D25" s="11">
        <v>4062</v>
      </c>
      <c r="E25" s="11">
        <v>4090</v>
      </c>
      <c r="F25" s="11">
        <v>6672</v>
      </c>
      <c r="G25" s="11">
        <v>1877</v>
      </c>
      <c r="H25" s="11">
        <v>3512</v>
      </c>
      <c r="I25" s="11">
        <v>3579</v>
      </c>
      <c r="J25" s="11">
        <v>7220</v>
      </c>
      <c r="K25" s="11">
        <v>6385</v>
      </c>
      <c r="L25" s="11">
        <v>8051</v>
      </c>
      <c r="M25" s="11">
        <v>6283</v>
      </c>
      <c r="N25" s="11">
        <v>9860</v>
      </c>
      <c r="O25" s="11">
        <v>9077</v>
      </c>
      <c r="P25" s="11">
        <v>12170</v>
      </c>
      <c r="Q25" s="11">
        <v>11718</v>
      </c>
      <c r="R25" s="11">
        <v>9655</v>
      </c>
      <c r="S25" s="11">
        <v>1538</v>
      </c>
      <c r="T25" s="11">
        <v>1716</v>
      </c>
      <c r="U25" s="11">
        <v>1657</v>
      </c>
      <c r="V25" s="11">
        <v>1449</v>
      </c>
      <c r="W25" s="11">
        <v>1608</v>
      </c>
      <c r="X25" s="11">
        <v>-208</v>
      </c>
    </row>
    <row r="26" spans="1:24" x14ac:dyDescent="0.2">
      <c r="A26" s="6" t="s">
        <v>151</v>
      </c>
      <c r="B26" s="11">
        <v>9181</v>
      </c>
      <c r="C26" s="11">
        <v>453</v>
      </c>
      <c r="D26" s="11">
        <v>633</v>
      </c>
      <c r="E26" s="11">
        <v>497</v>
      </c>
      <c r="F26" s="11">
        <v>353</v>
      </c>
      <c r="G26" s="11">
        <v>461</v>
      </c>
      <c r="H26" s="11">
        <v>0</v>
      </c>
      <c r="I26" s="11">
        <v>449</v>
      </c>
      <c r="J26" s="11">
        <v>626</v>
      </c>
      <c r="K26" s="11">
        <v>535</v>
      </c>
      <c r="L26" s="11">
        <v>461</v>
      </c>
      <c r="M26" s="11">
        <v>334</v>
      </c>
      <c r="N26" s="11">
        <v>225</v>
      </c>
      <c r="O26" s="11">
        <v>638</v>
      </c>
      <c r="P26" s="11">
        <v>484</v>
      </c>
      <c r="Q26" s="11">
        <v>450</v>
      </c>
      <c r="R26" s="11">
        <v>474</v>
      </c>
      <c r="S26" s="11">
        <v>347</v>
      </c>
      <c r="T26" s="11">
        <v>142</v>
      </c>
      <c r="U26" s="11">
        <v>654</v>
      </c>
      <c r="V26" s="11">
        <v>447</v>
      </c>
      <c r="W26" s="11">
        <v>518</v>
      </c>
      <c r="X26" s="11">
        <v>0</v>
      </c>
    </row>
    <row r="27" spans="1:24" x14ac:dyDescent="0.2">
      <c r="A27" s="6" t="s">
        <v>152</v>
      </c>
      <c r="B27" s="11">
        <v>8049</v>
      </c>
      <c r="C27" s="11">
        <v>4</v>
      </c>
      <c r="D27" s="11">
        <v>5</v>
      </c>
      <c r="E27" s="11">
        <v>5</v>
      </c>
      <c r="F27" s="11">
        <v>5</v>
      </c>
      <c r="G27" s="11">
        <v>5</v>
      </c>
      <c r="H27" s="11">
        <v>4</v>
      </c>
      <c r="I27" s="11">
        <v>5</v>
      </c>
      <c r="J27" s="11">
        <v>5</v>
      </c>
      <c r="K27" s="11">
        <v>5</v>
      </c>
      <c r="L27" s="11">
        <v>196</v>
      </c>
      <c r="M27" s="11">
        <v>5</v>
      </c>
      <c r="N27" s="11">
        <v>5</v>
      </c>
      <c r="O27" s="11">
        <v>5</v>
      </c>
      <c r="P27" s="11">
        <v>5</v>
      </c>
      <c r="Q27" s="11">
        <v>3876</v>
      </c>
      <c r="R27" s="11">
        <v>3915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</row>
    <row r="28" spans="1:24" x14ac:dyDescent="0.2">
      <c r="A28" s="6" t="s">
        <v>153</v>
      </c>
      <c r="B28" s="11">
        <v>10152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673</v>
      </c>
      <c r="K28" s="11">
        <v>673</v>
      </c>
      <c r="L28" s="11">
        <v>1668</v>
      </c>
      <c r="M28" s="11">
        <v>673</v>
      </c>
      <c r="N28" s="11">
        <v>673</v>
      </c>
      <c r="O28" s="11">
        <v>673</v>
      </c>
      <c r="P28" s="11">
        <v>1598</v>
      </c>
      <c r="Q28" s="11">
        <v>0</v>
      </c>
      <c r="R28" s="11">
        <v>155</v>
      </c>
      <c r="S28" s="11">
        <v>673</v>
      </c>
      <c r="T28" s="11">
        <v>673</v>
      </c>
      <c r="U28" s="11">
        <v>673</v>
      </c>
      <c r="V28" s="11">
        <v>673</v>
      </c>
      <c r="W28" s="11">
        <v>673</v>
      </c>
      <c r="X28" s="11">
        <v>0</v>
      </c>
    </row>
    <row r="29" spans="1:24" x14ac:dyDescent="0.2">
      <c r="A29" s="6" t="s">
        <v>154</v>
      </c>
      <c r="B29" s="11">
        <v>367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106</v>
      </c>
      <c r="R29" s="11">
        <v>52</v>
      </c>
      <c r="S29" s="11">
        <v>102</v>
      </c>
      <c r="T29" s="11">
        <v>0</v>
      </c>
      <c r="U29" s="11">
        <v>0</v>
      </c>
      <c r="V29" s="11">
        <v>0</v>
      </c>
      <c r="W29" s="11">
        <v>107</v>
      </c>
      <c r="X29" s="11">
        <v>0</v>
      </c>
    </row>
    <row r="30" spans="1:24" x14ac:dyDescent="0.2">
      <c r="A30" s="6" t="s">
        <v>155</v>
      </c>
      <c r="B30" s="11">
        <v>125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125</v>
      </c>
      <c r="W30" s="11">
        <v>0</v>
      </c>
      <c r="X30" s="11">
        <v>0</v>
      </c>
    </row>
    <row r="31" spans="1:24" x14ac:dyDescent="0.2">
      <c r="A31" s="6" t="s">
        <v>156</v>
      </c>
      <c r="B31" s="11">
        <v>2813</v>
      </c>
      <c r="C31" s="11">
        <v>0</v>
      </c>
      <c r="D31" s="11">
        <v>41</v>
      </c>
      <c r="E31" s="11">
        <v>0</v>
      </c>
      <c r="F31" s="11">
        <v>0</v>
      </c>
      <c r="G31" s="11">
        <v>11</v>
      </c>
      <c r="H31" s="11">
        <v>0</v>
      </c>
      <c r="I31" s="11">
        <v>33</v>
      </c>
      <c r="J31" s="11">
        <v>32</v>
      </c>
      <c r="K31" s="11">
        <v>427</v>
      </c>
      <c r="L31" s="11">
        <v>114</v>
      </c>
      <c r="M31" s="11">
        <v>176</v>
      </c>
      <c r="N31" s="11">
        <v>169</v>
      </c>
      <c r="O31" s="11">
        <v>10</v>
      </c>
      <c r="P31" s="11">
        <v>53</v>
      </c>
      <c r="Q31" s="11">
        <v>916</v>
      </c>
      <c r="R31" s="11">
        <v>165</v>
      </c>
      <c r="S31" s="11">
        <v>256</v>
      </c>
      <c r="T31" s="11">
        <v>0</v>
      </c>
      <c r="U31" s="11">
        <v>102</v>
      </c>
      <c r="V31" s="11">
        <v>0</v>
      </c>
      <c r="W31" s="11">
        <v>307</v>
      </c>
      <c r="X31" s="11">
        <v>0</v>
      </c>
    </row>
    <row r="32" spans="1:24" x14ac:dyDescent="0.2">
      <c r="A32" s="6" t="s">
        <v>157</v>
      </c>
      <c r="B32" s="11">
        <v>82461</v>
      </c>
      <c r="C32" s="11">
        <v>4360</v>
      </c>
      <c r="D32" s="11">
        <v>3522</v>
      </c>
      <c r="E32" s="11">
        <v>3715</v>
      </c>
      <c r="F32" s="11">
        <v>3666</v>
      </c>
      <c r="G32" s="11">
        <v>3076</v>
      </c>
      <c r="H32" s="11">
        <v>2326</v>
      </c>
      <c r="I32" s="11">
        <v>2870</v>
      </c>
      <c r="J32" s="11">
        <v>4067</v>
      </c>
      <c r="K32" s="11">
        <v>2751</v>
      </c>
      <c r="L32" s="11">
        <v>3981</v>
      </c>
      <c r="M32" s="11">
        <v>3460</v>
      </c>
      <c r="N32" s="11">
        <v>7910</v>
      </c>
      <c r="O32" s="11">
        <v>6080</v>
      </c>
      <c r="P32" s="11">
        <v>5426</v>
      </c>
      <c r="Q32" s="11">
        <v>5665</v>
      </c>
      <c r="R32" s="11">
        <v>6155</v>
      </c>
      <c r="S32" s="11">
        <v>2210</v>
      </c>
      <c r="T32" s="11">
        <v>2445</v>
      </c>
      <c r="U32" s="11">
        <v>2466</v>
      </c>
      <c r="V32" s="11">
        <v>3397</v>
      </c>
      <c r="W32" s="11">
        <v>2915</v>
      </c>
      <c r="X32" s="11">
        <v>0</v>
      </c>
    </row>
    <row r="33" spans="1:24" x14ac:dyDescent="0.2">
      <c r="A33" s="6" t="s">
        <v>158</v>
      </c>
      <c r="B33" s="11">
        <v>167000</v>
      </c>
      <c r="C33" s="11">
        <v>11000</v>
      </c>
      <c r="D33" s="11">
        <v>11000</v>
      </c>
      <c r="E33" s="11">
        <v>11000</v>
      </c>
      <c r="F33" s="11">
        <v>11000</v>
      </c>
      <c r="G33" s="11">
        <v>11000</v>
      </c>
      <c r="H33" s="11">
        <v>11000</v>
      </c>
      <c r="I33" s="11">
        <v>11000</v>
      </c>
      <c r="J33" s="11">
        <v>8000</v>
      </c>
      <c r="K33" s="11">
        <v>8000</v>
      </c>
      <c r="L33" s="11">
        <v>8000</v>
      </c>
      <c r="M33" s="11">
        <v>8000</v>
      </c>
      <c r="N33" s="11">
        <v>8000</v>
      </c>
      <c r="O33" s="11">
        <v>8000</v>
      </c>
      <c r="P33" s="11">
        <v>8000</v>
      </c>
      <c r="Q33" s="11">
        <v>11000</v>
      </c>
      <c r="R33" s="11">
        <v>11000</v>
      </c>
      <c r="S33" s="11">
        <v>2000</v>
      </c>
      <c r="T33" s="11">
        <v>2000</v>
      </c>
      <c r="U33" s="11">
        <v>2000</v>
      </c>
      <c r="V33" s="11">
        <v>2000</v>
      </c>
      <c r="W33" s="11">
        <v>2000</v>
      </c>
      <c r="X33" s="11">
        <v>2000</v>
      </c>
    </row>
    <row r="34" spans="1:24" x14ac:dyDescent="0.2">
      <c r="A34" s="6" t="s">
        <v>159</v>
      </c>
      <c r="B34" s="11">
        <v>6842</v>
      </c>
      <c r="C34" s="11">
        <v>216</v>
      </c>
      <c r="D34" s="11">
        <v>216</v>
      </c>
      <c r="E34" s="11">
        <v>796</v>
      </c>
      <c r="F34" s="11">
        <v>275</v>
      </c>
      <c r="G34" s="11">
        <v>663</v>
      </c>
      <c r="H34" s="11">
        <v>135</v>
      </c>
      <c r="I34" s="11">
        <v>275</v>
      </c>
      <c r="J34" s="11">
        <v>275</v>
      </c>
      <c r="K34" s="11">
        <v>657</v>
      </c>
      <c r="L34" s="11">
        <v>300</v>
      </c>
      <c r="M34" s="11">
        <v>131</v>
      </c>
      <c r="N34" s="11">
        <v>131</v>
      </c>
      <c r="O34" s="11">
        <v>275</v>
      </c>
      <c r="P34" s="11">
        <v>843</v>
      </c>
      <c r="Q34" s="11">
        <v>132</v>
      </c>
      <c r="R34" s="11">
        <v>274</v>
      </c>
      <c r="S34" s="11">
        <v>131</v>
      </c>
      <c r="T34" s="11">
        <v>145</v>
      </c>
      <c r="U34" s="11">
        <v>274</v>
      </c>
      <c r="V34" s="11">
        <v>565</v>
      </c>
      <c r="W34" s="11">
        <v>131</v>
      </c>
      <c r="X34" s="11">
        <v>0</v>
      </c>
    </row>
    <row r="35" spans="1:24" x14ac:dyDescent="0.2">
      <c r="A35" s="6" t="s">
        <v>160</v>
      </c>
      <c r="B35" s="11">
        <v>1286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11</v>
      </c>
      <c r="R35" s="11">
        <v>0</v>
      </c>
      <c r="S35" s="11">
        <v>-325</v>
      </c>
      <c r="T35" s="11">
        <v>1500</v>
      </c>
      <c r="U35" s="11">
        <v>100</v>
      </c>
      <c r="V35" s="11">
        <v>0</v>
      </c>
      <c r="W35" s="11">
        <v>0</v>
      </c>
      <c r="X35" s="11">
        <v>0</v>
      </c>
    </row>
    <row r="36" spans="1:24" x14ac:dyDescent="0.2">
      <c r="A36" s="6" t="s">
        <v>161</v>
      </c>
      <c r="B36" s="11">
        <v>10710</v>
      </c>
      <c r="C36" s="11">
        <v>680</v>
      </c>
      <c r="D36" s="11">
        <v>304</v>
      </c>
      <c r="E36" s="11">
        <v>323</v>
      </c>
      <c r="F36" s="11">
        <v>591</v>
      </c>
      <c r="G36" s="11">
        <v>361</v>
      </c>
      <c r="H36" s="11">
        <v>258</v>
      </c>
      <c r="I36" s="11">
        <v>447</v>
      </c>
      <c r="J36" s="11">
        <v>420</v>
      </c>
      <c r="K36" s="11">
        <v>121</v>
      </c>
      <c r="L36" s="11">
        <v>886</v>
      </c>
      <c r="M36" s="11">
        <v>689</v>
      </c>
      <c r="N36" s="11">
        <v>790</v>
      </c>
      <c r="O36" s="11">
        <v>1179</v>
      </c>
      <c r="P36" s="11">
        <v>610</v>
      </c>
      <c r="Q36" s="11">
        <v>870</v>
      </c>
      <c r="R36" s="11">
        <v>744</v>
      </c>
      <c r="S36" s="11">
        <v>205</v>
      </c>
      <c r="T36" s="11">
        <v>464</v>
      </c>
      <c r="U36" s="11">
        <v>402</v>
      </c>
      <c r="V36" s="11">
        <v>126</v>
      </c>
      <c r="W36" s="11">
        <v>242</v>
      </c>
      <c r="X36" s="11">
        <v>0</v>
      </c>
    </row>
    <row r="37" spans="1:24" x14ac:dyDescent="0.2">
      <c r="A37" s="6" t="s">
        <v>162</v>
      </c>
      <c r="B37" s="11">
        <v>4403</v>
      </c>
      <c r="C37" s="11">
        <v>211</v>
      </c>
      <c r="D37" s="11">
        <v>195</v>
      </c>
      <c r="E37" s="11">
        <v>358</v>
      </c>
      <c r="F37" s="11">
        <v>227</v>
      </c>
      <c r="G37" s="11">
        <v>199</v>
      </c>
      <c r="H37" s="11">
        <v>344</v>
      </c>
      <c r="I37" s="11">
        <v>158</v>
      </c>
      <c r="J37" s="11">
        <v>0</v>
      </c>
      <c r="K37" s="11">
        <v>199</v>
      </c>
      <c r="L37" s="11">
        <v>287</v>
      </c>
      <c r="M37" s="11">
        <v>158</v>
      </c>
      <c r="N37" s="11">
        <v>230</v>
      </c>
      <c r="O37" s="11">
        <v>110</v>
      </c>
      <c r="P37" s="11">
        <v>269</v>
      </c>
      <c r="Q37" s="11">
        <v>158</v>
      </c>
      <c r="R37" s="11">
        <v>470</v>
      </c>
      <c r="S37" s="11">
        <v>216</v>
      </c>
      <c r="T37" s="11">
        <v>157</v>
      </c>
      <c r="U37" s="11">
        <v>145</v>
      </c>
      <c r="V37" s="11">
        <v>156</v>
      </c>
      <c r="W37" s="11">
        <v>157</v>
      </c>
      <c r="X37" s="11">
        <v>0</v>
      </c>
    </row>
    <row r="38" spans="1:24" x14ac:dyDescent="0.2">
      <c r="A38" s="6" t="s">
        <v>163</v>
      </c>
      <c r="B38" s="11">
        <v>390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216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174</v>
      </c>
      <c r="V38" s="11">
        <v>0</v>
      </c>
      <c r="W38" s="11">
        <v>0</v>
      </c>
      <c r="X38" s="11">
        <v>0</v>
      </c>
    </row>
    <row r="39" spans="1:24" x14ac:dyDescent="0.2">
      <c r="A39" s="6" t="s">
        <v>164</v>
      </c>
      <c r="B39" s="11">
        <v>88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88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</row>
    <row r="40" spans="1:24" x14ac:dyDescent="0.2">
      <c r="A40" s="6" t="s">
        <v>165</v>
      </c>
      <c r="B40" s="11">
        <v>25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25</v>
      </c>
      <c r="W40" s="11">
        <v>0</v>
      </c>
      <c r="X40" s="11">
        <v>0</v>
      </c>
    </row>
    <row r="41" spans="1:24" x14ac:dyDescent="0.2">
      <c r="A41" s="6" t="s">
        <v>166</v>
      </c>
      <c r="B41" s="11">
        <v>24380</v>
      </c>
      <c r="C41" s="11">
        <v>1392</v>
      </c>
      <c r="D41" s="11">
        <v>1161</v>
      </c>
      <c r="E41" s="11">
        <v>1394</v>
      </c>
      <c r="F41" s="11">
        <v>1013</v>
      </c>
      <c r="G41" s="11">
        <v>1183</v>
      </c>
      <c r="H41" s="11">
        <v>1252</v>
      </c>
      <c r="I41" s="11">
        <v>898</v>
      </c>
      <c r="J41" s="11">
        <v>1116</v>
      </c>
      <c r="K41" s="11">
        <v>998</v>
      </c>
      <c r="L41" s="11">
        <v>1220</v>
      </c>
      <c r="M41" s="11">
        <v>1444</v>
      </c>
      <c r="N41" s="11">
        <v>2433</v>
      </c>
      <c r="O41" s="11">
        <v>1370</v>
      </c>
      <c r="P41" s="11">
        <v>1376</v>
      </c>
      <c r="Q41" s="11">
        <v>1326</v>
      </c>
      <c r="R41" s="11">
        <v>1321</v>
      </c>
      <c r="S41" s="11">
        <v>796</v>
      </c>
      <c r="T41" s="11">
        <v>761</v>
      </c>
      <c r="U41" s="11">
        <v>678</v>
      </c>
      <c r="V41" s="11">
        <v>765</v>
      </c>
      <c r="W41" s="11">
        <v>356</v>
      </c>
      <c r="X41" s="11">
        <v>127</v>
      </c>
    </row>
    <row r="42" spans="1:24" x14ac:dyDescent="0.2">
      <c r="A42" s="6" t="s">
        <v>167</v>
      </c>
      <c r="B42" s="11">
        <v>2129</v>
      </c>
      <c r="C42" s="11">
        <v>146</v>
      </c>
      <c r="D42" s="11">
        <v>139</v>
      </c>
      <c r="E42" s="11">
        <v>96</v>
      </c>
      <c r="F42" s="11">
        <v>193</v>
      </c>
      <c r="G42" s="11">
        <v>129</v>
      </c>
      <c r="H42" s="11">
        <v>149</v>
      </c>
      <c r="I42" s="11">
        <v>182</v>
      </c>
      <c r="J42" s="11">
        <v>68</v>
      </c>
      <c r="K42" s="11">
        <v>86</v>
      </c>
      <c r="L42" s="11">
        <v>379</v>
      </c>
      <c r="M42" s="11">
        <v>26</v>
      </c>
      <c r="N42" s="11">
        <v>122</v>
      </c>
      <c r="O42" s="11">
        <v>-276</v>
      </c>
      <c r="P42" s="11">
        <v>182</v>
      </c>
      <c r="Q42" s="11">
        <v>41</v>
      </c>
      <c r="R42" s="11">
        <v>57</v>
      </c>
      <c r="S42" s="11">
        <v>81</v>
      </c>
      <c r="T42" s="11">
        <v>92</v>
      </c>
      <c r="U42" s="11">
        <v>71</v>
      </c>
      <c r="V42" s="11">
        <v>143</v>
      </c>
      <c r="W42" s="11">
        <v>10</v>
      </c>
      <c r="X42" s="11">
        <v>12</v>
      </c>
    </row>
    <row r="43" spans="1:24" x14ac:dyDescent="0.2">
      <c r="A43" s="6" t="s">
        <v>168</v>
      </c>
      <c r="B43" s="11">
        <v>4038</v>
      </c>
      <c r="C43" s="11">
        <v>134</v>
      </c>
      <c r="D43" s="11">
        <v>171</v>
      </c>
      <c r="E43" s="11">
        <v>204</v>
      </c>
      <c r="F43" s="11">
        <v>144</v>
      </c>
      <c r="G43" s="11">
        <v>137</v>
      </c>
      <c r="H43" s="11">
        <v>416</v>
      </c>
      <c r="I43" s="11">
        <v>140</v>
      </c>
      <c r="J43" s="11">
        <v>195</v>
      </c>
      <c r="K43" s="11">
        <v>171</v>
      </c>
      <c r="L43" s="11">
        <v>248</v>
      </c>
      <c r="M43" s="11">
        <v>176</v>
      </c>
      <c r="N43" s="11">
        <v>306</v>
      </c>
      <c r="O43" s="11">
        <v>231</v>
      </c>
      <c r="P43" s="11">
        <v>267</v>
      </c>
      <c r="Q43" s="11">
        <v>181</v>
      </c>
      <c r="R43" s="11">
        <v>136</v>
      </c>
      <c r="S43" s="11">
        <v>104</v>
      </c>
      <c r="T43" s="11">
        <v>99</v>
      </c>
      <c r="U43" s="11">
        <v>104</v>
      </c>
      <c r="V43" s="11">
        <v>328</v>
      </c>
      <c r="W43" s="11">
        <v>148</v>
      </c>
      <c r="X43" s="11">
        <v>0</v>
      </c>
    </row>
    <row r="44" spans="1:24" x14ac:dyDescent="0.2">
      <c r="A44" s="6" t="s">
        <v>169</v>
      </c>
      <c r="B44" s="11">
        <v>-142</v>
      </c>
      <c r="C44" s="11">
        <v>-250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64</v>
      </c>
      <c r="L44" s="11">
        <v>43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</row>
    <row r="45" spans="1:24" x14ac:dyDescent="0.2">
      <c r="A45" s="6" t="s">
        <v>170</v>
      </c>
      <c r="B45" s="11">
        <v>741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117</v>
      </c>
      <c r="M45" s="11">
        <v>0</v>
      </c>
      <c r="N45" s="11">
        <v>38</v>
      </c>
      <c r="O45" s="11">
        <v>0</v>
      </c>
      <c r="P45" s="11">
        <v>337</v>
      </c>
      <c r="Q45" s="11">
        <v>227</v>
      </c>
      <c r="R45" s="11">
        <v>0</v>
      </c>
      <c r="S45" s="11">
        <v>0</v>
      </c>
      <c r="T45" s="11">
        <v>0</v>
      </c>
      <c r="U45" s="11">
        <v>21</v>
      </c>
      <c r="V45" s="11">
        <v>0</v>
      </c>
      <c r="W45" s="11">
        <v>0</v>
      </c>
      <c r="X45" s="11">
        <v>0</v>
      </c>
    </row>
    <row r="46" spans="1:24" x14ac:dyDescent="0.2">
      <c r="A46" s="6" t="s">
        <v>171</v>
      </c>
      <c r="B46" s="11">
        <v>4809</v>
      </c>
      <c r="C46" s="11">
        <v>354</v>
      </c>
      <c r="D46" s="11">
        <v>104</v>
      </c>
      <c r="E46" s="11">
        <v>157</v>
      </c>
      <c r="F46" s="11">
        <v>249</v>
      </c>
      <c r="G46" s="11">
        <v>58</v>
      </c>
      <c r="H46" s="11">
        <v>0</v>
      </c>
      <c r="I46" s="11">
        <v>0</v>
      </c>
      <c r="J46" s="11">
        <v>539</v>
      </c>
      <c r="K46" s="11">
        <v>172</v>
      </c>
      <c r="L46" s="11">
        <v>1290</v>
      </c>
      <c r="M46" s="11">
        <v>262</v>
      </c>
      <c r="N46" s="11">
        <v>196</v>
      </c>
      <c r="O46" s="11">
        <v>383</v>
      </c>
      <c r="P46" s="11">
        <v>1040</v>
      </c>
      <c r="Q46" s="11">
        <v>0</v>
      </c>
      <c r="R46" s="11">
        <v>0</v>
      </c>
      <c r="S46" s="11">
        <v>0</v>
      </c>
      <c r="T46" s="11">
        <v>5</v>
      </c>
      <c r="U46" s="11">
        <v>0</v>
      </c>
      <c r="V46" s="11">
        <v>0</v>
      </c>
      <c r="W46" s="11">
        <v>0</v>
      </c>
      <c r="X46" s="11">
        <v>0</v>
      </c>
    </row>
    <row r="47" spans="1:24" x14ac:dyDescent="0.2">
      <c r="A47" s="6" t="s">
        <v>172</v>
      </c>
      <c r="B47" s="11">
        <v>113800</v>
      </c>
      <c r="C47" s="11">
        <v>7500</v>
      </c>
      <c r="D47" s="11">
        <v>5000</v>
      </c>
      <c r="E47" s="11">
        <v>5000</v>
      </c>
      <c r="F47" s="11">
        <v>5000</v>
      </c>
      <c r="G47" s="11">
        <v>8000</v>
      </c>
      <c r="H47" s="11">
        <v>5000</v>
      </c>
      <c r="I47" s="11">
        <v>5000</v>
      </c>
      <c r="J47" s="11">
        <v>5000</v>
      </c>
      <c r="K47" s="11">
        <v>4300</v>
      </c>
      <c r="L47" s="11">
        <v>6500</v>
      </c>
      <c r="M47" s="11">
        <v>8500</v>
      </c>
      <c r="N47" s="11">
        <v>17000</v>
      </c>
      <c r="O47" s="11">
        <v>10000</v>
      </c>
      <c r="P47" s="11">
        <v>10000</v>
      </c>
      <c r="Q47" s="11">
        <v>5000</v>
      </c>
      <c r="R47" s="11">
        <v>7000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</row>
    <row r="48" spans="1:24" x14ac:dyDescent="0.2">
      <c r="A48" s="6" t="s">
        <v>173</v>
      </c>
      <c r="B48" s="11">
        <v>25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25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</row>
    <row r="49" spans="1:24" x14ac:dyDescent="0.2">
      <c r="A49" s="6" t="s">
        <v>174</v>
      </c>
      <c r="B49" s="11">
        <v>24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24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</row>
    <row r="50" spans="1:24" x14ac:dyDescent="0.2">
      <c r="A50" s="6" t="s">
        <v>175</v>
      </c>
      <c r="B50" s="11">
        <v>99291</v>
      </c>
      <c r="C50" s="11">
        <v>4516</v>
      </c>
      <c r="D50" s="11">
        <v>4516</v>
      </c>
      <c r="E50" s="11">
        <v>5141</v>
      </c>
      <c r="F50" s="11">
        <v>4516</v>
      </c>
      <c r="G50" s="11">
        <v>4516</v>
      </c>
      <c r="H50" s="11">
        <v>4516</v>
      </c>
      <c r="I50" s="11">
        <v>4561</v>
      </c>
      <c r="J50" s="11">
        <v>5250</v>
      </c>
      <c r="K50" s="11">
        <v>6050</v>
      </c>
      <c r="L50" s="11">
        <v>6250</v>
      </c>
      <c r="M50" s="11">
        <v>7150</v>
      </c>
      <c r="N50" s="11">
        <v>7050</v>
      </c>
      <c r="O50" s="11">
        <v>7150</v>
      </c>
      <c r="P50" s="11">
        <v>7800</v>
      </c>
      <c r="Q50" s="11">
        <v>10452</v>
      </c>
      <c r="R50" s="11">
        <v>6727</v>
      </c>
      <c r="S50" s="11">
        <v>500</v>
      </c>
      <c r="T50" s="11">
        <v>500</v>
      </c>
      <c r="U50" s="11">
        <v>500</v>
      </c>
      <c r="V50" s="11">
        <v>500</v>
      </c>
      <c r="W50" s="11">
        <v>500</v>
      </c>
      <c r="X50" s="11">
        <v>629</v>
      </c>
    </row>
    <row r="51" spans="1:24" x14ac:dyDescent="0.2">
      <c r="A51" s="6" t="s">
        <v>176</v>
      </c>
      <c r="B51" s="14">
        <v>916980</v>
      </c>
      <c r="C51" s="14">
        <v>51706</v>
      </c>
      <c r="D51" s="14">
        <v>40270</v>
      </c>
      <c r="E51" s="14">
        <v>42289</v>
      </c>
      <c r="F51" s="14">
        <v>41280</v>
      </c>
      <c r="G51" s="14">
        <v>46915</v>
      </c>
      <c r="H51" s="14">
        <v>36654</v>
      </c>
      <c r="I51" s="14">
        <v>42951</v>
      </c>
      <c r="J51" s="14">
        <v>40459</v>
      </c>
      <c r="K51" s="14">
        <v>37058</v>
      </c>
      <c r="L51" s="14">
        <v>50651</v>
      </c>
      <c r="M51" s="14">
        <v>49474</v>
      </c>
      <c r="N51" s="14">
        <v>76299</v>
      </c>
      <c r="O51" s="14">
        <v>52497</v>
      </c>
      <c r="P51" s="14">
        <v>74420</v>
      </c>
      <c r="Q51" s="14">
        <v>81043</v>
      </c>
      <c r="R51" s="14">
        <v>67746</v>
      </c>
      <c r="S51" s="14">
        <v>18203</v>
      </c>
      <c r="T51" s="14">
        <v>15420</v>
      </c>
      <c r="U51" s="14">
        <v>14035</v>
      </c>
      <c r="V51" s="14">
        <v>24770</v>
      </c>
      <c r="W51" s="14">
        <v>10199</v>
      </c>
      <c r="X51" s="14">
        <v>2641</v>
      </c>
    </row>
    <row r="52" spans="1:24" x14ac:dyDescent="0.2">
      <c r="A52" s="4" t="s">
        <v>6</v>
      </c>
    </row>
    <row r="53" spans="1:24" x14ac:dyDescent="0.2">
      <c r="A53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5"/>
  <sheetViews>
    <sheetView workbookViewId="0"/>
  </sheetViews>
  <sheetFormatPr defaultColWidth="9.140625" defaultRowHeight="12.75" x14ac:dyDescent="0.2"/>
  <cols>
    <col min="1" max="1" width="32.28515625" style="3" customWidth="1"/>
    <col min="2" max="2" width="15" style="3" customWidth="1"/>
    <col min="3" max="3" width="16.140625" style="3" customWidth="1"/>
    <col min="4" max="4" width="18.85546875" style="3" customWidth="1"/>
    <col min="5" max="5" width="12.7109375" style="3" customWidth="1"/>
    <col min="6" max="6" width="26.28515625" style="3" customWidth="1"/>
    <col min="7" max="7" width="19.42578125" style="3" customWidth="1"/>
    <col min="8" max="8" width="18.7109375" style="3" customWidth="1"/>
    <col min="9" max="9" width="14.85546875" style="3" customWidth="1"/>
    <col min="10" max="10" width="15.5703125" style="3" customWidth="1"/>
    <col min="11" max="11" width="12.85546875" style="3" customWidth="1"/>
    <col min="12" max="12" width="20.7109375" style="3" customWidth="1"/>
    <col min="13" max="13" width="14.140625" style="3" customWidth="1"/>
    <col min="14" max="14" width="15.7109375" style="3" customWidth="1"/>
    <col min="15" max="15" width="20.7109375" style="3" customWidth="1"/>
    <col min="16" max="16" width="13.5703125" style="3" customWidth="1"/>
    <col min="17" max="17" width="15.5703125" style="3" customWidth="1"/>
    <col min="18" max="18" width="22.28515625" style="3" customWidth="1"/>
    <col min="19" max="19" width="17.42578125" style="3" customWidth="1"/>
    <col min="20" max="20" width="16.42578125" style="3" customWidth="1"/>
    <col min="21" max="21" width="13.5703125" style="3" customWidth="1"/>
    <col min="22" max="22" width="13.140625" style="3" customWidth="1"/>
    <col min="23" max="23" width="13.85546875" style="3" customWidth="1"/>
    <col min="24" max="24" width="14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177</v>
      </c>
    </row>
    <row r="2" spans="1:24" ht="18" x14ac:dyDescent="0.25">
      <c r="A2" s="5" t="s">
        <v>178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2" t="s">
        <v>6</v>
      </c>
      <c r="C7" s="2"/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  <c r="T7" s="7" t="s">
        <v>23</v>
      </c>
      <c r="U7" s="7" t="s">
        <v>24</v>
      </c>
      <c r="V7" s="7" t="s">
        <v>25</v>
      </c>
      <c r="W7" s="7" t="s">
        <v>26</v>
      </c>
      <c r="X7" s="7" t="s">
        <v>27</v>
      </c>
    </row>
    <row r="8" spans="1:24" x14ac:dyDescent="0.2">
      <c r="A8" s="6" t="s">
        <v>6</v>
      </c>
      <c r="B8" s="2" t="s">
        <v>29</v>
      </c>
      <c r="C8" s="2"/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1" t="s">
        <v>4</v>
      </c>
      <c r="C9" s="1"/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179</v>
      </c>
      <c r="C10" s="10" t="s">
        <v>180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181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182</v>
      </c>
      <c r="B12" s="16">
        <v>2574</v>
      </c>
      <c r="C12" s="16">
        <v>83.03</v>
      </c>
      <c r="D12" s="16">
        <v>512</v>
      </c>
      <c r="E12" s="16">
        <v>88</v>
      </c>
      <c r="F12" s="16">
        <v>52</v>
      </c>
      <c r="G12" s="16">
        <v>-82</v>
      </c>
      <c r="H12" s="16">
        <v>66</v>
      </c>
      <c r="I12" s="16">
        <v>93</v>
      </c>
      <c r="J12" s="16">
        <v>128</v>
      </c>
      <c r="K12" s="16">
        <v>153</v>
      </c>
      <c r="L12" s="16">
        <v>31</v>
      </c>
      <c r="M12" s="16">
        <v>236</v>
      </c>
      <c r="N12" s="16">
        <v>254</v>
      </c>
      <c r="O12" s="16">
        <v>155</v>
      </c>
      <c r="P12" s="16">
        <v>435</v>
      </c>
      <c r="Q12" s="16">
        <v>182</v>
      </c>
      <c r="R12" s="16">
        <v>110</v>
      </c>
      <c r="S12" s="16">
        <v>161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</row>
    <row r="13" spans="1:24" x14ac:dyDescent="0.2">
      <c r="A13" s="6" t="s">
        <v>183</v>
      </c>
      <c r="B13" s="16">
        <v>4333</v>
      </c>
      <c r="C13" s="16">
        <v>139.77000000000001</v>
      </c>
      <c r="D13" s="16">
        <v>223</v>
      </c>
      <c r="E13" s="16">
        <v>236</v>
      </c>
      <c r="F13" s="16">
        <v>519</v>
      </c>
      <c r="G13" s="16">
        <v>153</v>
      </c>
      <c r="H13" s="16">
        <v>233</v>
      </c>
      <c r="I13" s="16">
        <v>160</v>
      </c>
      <c r="J13" s="16">
        <v>115</v>
      </c>
      <c r="K13" s="16">
        <v>114</v>
      </c>
      <c r="L13" s="16">
        <v>91</v>
      </c>
      <c r="M13" s="16">
        <v>241</v>
      </c>
      <c r="N13" s="16">
        <v>428</v>
      </c>
      <c r="O13" s="16">
        <v>603</v>
      </c>
      <c r="P13" s="16">
        <v>217</v>
      </c>
      <c r="Q13" s="16">
        <v>439</v>
      </c>
      <c r="R13" s="16">
        <v>344</v>
      </c>
      <c r="S13" s="16">
        <v>217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</row>
    <row r="14" spans="1:24" x14ac:dyDescent="0.2">
      <c r="A14" s="6" t="s">
        <v>184</v>
      </c>
      <c r="B14" s="16">
        <v>1746</v>
      </c>
      <c r="C14" s="16">
        <v>56.32</v>
      </c>
      <c r="D14" s="16">
        <v>6</v>
      </c>
      <c r="E14" s="16">
        <v>141</v>
      </c>
      <c r="F14" s="16">
        <v>75</v>
      </c>
      <c r="G14" s="16">
        <v>0</v>
      </c>
      <c r="H14" s="16">
        <v>31</v>
      </c>
      <c r="I14" s="16">
        <v>13</v>
      </c>
      <c r="J14" s="16">
        <v>0</v>
      </c>
      <c r="K14" s="16">
        <v>62</v>
      </c>
      <c r="L14" s="16">
        <v>62</v>
      </c>
      <c r="M14" s="16">
        <v>55</v>
      </c>
      <c r="N14" s="16">
        <v>131</v>
      </c>
      <c r="O14" s="16">
        <v>246</v>
      </c>
      <c r="P14" s="16">
        <v>286</v>
      </c>
      <c r="Q14" s="16">
        <v>341</v>
      </c>
      <c r="R14" s="16">
        <v>138</v>
      </c>
      <c r="S14" s="16">
        <v>159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</row>
    <row r="15" spans="1:24" x14ac:dyDescent="0.2">
      <c r="A15" s="6" t="s">
        <v>185</v>
      </c>
      <c r="B15" s="16">
        <v>2323</v>
      </c>
      <c r="C15" s="16">
        <v>74.94</v>
      </c>
      <c r="D15" s="16">
        <v>277</v>
      </c>
      <c r="E15" s="16">
        <v>118</v>
      </c>
      <c r="F15" s="16">
        <v>-26</v>
      </c>
      <c r="G15" s="16">
        <v>430</v>
      </c>
      <c r="H15" s="16">
        <v>330</v>
      </c>
      <c r="I15" s="16">
        <v>97</v>
      </c>
      <c r="J15" s="16">
        <v>86</v>
      </c>
      <c r="K15" s="16">
        <v>247</v>
      </c>
      <c r="L15" s="16">
        <v>31</v>
      </c>
      <c r="M15" s="16">
        <v>166</v>
      </c>
      <c r="N15" s="16">
        <v>155</v>
      </c>
      <c r="O15" s="16">
        <v>29</v>
      </c>
      <c r="P15" s="16">
        <v>434</v>
      </c>
      <c r="Q15" s="16">
        <v>-79</v>
      </c>
      <c r="R15" s="16">
        <v>28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</row>
    <row r="16" spans="1:24" x14ac:dyDescent="0.2">
      <c r="A16" s="6" t="s">
        <v>186</v>
      </c>
      <c r="B16" s="16">
        <v>1310</v>
      </c>
      <c r="C16" s="16">
        <v>42.26</v>
      </c>
      <c r="D16" s="16">
        <v>209</v>
      </c>
      <c r="E16" s="16">
        <v>202</v>
      </c>
      <c r="F16" s="16">
        <v>0</v>
      </c>
      <c r="G16" s="16">
        <v>22</v>
      </c>
      <c r="H16" s="16">
        <v>220</v>
      </c>
      <c r="I16" s="16">
        <v>60</v>
      </c>
      <c r="J16" s="16">
        <v>120</v>
      </c>
      <c r="K16" s="16">
        <v>36</v>
      </c>
      <c r="L16" s="16">
        <v>0</v>
      </c>
      <c r="M16" s="16">
        <v>84</v>
      </c>
      <c r="N16" s="16">
        <v>117</v>
      </c>
      <c r="O16" s="16">
        <v>63</v>
      </c>
      <c r="P16" s="16">
        <v>62</v>
      </c>
      <c r="Q16" s="16">
        <v>28</v>
      </c>
      <c r="R16" s="16">
        <v>46</v>
      </c>
      <c r="S16" s="16">
        <v>41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</row>
    <row r="17" spans="1:24" x14ac:dyDescent="0.2">
      <c r="A17" s="6" t="s">
        <v>187</v>
      </c>
      <c r="B17" s="16">
        <v>18</v>
      </c>
      <c r="C17" s="16">
        <v>0.57999999999999996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1</v>
      </c>
      <c r="K17" s="16">
        <v>0</v>
      </c>
      <c r="L17" s="16">
        <v>0</v>
      </c>
      <c r="M17" s="16">
        <v>0</v>
      </c>
      <c r="N17" s="16">
        <v>0</v>
      </c>
      <c r="O17" s="16">
        <v>4</v>
      </c>
      <c r="P17" s="16">
        <v>0</v>
      </c>
      <c r="Q17" s="16">
        <v>0</v>
      </c>
      <c r="R17" s="16">
        <v>13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</row>
    <row r="18" spans="1:24" x14ac:dyDescent="0.2">
      <c r="A18" s="6" t="s">
        <v>188</v>
      </c>
      <c r="B18" s="16">
        <v>3942</v>
      </c>
      <c r="C18" s="16">
        <v>127.16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628</v>
      </c>
      <c r="U18" s="16">
        <v>1077</v>
      </c>
      <c r="V18" s="16">
        <v>534</v>
      </c>
      <c r="W18" s="16">
        <v>803</v>
      </c>
      <c r="X18" s="16">
        <v>900</v>
      </c>
    </row>
    <row r="19" spans="1:24" x14ac:dyDescent="0.2">
      <c r="A19" s="6" t="s">
        <v>189</v>
      </c>
      <c r="B19" s="16">
        <v>9710</v>
      </c>
      <c r="C19" s="16">
        <v>313.23</v>
      </c>
      <c r="D19" s="16">
        <v>732</v>
      </c>
      <c r="E19" s="16">
        <v>394</v>
      </c>
      <c r="F19" s="16">
        <v>783</v>
      </c>
      <c r="G19" s="16">
        <v>645</v>
      </c>
      <c r="H19" s="16">
        <v>370</v>
      </c>
      <c r="I19" s="16">
        <v>644</v>
      </c>
      <c r="J19" s="16">
        <v>228</v>
      </c>
      <c r="K19" s="16">
        <v>443</v>
      </c>
      <c r="L19" s="16">
        <v>492</v>
      </c>
      <c r="M19" s="16">
        <v>455</v>
      </c>
      <c r="N19" s="16">
        <v>213</v>
      </c>
      <c r="O19" s="16">
        <v>2265</v>
      </c>
      <c r="P19" s="16">
        <v>146</v>
      </c>
      <c r="Q19" s="16">
        <v>841</v>
      </c>
      <c r="R19" s="16">
        <v>545</v>
      </c>
      <c r="S19" s="16">
        <v>514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</row>
    <row r="20" spans="1:24" x14ac:dyDescent="0.2">
      <c r="A20" s="6" t="s">
        <v>190</v>
      </c>
      <c r="B20" s="16">
        <v>3639</v>
      </c>
      <c r="C20" s="16">
        <v>117.39</v>
      </c>
      <c r="D20" s="16">
        <v>124</v>
      </c>
      <c r="E20" s="16">
        <v>124</v>
      </c>
      <c r="F20" s="16">
        <v>186</v>
      </c>
      <c r="G20" s="16">
        <v>107</v>
      </c>
      <c r="H20" s="16">
        <v>31</v>
      </c>
      <c r="I20" s="16">
        <v>31</v>
      </c>
      <c r="J20" s="16">
        <v>119</v>
      </c>
      <c r="K20" s="16">
        <v>160</v>
      </c>
      <c r="L20" s="16">
        <v>397</v>
      </c>
      <c r="M20" s="16">
        <v>155</v>
      </c>
      <c r="N20" s="16">
        <v>365</v>
      </c>
      <c r="O20" s="16">
        <v>586</v>
      </c>
      <c r="P20" s="16">
        <v>497</v>
      </c>
      <c r="Q20" s="16">
        <v>182</v>
      </c>
      <c r="R20" s="16">
        <v>155</v>
      </c>
      <c r="S20" s="16">
        <v>420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</row>
    <row r="21" spans="1:24" x14ac:dyDescent="0.2">
      <c r="A21" s="6" t="s">
        <v>191</v>
      </c>
      <c r="B21" s="16">
        <v>354</v>
      </c>
      <c r="C21" s="16">
        <v>11.42</v>
      </c>
      <c r="D21" s="16">
        <v>7</v>
      </c>
      <c r="E21" s="16">
        <v>41</v>
      </c>
      <c r="F21" s="16">
        <v>0</v>
      </c>
      <c r="G21" s="16">
        <v>4</v>
      </c>
      <c r="H21" s="16">
        <v>54</v>
      </c>
      <c r="I21" s="16">
        <v>5</v>
      </c>
      <c r="J21" s="16">
        <v>56</v>
      </c>
      <c r="K21" s="16">
        <v>0</v>
      </c>
      <c r="L21" s="16">
        <v>0</v>
      </c>
      <c r="M21" s="16">
        <v>0</v>
      </c>
      <c r="N21" s="16">
        <v>72</v>
      </c>
      <c r="O21" s="16">
        <v>0</v>
      </c>
      <c r="P21" s="16">
        <v>50</v>
      </c>
      <c r="Q21" s="16">
        <v>20</v>
      </c>
      <c r="R21" s="16">
        <v>38</v>
      </c>
      <c r="S21" s="16">
        <v>7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</row>
    <row r="22" spans="1:24" x14ac:dyDescent="0.2">
      <c r="A22" s="6" t="s">
        <v>192</v>
      </c>
      <c r="B22" s="16">
        <v>-35</v>
      </c>
      <c r="C22" s="16">
        <v>-1.1299999999999999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-35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</row>
    <row r="23" spans="1:24" x14ac:dyDescent="0.2">
      <c r="A23" s="6" t="s">
        <v>193</v>
      </c>
      <c r="B23" s="17">
        <v>29914</v>
      </c>
      <c r="C23" s="17">
        <v>964.97</v>
      </c>
      <c r="D23" s="17">
        <v>2090</v>
      </c>
      <c r="E23" s="17">
        <v>1344</v>
      </c>
      <c r="F23" s="17">
        <v>1589</v>
      </c>
      <c r="G23" s="17">
        <v>1279</v>
      </c>
      <c r="H23" s="17">
        <v>1335</v>
      </c>
      <c r="I23" s="17">
        <v>1103</v>
      </c>
      <c r="J23" s="17">
        <v>818</v>
      </c>
      <c r="K23" s="17">
        <v>1215</v>
      </c>
      <c r="L23" s="17">
        <v>1104</v>
      </c>
      <c r="M23" s="17">
        <v>1392</v>
      </c>
      <c r="N23" s="17">
        <v>1735</v>
      </c>
      <c r="O23" s="17">
        <v>3951</v>
      </c>
      <c r="P23" s="17">
        <v>2127</v>
      </c>
      <c r="Q23" s="17">
        <v>1954</v>
      </c>
      <c r="R23" s="17">
        <v>1417</v>
      </c>
      <c r="S23" s="17">
        <v>1519</v>
      </c>
      <c r="T23" s="17">
        <v>628</v>
      </c>
      <c r="U23" s="17">
        <v>1077</v>
      </c>
      <c r="V23" s="17">
        <v>534</v>
      </c>
      <c r="W23" s="17">
        <v>803</v>
      </c>
      <c r="X23" s="17">
        <v>900</v>
      </c>
    </row>
    <row r="24" spans="1:24" x14ac:dyDescent="0.2">
      <c r="A24" s="4" t="s">
        <v>6</v>
      </c>
    </row>
    <row r="25" spans="1:24" x14ac:dyDescent="0.2">
      <c r="A25" s="4" t="s">
        <v>6</v>
      </c>
    </row>
  </sheetData>
  <mergeCells count="3">
    <mergeCell ref="B7:C7"/>
    <mergeCell ref="B8:C8"/>
    <mergeCell ref="B9:C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2"/>
  <sheetViews>
    <sheetView workbookViewId="0"/>
  </sheetViews>
  <sheetFormatPr defaultColWidth="9.140625" defaultRowHeight="12.75" x14ac:dyDescent="0.2"/>
  <cols>
    <col min="1" max="1" width="37.85546875" style="3" customWidth="1"/>
    <col min="2" max="2" width="14.28515625" style="3" customWidth="1"/>
    <col min="3" max="3" width="13.140625" style="3" customWidth="1"/>
    <col min="4" max="4" width="18.85546875" style="3" customWidth="1"/>
    <col min="5" max="5" width="12.7109375" style="3" customWidth="1"/>
    <col min="6" max="6" width="26.28515625" style="3" customWidth="1"/>
    <col min="7" max="7" width="19.42578125" style="3" customWidth="1"/>
    <col min="8" max="8" width="18.7109375" style="3" customWidth="1"/>
    <col min="9" max="9" width="14.85546875" style="3" customWidth="1"/>
    <col min="10" max="10" width="15.5703125" style="3" customWidth="1"/>
    <col min="11" max="11" width="12.85546875" style="3" customWidth="1"/>
    <col min="12" max="12" width="20.7109375" style="3" customWidth="1"/>
    <col min="13" max="13" width="14.140625" style="3" customWidth="1"/>
    <col min="14" max="14" width="15.7109375" style="3" customWidth="1"/>
    <col min="15" max="15" width="20.7109375" style="3" customWidth="1"/>
    <col min="16" max="16" width="13.5703125" style="3" customWidth="1"/>
    <col min="17" max="17" width="15.5703125" style="3" customWidth="1"/>
    <col min="18" max="18" width="22.28515625" style="3" customWidth="1"/>
    <col min="19" max="19" width="17.42578125" style="3" customWidth="1"/>
    <col min="20" max="20" width="16.42578125" style="3" customWidth="1"/>
    <col min="21" max="21" width="13.5703125" style="3" customWidth="1"/>
    <col min="22" max="22" width="13.140625" style="3" customWidth="1"/>
    <col min="23" max="23" width="13.85546875" style="3" customWidth="1"/>
    <col min="24" max="24" width="14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177</v>
      </c>
    </row>
    <row r="2" spans="1:24" ht="18" x14ac:dyDescent="0.25">
      <c r="A2" s="5" t="s">
        <v>194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2" t="s">
        <v>6</v>
      </c>
      <c r="C7" s="2"/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  <c r="T7" s="7" t="s">
        <v>23</v>
      </c>
      <c r="U7" s="7" t="s">
        <v>24</v>
      </c>
      <c r="V7" s="7" t="s">
        <v>25</v>
      </c>
      <c r="W7" s="7" t="s">
        <v>26</v>
      </c>
      <c r="X7" s="7" t="s">
        <v>27</v>
      </c>
    </row>
    <row r="8" spans="1:24" x14ac:dyDescent="0.2">
      <c r="A8" s="6" t="s">
        <v>6</v>
      </c>
      <c r="B8" s="2" t="s">
        <v>29</v>
      </c>
      <c r="C8" s="2"/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1" t="s">
        <v>4</v>
      </c>
      <c r="C9" s="1"/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195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196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197</v>
      </c>
      <c r="B12" s="11">
        <v>614333</v>
      </c>
      <c r="C12" s="16">
        <v>238.67</v>
      </c>
      <c r="D12" s="11">
        <v>119315</v>
      </c>
      <c r="E12" s="11">
        <v>20575</v>
      </c>
      <c r="F12" s="11">
        <v>11700</v>
      </c>
      <c r="G12" s="11">
        <v>-13780</v>
      </c>
      <c r="H12" s="11">
        <v>15480</v>
      </c>
      <c r="I12" s="11">
        <v>19995</v>
      </c>
      <c r="J12" s="11">
        <v>28390</v>
      </c>
      <c r="K12" s="11">
        <v>34100</v>
      </c>
      <c r="L12" s="11">
        <v>6975</v>
      </c>
      <c r="M12" s="11">
        <v>54650</v>
      </c>
      <c r="N12" s="11">
        <v>59350</v>
      </c>
      <c r="O12" s="11">
        <v>34875</v>
      </c>
      <c r="P12" s="11">
        <v>99273</v>
      </c>
      <c r="Q12" s="11">
        <v>43785</v>
      </c>
      <c r="R12" s="11">
        <v>31300</v>
      </c>
      <c r="S12" s="11">
        <v>48350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</row>
    <row r="13" spans="1:24" x14ac:dyDescent="0.2">
      <c r="A13" s="6" t="s">
        <v>198</v>
      </c>
      <c r="B13" s="18">
        <v>1836961</v>
      </c>
      <c r="C13" s="19">
        <v>218.63</v>
      </c>
      <c r="D13" s="18">
        <v>103928</v>
      </c>
      <c r="E13" s="18">
        <v>103891</v>
      </c>
      <c r="F13" s="18">
        <v>112318</v>
      </c>
      <c r="G13" s="18">
        <v>133565</v>
      </c>
      <c r="H13" s="18">
        <v>136782</v>
      </c>
      <c r="I13" s="18">
        <v>58458</v>
      </c>
      <c r="J13" s="18">
        <v>42321</v>
      </c>
      <c r="K13" s="18">
        <v>79662</v>
      </c>
      <c r="L13" s="18">
        <v>44138</v>
      </c>
      <c r="M13" s="18">
        <v>92837</v>
      </c>
      <c r="N13" s="18">
        <v>168204</v>
      </c>
      <c r="O13" s="18">
        <v>197014</v>
      </c>
      <c r="P13" s="18">
        <v>198147</v>
      </c>
      <c r="Q13" s="18">
        <v>163753</v>
      </c>
      <c r="R13" s="18">
        <v>116196</v>
      </c>
      <c r="S13" s="18">
        <v>85749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</row>
    <row r="14" spans="1:24" x14ac:dyDescent="0.2">
      <c r="A14" s="6" t="s">
        <v>199</v>
      </c>
      <c r="B14" s="12">
        <v>783153</v>
      </c>
      <c r="C14" s="20">
        <v>597.83000000000004</v>
      </c>
      <c r="D14" s="12">
        <v>124806</v>
      </c>
      <c r="E14" s="12">
        <v>107978</v>
      </c>
      <c r="F14" s="12">
        <v>0</v>
      </c>
      <c r="G14" s="12">
        <v>13198</v>
      </c>
      <c r="H14" s="12">
        <v>117695</v>
      </c>
      <c r="I14" s="12">
        <v>34121</v>
      </c>
      <c r="J14" s="12">
        <v>79240</v>
      </c>
      <c r="K14" s="12">
        <v>25021</v>
      </c>
      <c r="L14" s="12">
        <v>0</v>
      </c>
      <c r="M14" s="12">
        <v>61116</v>
      </c>
      <c r="N14" s="12">
        <v>65925</v>
      </c>
      <c r="O14" s="12">
        <v>39408</v>
      </c>
      <c r="P14" s="12">
        <v>36469</v>
      </c>
      <c r="Q14" s="12">
        <v>19987</v>
      </c>
      <c r="R14" s="12">
        <v>29820</v>
      </c>
      <c r="S14" s="12">
        <v>28367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</row>
    <row r="15" spans="1:24" x14ac:dyDescent="0.2">
      <c r="A15" s="6" t="s">
        <v>200</v>
      </c>
      <c r="B15" s="11">
        <v>6378</v>
      </c>
      <c r="C15" s="16">
        <v>354.35</v>
      </c>
      <c r="D15" s="11">
        <v>109</v>
      </c>
      <c r="E15" s="11">
        <v>-789</v>
      </c>
      <c r="F15" s="11">
        <v>0</v>
      </c>
      <c r="G15" s="11">
        <v>0</v>
      </c>
      <c r="H15" s="11">
        <v>-93</v>
      </c>
      <c r="I15" s="11">
        <v>-57</v>
      </c>
      <c r="J15" s="11">
        <v>156</v>
      </c>
      <c r="K15" s="11">
        <v>-21</v>
      </c>
      <c r="L15" s="11">
        <v>0</v>
      </c>
      <c r="M15" s="11">
        <v>-55</v>
      </c>
      <c r="N15" s="11">
        <v>-18</v>
      </c>
      <c r="O15" s="11">
        <v>2106</v>
      </c>
      <c r="P15" s="11">
        <v>-8</v>
      </c>
      <c r="Q15" s="11">
        <v>298</v>
      </c>
      <c r="R15" s="11">
        <v>4751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</row>
    <row r="16" spans="1:24" x14ac:dyDescent="0.2">
      <c r="A16" s="6" t="s">
        <v>201</v>
      </c>
      <c r="B16" s="11">
        <v>102302</v>
      </c>
      <c r="C16" s="16">
        <v>0</v>
      </c>
      <c r="D16" s="11">
        <v>5885</v>
      </c>
      <c r="E16" s="11">
        <v>8626</v>
      </c>
      <c r="F16" s="11">
        <v>0</v>
      </c>
      <c r="G16" s="11">
        <v>17896</v>
      </c>
      <c r="H16" s="11">
        <v>2378</v>
      </c>
      <c r="I16" s="11">
        <v>8898</v>
      </c>
      <c r="J16" s="11">
        <v>9629</v>
      </c>
      <c r="K16" s="11">
        <v>1571</v>
      </c>
      <c r="L16" s="11">
        <v>0</v>
      </c>
      <c r="M16" s="11">
        <v>3355</v>
      </c>
      <c r="N16" s="11">
        <v>1796</v>
      </c>
      <c r="O16" s="11">
        <v>5163</v>
      </c>
      <c r="P16" s="11">
        <v>2708</v>
      </c>
      <c r="Q16" s="11">
        <v>22229</v>
      </c>
      <c r="R16" s="11">
        <v>7030</v>
      </c>
      <c r="S16" s="11">
        <v>5138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</row>
    <row r="17" spans="1:24" x14ac:dyDescent="0.2">
      <c r="A17" s="6" t="s">
        <v>202</v>
      </c>
      <c r="B17" s="11">
        <v>502663</v>
      </c>
      <c r="C17" s="16">
        <v>127.51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113064</v>
      </c>
      <c r="U17" s="11">
        <v>125006</v>
      </c>
      <c r="V17" s="11">
        <v>54518</v>
      </c>
      <c r="W17" s="11">
        <v>130098</v>
      </c>
      <c r="X17" s="11">
        <v>79977</v>
      </c>
    </row>
    <row r="18" spans="1:24" x14ac:dyDescent="0.2">
      <c r="A18" s="6" t="s">
        <v>203</v>
      </c>
      <c r="B18" s="18">
        <v>2916112</v>
      </c>
      <c r="C18" s="19">
        <v>218.45</v>
      </c>
      <c r="D18" s="18">
        <v>174033</v>
      </c>
      <c r="E18" s="18">
        <v>108718</v>
      </c>
      <c r="F18" s="18">
        <v>189912</v>
      </c>
      <c r="G18" s="18">
        <v>173541</v>
      </c>
      <c r="H18" s="18">
        <v>91568</v>
      </c>
      <c r="I18" s="18">
        <v>146144</v>
      </c>
      <c r="J18" s="18">
        <v>73333</v>
      </c>
      <c r="K18" s="18">
        <v>113603</v>
      </c>
      <c r="L18" s="18">
        <v>204914</v>
      </c>
      <c r="M18" s="18">
        <v>122543</v>
      </c>
      <c r="N18" s="18">
        <v>136165</v>
      </c>
      <c r="O18" s="18">
        <v>640138</v>
      </c>
      <c r="P18" s="18">
        <v>135976</v>
      </c>
      <c r="Q18" s="18">
        <v>238972</v>
      </c>
      <c r="R18" s="18">
        <v>157287</v>
      </c>
      <c r="S18" s="18">
        <v>209265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</row>
    <row r="19" spans="1:24" x14ac:dyDescent="0.2">
      <c r="A19" s="6" t="s">
        <v>204</v>
      </c>
      <c r="B19" s="13">
        <v>196860</v>
      </c>
      <c r="C19" s="21">
        <v>197179.29</v>
      </c>
      <c r="D19" s="13">
        <v>3789</v>
      </c>
      <c r="E19" s="13">
        <v>27463</v>
      </c>
      <c r="F19" s="13">
        <v>0</v>
      </c>
      <c r="G19" s="13">
        <v>2536</v>
      </c>
      <c r="H19" s="13">
        <v>28485</v>
      </c>
      <c r="I19" s="13">
        <v>2948</v>
      </c>
      <c r="J19" s="13">
        <v>10341</v>
      </c>
      <c r="K19" s="13">
        <v>0</v>
      </c>
      <c r="L19" s="13">
        <v>0</v>
      </c>
      <c r="M19" s="13">
        <v>0</v>
      </c>
      <c r="N19" s="13">
        <v>43800</v>
      </c>
      <c r="O19" s="13">
        <v>0</v>
      </c>
      <c r="P19" s="13">
        <v>32457</v>
      </c>
      <c r="Q19" s="13">
        <v>17473</v>
      </c>
      <c r="R19" s="13">
        <v>23021</v>
      </c>
      <c r="S19" s="13">
        <v>4549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</row>
    <row r="20" spans="1:24" x14ac:dyDescent="0.2">
      <c r="A20" s="6" t="s">
        <v>205</v>
      </c>
      <c r="B20" s="14">
        <v>6958762</v>
      </c>
      <c r="C20" s="17">
        <v>232.63</v>
      </c>
      <c r="D20" s="14">
        <v>531865</v>
      </c>
      <c r="E20" s="14">
        <v>376462</v>
      </c>
      <c r="F20" s="14">
        <v>313930</v>
      </c>
      <c r="G20" s="14">
        <v>326956</v>
      </c>
      <c r="H20" s="14">
        <v>392295</v>
      </c>
      <c r="I20" s="14">
        <v>270507</v>
      </c>
      <c r="J20" s="14">
        <v>243410</v>
      </c>
      <c r="K20" s="14">
        <v>253936</v>
      </c>
      <c r="L20" s="14">
        <v>256027</v>
      </c>
      <c r="M20" s="14">
        <v>334446</v>
      </c>
      <c r="N20" s="14">
        <v>475222</v>
      </c>
      <c r="O20" s="14">
        <v>918704</v>
      </c>
      <c r="P20" s="14">
        <v>505022</v>
      </c>
      <c r="Q20" s="14">
        <v>506497</v>
      </c>
      <c r="R20" s="14">
        <v>369405</v>
      </c>
      <c r="S20" s="14">
        <v>381418</v>
      </c>
      <c r="T20" s="14">
        <v>113064</v>
      </c>
      <c r="U20" s="14">
        <v>125006</v>
      </c>
      <c r="V20" s="14">
        <v>54518</v>
      </c>
      <c r="W20" s="14">
        <v>130098</v>
      </c>
      <c r="X20" s="14">
        <v>79977</v>
      </c>
    </row>
    <row r="21" spans="1:24" x14ac:dyDescent="0.2">
      <c r="A21" s="4" t="s">
        <v>6</v>
      </c>
    </row>
    <row r="22" spans="1:24" x14ac:dyDescent="0.2">
      <c r="A22" s="4" t="s">
        <v>6</v>
      </c>
    </row>
  </sheetData>
  <mergeCells count="3">
    <mergeCell ref="B7:C7"/>
    <mergeCell ref="B8:C8"/>
    <mergeCell ref="B9:C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1"/>
  <sheetViews>
    <sheetView workbookViewId="0"/>
  </sheetViews>
  <sheetFormatPr defaultColWidth="9.140625" defaultRowHeight="12.75" x14ac:dyDescent="0.2"/>
  <cols>
    <col min="1" max="1" width="48.14062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3.5703125" style="3" customWidth="1"/>
    <col min="20" max="20" width="9.140625" style="3" customWidth="1"/>
    <col min="21" max="16384" width="9.140625" style="3"/>
  </cols>
  <sheetData>
    <row r="1" spans="1:19" ht="18" x14ac:dyDescent="0.25">
      <c r="A1" s="5" t="s">
        <v>0</v>
      </c>
    </row>
    <row r="2" spans="1:19" ht="18" x14ac:dyDescent="0.25">
      <c r="A2" s="5" t="s">
        <v>206</v>
      </c>
    </row>
    <row r="3" spans="1:19" ht="18" x14ac:dyDescent="0.25">
      <c r="A3" s="5" t="s">
        <v>2</v>
      </c>
    </row>
    <row r="4" spans="1:19" x14ac:dyDescent="0.2">
      <c r="A4" s="6" t="s">
        <v>3</v>
      </c>
      <c r="B4" s="6" t="s">
        <v>4</v>
      </c>
    </row>
    <row r="5" spans="1:19" x14ac:dyDescent="0.2">
      <c r="A5" s="6" t="s">
        <v>5</v>
      </c>
      <c r="B5" s="6" t="s">
        <v>0</v>
      </c>
    </row>
    <row r="6" spans="1:19" x14ac:dyDescent="0.2">
      <c r="A6" s="4" t="s">
        <v>6</v>
      </c>
    </row>
    <row r="7" spans="1:19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24</v>
      </c>
    </row>
    <row r="8" spans="1:19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</row>
    <row r="9" spans="1:19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</row>
    <row r="10" spans="1:19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</row>
    <row r="11" spans="1:19" x14ac:dyDescent="0.2">
      <c r="A11" s="6" t="s">
        <v>207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</row>
    <row r="12" spans="1:19" x14ac:dyDescent="0.2">
      <c r="A12" s="6" t="s">
        <v>208</v>
      </c>
      <c r="B12" s="11">
        <v>-113</v>
      </c>
      <c r="C12" s="11">
        <v>0</v>
      </c>
      <c r="D12" s="11">
        <v>0</v>
      </c>
      <c r="E12" s="11">
        <v>0</v>
      </c>
      <c r="F12" s="11">
        <v>0</v>
      </c>
      <c r="G12" s="11">
        <v>-113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</row>
    <row r="13" spans="1:19" x14ac:dyDescent="0.2">
      <c r="A13" s="6" t="s">
        <v>209</v>
      </c>
      <c r="B13" s="11">
        <v>1853</v>
      </c>
      <c r="C13" s="11">
        <v>40</v>
      </c>
      <c r="D13" s="11">
        <v>0</v>
      </c>
      <c r="E13" s="11">
        <v>0</v>
      </c>
      <c r="F13" s="11">
        <v>0</v>
      </c>
      <c r="G13" s="11">
        <v>0</v>
      </c>
      <c r="H13" s="11">
        <v>210</v>
      </c>
      <c r="I13" s="11">
        <v>74</v>
      </c>
      <c r="J13" s="11">
        <v>0</v>
      </c>
      <c r="K13" s="11">
        <v>0</v>
      </c>
      <c r="L13" s="11">
        <v>928</v>
      </c>
      <c r="M13" s="11">
        <v>0</v>
      </c>
      <c r="N13" s="11">
        <v>61</v>
      </c>
      <c r="O13" s="11">
        <v>0</v>
      </c>
      <c r="P13" s="11">
        <v>0</v>
      </c>
      <c r="Q13" s="11">
        <v>272</v>
      </c>
      <c r="R13" s="11">
        <v>268</v>
      </c>
      <c r="S13" s="11">
        <v>0</v>
      </c>
    </row>
    <row r="14" spans="1:19" x14ac:dyDescent="0.2">
      <c r="A14" s="6" t="s">
        <v>210</v>
      </c>
      <c r="B14" s="11">
        <v>80458</v>
      </c>
      <c r="C14" s="11">
        <v>13020</v>
      </c>
      <c r="D14" s="11">
        <v>12524</v>
      </c>
      <c r="E14" s="11">
        <v>0</v>
      </c>
      <c r="F14" s="11">
        <v>1674</v>
      </c>
      <c r="G14" s="11">
        <v>13640</v>
      </c>
      <c r="H14" s="11">
        <v>3720</v>
      </c>
      <c r="I14" s="11">
        <v>7440</v>
      </c>
      <c r="J14" s="11">
        <v>2160</v>
      </c>
      <c r="K14" s="11">
        <v>0</v>
      </c>
      <c r="L14" s="11">
        <v>5040</v>
      </c>
      <c r="M14" s="11">
        <v>7020</v>
      </c>
      <c r="N14" s="11">
        <v>3780</v>
      </c>
      <c r="O14" s="11">
        <v>3720</v>
      </c>
      <c r="P14" s="11">
        <v>1680</v>
      </c>
      <c r="Q14" s="11">
        <v>2760</v>
      </c>
      <c r="R14" s="11">
        <v>2280</v>
      </c>
      <c r="S14" s="11">
        <v>0</v>
      </c>
    </row>
    <row r="15" spans="1:19" x14ac:dyDescent="0.2">
      <c r="A15" s="6" t="s">
        <v>211</v>
      </c>
      <c r="B15" s="11">
        <v>17724</v>
      </c>
      <c r="C15" s="11">
        <v>434</v>
      </c>
      <c r="D15" s="11">
        <v>2542</v>
      </c>
      <c r="E15" s="11">
        <v>0</v>
      </c>
      <c r="F15" s="11">
        <v>0</v>
      </c>
      <c r="G15" s="11">
        <v>3214</v>
      </c>
      <c r="H15" s="11">
        <v>310</v>
      </c>
      <c r="I15" s="11">
        <v>1364</v>
      </c>
      <c r="J15" s="11">
        <v>0</v>
      </c>
      <c r="K15" s="11">
        <v>0</v>
      </c>
      <c r="L15" s="11">
        <v>0</v>
      </c>
      <c r="M15" s="11">
        <v>3090</v>
      </c>
      <c r="N15" s="11">
        <v>240</v>
      </c>
      <c r="O15" s="11">
        <v>3000</v>
      </c>
      <c r="P15" s="11">
        <v>1200</v>
      </c>
      <c r="Q15" s="11">
        <v>1910</v>
      </c>
      <c r="R15" s="11">
        <v>420</v>
      </c>
      <c r="S15" s="11">
        <v>0</v>
      </c>
    </row>
    <row r="16" spans="1:19" x14ac:dyDescent="0.2">
      <c r="A16" s="6" t="s">
        <v>212</v>
      </c>
      <c r="B16" s="11">
        <v>85558</v>
      </c>
      <c r="C16" s="11">
        <v>4544</v>
      </c>
      <c r="D16" s="11">
        <v>6950</v>
      </c>
      <c r="E16" s="11">
        <v>0</v>
      </c>
      <c r="F16" s="11">
        <v>15119</v>
      </c>
      <c r="G16" s="11">
        <v>2294</v>
      </c>
      <c r="H16" s="11">
        <v>5729</v>
      </c>
      <c r="I16" s="11">
        <v>8416</v>
      </c>
      <c r="J16" s="11">
        <v>1400</v>
      </c>
      <c r="K16" s="11">
        <v>0</v>
      </c>
      <c r="L16" s="11">
        <v>1199</v>
      </c>
      <c r="M16" s="11">
        <v>1436</v>
      </c>
      <c r="N16" s="11">
        <v>4948</v>
      </c>
      <c r="O16" s="11">
        <v>2296</v>
      </c>
      <c r="P16" s="11">
        <v>19909</v>
      </c>
      <c r="Q16" s="11">
        <v>6785</v>
      </c>
      <c r="R16" s="11">
        <v>4535</v>
      </c>
      <c r="S16" s="11">
        <v>0</v>
      </c>
    </row>
    <row r="17" spans="1:19" x14ac:dyDescent="0.2">
      <c r="A17" s="6" t="s">
        <v>213</v>
      </c>
      <c r="B17" s="11">
        <v>789</v>
      </c>
      <c r="C17" s="11">
        <v>170</v>
      </c>
      <c r="D17" s="11">
        <v>0</v>
      </c>
      <c r="E17" s="11">
        <v>0</v>
      </c>
      <c r="F17" s="11">
        <v>59</v>
      </c>
      <c r="G17" s="11">
        <v>0</v>
      </c>
      <c r="H17" s="11">
        <v>348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90</v>
      </c>
      <c r="Q17" s="11">
        <v>0</v>
      </c>
      <c r="R17" s="11">
        <v>120</v>
      </c>
      <c r="S17" s="11">
        <v>0</v>
      </c>
    </row>
    <row r="18" spans="1:19" x14ac:dyDescent="0.2">
      <c r="A18" s="6" t="s">
        <v>214</v>
      </c>
      <c r="B18" s="18">
        <v>99101</v>
      </c>
      <c r="C18" s="18">
        <v>4366</v>
      </c>
      <c r="D18" s="18">
        <v>19545</v>
      </c>
      <c r="E18" s="18">
        <v>-688</v>
      </c>
      <c r="F18" s="18">
        <v>3245</v>
      </c>
      <c r="G18" s="18">
        <v>11812</v>
      </c>
      <c r="H18" s="18">
        <v>2516</v>
      </c>
      <c r="I18" s="18">
        <v>7094</v>
      </c>
      <c r="J18" s="18">
        <v>7545</v>
      </c>
      <c r="K18" s="18">
        <v>38</v>
      </c>
      <c r="L18" s="18">
        <v>2937</v>
      </c>
      <c r="M18" s="18">
        <v>5662</v>
      </c>
      <c r="N18" s="18">
        <v>5097</v>
      </c>
      <c r="O18" s="18">
        <v>6321</v>
      </c>
      <c r="P18" s="18">
        <v>7921</v>
      </c>
      <c r="Q18" s="18">
        <v>7571</v>
      </c>
      <c r="R18" s="18">
        <v>7849</v>
      </c>
      <c r="S18" s="18">
        <v>269</v>
      </c>
    </row>
    <row r="19" spans="1:19" x14ac:dyDescent="0.2">
      <c r="A19" s="6" t="s">
        <v>215</v>
      </c>
      <c r="B19" s="14">
        <v>285370</v>
      </c>
      <c r="C19" s="14">
        <v>22574</v>
      </c>
      <c r="D19" s="14">
        <v>41561</v>
      </c>
      <c r="E19" s="14">
        <v>-688</v>
      </c>
      <c r="F19" s="14">
        <v>20097</v>
      </c>
      <c r="G19" s="14">
        <v>30847</v>
      </c>
      <c r="H19" s="14">
        <v>12833</v>
      </c>
      <c r="I19" s="14">
        <v>24388</v>
      </c>
      <c r="J19" s="14">
        <v>11105</v>
      </c>
      <c r="K19" s="14">
        <v>38</v>
      </c>
      <c r="L19" s="14">
        <v>10104</v>
      </c>
      <c r="M19" s="14">
        <v>17208</v>
      </c>
      <c r="N19" s="14">
        <v>14126</v>
      </c>
      <c r="O19" s="14">
        <v>15337</v>
      </c>
      <c r="P19" s="14">
        <v>30800</v>
      </c>
      <c r="Q19" s="14">
        <v>19298</v>
      </c>
      <c r="R19" s="14">
        <v>15472</v>
      </c>
      <c r="S19" s="14">
        <v>269</v>
      </c>
    </row>
    <row r="20" spans="1:19" x14ac:dyDescent="0.2">
      <c r="A20" s="4" t="s">
        <v>6</v>
      </c>
    </row>
    <row r="21" spans="1:19" x14ac:dyDescent="0.2">
      <c r="A21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4"/>
  <sheetViews>
    <sheetView workbookViewId="0"/>
  </sheetViews>
  <sheetFormatPr defaultColWidth="9.140625" defaultRowHeight="12.75" x14ac:dyDescent="0.2"/>
  <cols>
    <col min="1" max="1" width="48.14062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3.5703125" style="3" customWidth="1"/>
    <col min="20" max="20" width="9.140625" style="3" customWidth="1"/>
    <col min="21" max="16384" width="9.140625" style="3"/>
  </cols>
  <sheetData>
    <row r="1" spans="1:19" ht="18" x14ac:dyDescent="0.25">
      <c r="A1" s="5" t="s">
        <v>0</v>
      </c>
    </row>
    <row r="2" spans="1:19" ht="18" x14ac:dyDescent="0.25">
      <c r="A2" s="5" t="s">
        <v>216</v>
      </c>
    </row>
    <row r="3" spans="1:19" ht="18" x14ac:dyDescent="0.25">
      <c r="A3" s="5" t="s">
        <v>2</v>
      </c>
    </row>
    <row r="4" spans="1:19" x14ac:dyDescent="0.2">
      <c r="A4" s="6" t="s">
        <v>3</v>
      </c>
      <c r="B4" s="6" t="s">
        <v>4</v>
      </c>
    </row>
    <row r="5" spans="1:19" x14ac:dyDescent="0.2">
      <c r="A5" s="6" t="s">
        <v>5</v>
      </c>
      <c r="B5" s="6" t="s">
        <v>0</v>
      </c>
    </row>
    <row r="6" spans="1:19" x14ac:dyDescent="0.2">
      <c r="A6" s="4" t="s">
        <v>6</v>
      </c>
    </row>
    <row r="7" spans="1:19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24</v>
      </c>
    </row>
    <row r="8" spans="1:19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</row>
    <row r="9" spans="1:19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</row>
    <row r="10" spans="1:19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</row>
    <row r="11" spans="1:19" x14ac:dyDescent="0.2">
      <c r="A11" s="6" t="s">
        <v>207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</row>
    <row r="12" spans="1:19" x14ac:dyDescent="0.2">
      <c r="A12" s="6" t="s">
        <v>208</v>
      </c>
      <c r="B12" s="6" t="s">
        <v>72</v>
      </c>
      <c r="C12" s="6" t="s">
        <v>72</v>
      </c>
      <c r="D12" s="6" t="s">
        <v>72</v>
      </c>
      <c r="E12" s="6" t="s">
        <v>72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</row>
    <row r="13" spans="1:19" x14ac:dyDescent="0.2">
      <c r="A13" s="6" t="s">
        <v>217</v>
      </c>
      <c r="B13" s="11">
        <v>-45</v>
      </c>
      <c r="C13" s="11">
        <v>0</v>
      </c>
      <c r="D13" s="11">
        <v>0</v>
      </c>
      <c r="E13" s="11">
        <v>0</v>
      </c>
      <c r="F13" s="11">
        <v>0</v>
      </c>
      <c r="G13" s="11">
        <v>-45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</row>
    <row r="14" spans="1:19" x14ac:dyDescent="0.2">
      <c r="A14" s="6" t="s">
        <v>218</v>
      </c>
      <c r="B14" s="11">
        <v>-23</v>
      </c>
      <c r="C14" s="11">
        <v>0</v>
      </c>
      <c r="D14" s="11">
        <v>0</v>
      </c>
      <c r="E14" s="11">
        <v>0</v>
      </c>
      <c r="F14" s="11">
        <v>0</v>
      </c>
      <c r="G14" s="11">
        <v>-23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</row>
    <row r="15" spans="1:19" x14ac:dyDescent="0.2">
      <c r="A15" s="6" t="s">
        <v>219</v>
      </c>
      <c r="B15" s="11">
        <v>-45</v>
      </c>
      <c r="C15" s="11">
        <v>0</v>
      </c>
      <c r="D15" s="11">
        <v>0</v>
      </c>
      <c r="E15" s="11">
        <v>0</v>
      </c>
      <c r="F15" s="11">
        <v>0</v>
      </c>
      <c r="G15" s="11">
        <v>-45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</row>
    <row r="16" spans="1:19" x14ac:dyDescent="0.2">
      <c r="A16" s="6" t="s">
        <v>220</v>
      </c>
      <c r="B16" s="13">
        <v>-113</v>
      </c>
      <c r="C16" s="13">
        <v>0</v>
      </c>
      <c r="D16" s="13">
        <v>0</v>
      </c>
      <c r="E16" s="13">
        <v>0</v>
      </c>
      <c r="F16" s="13">
        <v>0</v>
      </c>
      <c r="G16" s="13">
        <v>-113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</row>
    <row r="17" spans="1:19" x14ac:dyDescent="0.2">
      <c r="A17" s="6" t="s">
        <v>209</v>
      </c>
      <c r="B17" s="15" t="s">
        <v>72</v>
      </c>
      <c r="C17" s="15" t="s">
        <v>72</v>
      </c>
      <c r="D17" s="15" t="s">
        <v>72</v>
      </c>
      <c r="E17" s="15" t="s">
        <v>72</v>
      </c>
      <c r="F17" s="15" t="s">
        <v>72</v>
      </c>
      <c r="G17" s="15" t="s">
        <v>72</v>
      </c>
      <c r="H17" s="15" t="s">
        <v>72</v>
      </c>
      <c r="I17" s="15" t="s">
        <v>72</v>
      </c>
      <c r="J17" s="15" t="s">
        <v>72</v>
      </c>
      <c r="K17" s="15" t="s">
        <v>72</v>
      </c>
      <c r="L17" s="15" t="s">
        <v>72</v>
      </c>
      <c r="M17" s="15" t="s">
        <v>72</v>
      </c>
      <c r="N17" s="15" t="s">
        <v>72</v>
      </c>
      <c r="O17" s="15" t="s">
        <v>72</v>
      </c>
      <c r="P17" s="15" t="s">
        <v>72</v>
      </c>
      <c r="Q17" s="15" t="s">
        <v>72</v>
      </c>
      <c r="R17" s="15" t="s">
        <v>72</v>
      </c>
      <c r="S17" s="15" t="s">
        <v>72</v>
      </c>
    </row>
    <row r="18" spans="1:19" x14ac:dyDescent="0.2">
      <c r="A18" s="6" t="s">
        <v>217</v>
      </c>
      <c r="B18" s="11">
        <v>1063</v>
      </c>
      <c r="C18" s="11">
        <v>40</v>
      </c>
      <c r="D18" s="11">
        <v>0</v>
      </c>
      <c r="E18" s="11">
        <v>0</v>
      </c>
      <c r="F18" s="11">
        <v>0</v>
      </c>
      <c r="G18" s="11">
        <v>0</v>
      </c>
      <c r="H18" s="11">
        <v>119</v>
      </c>
      <c r="I18" s="11">
        <v>45</v>
      </c>
      <c r="J18" s="11">
        <v>0</v>
      </c>
      <c r="K18" s="11">
        <v>0</v>
      </c>
      <c r="L18" s="11">
        <v>780</v>
      </c>
      <c r="M18" s="11">
        <v>0</v>
      </c>
      <c r="N18" s="11">
        <v>0</v>
      </c>
      <c r="O18" s="11">
        <v>0</v>
      </c>
      <c r="P18" s="11">
        <v>0</v>
      </c>
      <c r="Q18" s="11">
        <v>80</v>
      </c>
      <c r="R18" s="11">
        <v>0</v>
      </c>
      <c r="S18" s="11">
        <v>0</v>
      </c>
    </row>
    <row r="19" spans="1:19" x14ac:dyDescent="0.2">
      <c r="A19" s="6" t="s">
        <v>218</v>
      </c>
      <c r="B19" s="11">
        <v>671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91</v>
      </c>
      <c r="I19" s="11">
        <v>29</v>
      </c>
      <c r="J19" s="11">
        <v>0</v>
      </c>
      <c r="K19" s="11">
        <v>0</v>
      </c>
      <c r="L19" s="11">
        <v>90</v>
      </c>
      <c r="M19" s="11">
        <v>0</v>
      </c>
      <c r="N19" s="11">
        <v>0</v>
      </c>
      <c r="O19" s="11">
        <v>0</v>
      </c>
      <c r="P19" s="11">
        <v>0</v>
      </c>
      <c r="Q19" s="11">
        <v>192</v>
      </c>
      <c r="R19" s="11">
        <v>268</v>
      </c>
      <c r="S19" s="11">
        <v>0</v>
      </c>
    </row>
    <row r="20" spans="1:19" x14ac:dyDescent="0.2">
      <c r="A20" s="6" t="s">
        <v>219</v>
      </c>
      <c r="B20" s="11">
        <v>119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58</v>
      </c>
      <c r="M20" s="11">
        <v>0</v>
      </c>
      <c r="N20" s="11">
        <v>61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</row>
    <row r="21" spans="1:19" x14ac:dyDescent="0.2">
      <c r="A21" s="6" t="s">
        <v>221</v>
      </c>
      <c r="B21" s="13">
        <v>1853</v>
      </c>
      <c r="C21" s="13">
        <v>40</v>
      </c>
      <c r="D21" s="13">
        <v>0</v>
      </c>
      <c r="E21" s="13">
        <v>0</v>
      </c>
      <c r="F21" s="13">
        <v>0</v>
      </c>
      <c r="G21" s="13">
        <v>0</v>
      </c>
      <c r="H21" s="13">
        <v>210</v>
      </c>
      <c r="I21" s="13">
        <v>74</v>
      </c>
      <c r="J21" s="13">
        <v>0</v>
      </c>
      <c r="K21" s="13">
        <v>0</v>
      </c>
      <c r="L21" s="13">
        <v>928</v>
      </c>
      <c r="M21" s="13">
        <v>0</v>
      </c>
      <c r="N21" s="13">
        <v>61</v>
      </c>
      <c r="O21" s="13">
        <v>0</v>
      </c>
      <c r="P21" s="13">
        <v>0</v>
      </c>
      <c r="Q21" s="13">
        <v>272</v>
      </c>
      <c r="R21" s="13">
        <v>268</v>
      </c>
      <c r="S21" s="13">
        <v>0</v>
      </c>
    </row>
    <row r="22" spans="1:19" x14ac:dyDescent="0.2">
      <c r="A22" s="6" t="s">
        <v>210</v>
      </c>
      <c r="B22" s="15" t="s">
        <v>72</v>
      </c>
      <c r="C22" s="15" t="s">
        <v>72</v>
      </c>
      <c r="D22" s="15" t="s">
        <v>72</v>
      </c>
      <c r="E22" s="15" t="s">
        <v>72</v>
      </c>
      <c r="F22" s="15" t="s">
        <v>72</v>
      </c>
      <c r="G22" s="15" t="s">
        <v>72</v>
      </c>
      <c r="H22" s="15" t="s">
        <v>72</v>
      </c>
      <c r="I22" s="15" t="s">
        <v>72</v>
      </c>
      <c r="J22" s="15" t="s">
        <v>72</v>
      </c>
      <c r="K22" s="15" t="s">
        <v>72</v>
      </c>
      <c r="L22" s="15" t="s">
        <v>72</v>
      </c>
      <c r="M22" s="15" t="s">
        <v>72</v>
      </c>
      <c r="N22" s="15" t="s">
        <v>72</v>
      </c>
      <c r="O22" s="15" t="s">
        <v>72</v>
      </c>
      <c r="P22" s="15" t="s">
        <v>72</v>
      </c>
      <c r="Q22" s="15" t="s">
        <v>72</v>
      </c>
      <c r="R22" s="15" t="s">
        <v>72</v>
      </c>
      <c r="S22" s="15" t="s">
        <v>72</v>
      </c>
    </row>
    <row r="23" spans="1:19" x14ac:dyDescent="0.2">
      <c r="A23" s="6" t="s">
        <v>217</v>
      </c>
      <c r="B23" s="11">
        <v>34400</v>
      </c>
      <c r="C23" s="11">
        <v>5262</v>
      </c>
      <c r="D23" s="11">
        <v>5492</v>
      </c>
      <c r="E23" s="11">
        <v>0</v>
      </c>
      <c r="F23" s="11">
        <v>933</v>
      </c>
      <c r="G23" s="11">
        <v>5572</v>
      </c>
      <c r="H23" s="11">
        <v>1968</v>
      </c>
      <c r="I23" s="11">
        <v>3513</v>
      </c>
      <c r="J23" s="11">
        <v>620</v>
      </c>
      <c r="K23" s="11">
        <v>0</v>
      </c>
      <c r="L23" s="11">
        <v>3126</v>
      </c>
      <c r="M23" s="11">
        <v>2313</v>
      </c>
      <c r="N23" s="11">
        <v>1165</v>
      </c>
      <c r="O23" s="11">
        <v>1109</v>
      </c>
      <c r="P23" s="11">
        <v>811</v>
      </c>
      <c r="Q23" s="11">
        <v>1038</v>
      </c>
      <c r="R23" s="11">
        <v>1477</v>
      </c>
      <c r="S23" s="11">
        <v>0</v>
      </c>
    </row>
    <row r="24" spans="1:19" x14ac:dyDescent="0.2">
      <c r="A24" s="6" t="s">
        <v>218</v>
      </c>
      <c r="B24" s="11">
        <v>40096</v>
      </c>
      <c r="C24" s="11">
        <v>7758</v>
      </c>
      <c r="D24" s="11">
        <v>6214</v>
      </c>
      <c r="E24" s="11">
        <v>0</v>
      </c>
      <c r="F24" s="11">
        <v>662</v>
      </c>
      <c r="G24" s="11">
        <v>5084</v>
      </c>
      <c r="H24" s="11">
        <v>1752</v>
      </c>
      <c r="I24" s="11">
        <v>3820</v>
      </c>
      <c r="J24" s="11">
        <v>1540</v>
      </c>
      <c r="K24" s="11">
        <v>0</v>
      </c>
      <c r="L24" s="11">
        <v>1814</v>
      </c>
      <c r="M24" s="11">
        <v>3925</v>
      </c>
      <c r="N24" s="11">
        <v>1920</v>
      </c>
      <c r="O24" s="11">
        <v>2536</v>
      </c>
      <c r="P24" s="11">
        <v>869</v>
      </c>
      <c r="Q24" s="11">
        <v>1401</v>
      </c>
      <c r="R24" s="11">
        <v>803</v>
      </c>
      <c r="S24" s="11">
        <v>0</v>
      </c>
    </row>
    <row r="25" spans="1:19" x14ac:dyDescent="0.2">
      <c r="A25" s="6" t="s">
        <v>219</v>
      </c>
      <c r="B25" s="11">
        <v>5962</v>
      </c>
      <c r="C25" s="11">
        <v>0</v>
      </c>
      <c r="D25" s="11">
        <v>818</v>
      </c>
      <c r="E25" s="11">
        <v>0</v>
      </c>
      <c r="F25" s="11">
        <v>79</v>
      </c>
      <c r="G25" s="11">
        <v>2984</v>
      </c>
      <c r="H25" s="11">
        <v>0</v>
      </c>
      <c r="I25" s="11">
        <v>107</v>
      </c>
      <c r="J25" s="11">
        <v>0</v>
      </c>
      <c r="K25" s="11">
        <v>0</v>
      </c>
      <c r="L25" s="11">
        <v>100</v>
      </c>
      <c r="M25" s="11">
        <v>782</v>
      </c>
      <c r="N25" s="11">
        <v>695</v>
      </c>
      <c r="O25" s="11">
        <v>75</v>
      </c>
      <c r="P25" s="11">
        <v>0</v>
      </c>
      <c r="Q25" s="11">
        <v>321</v>
      </c>
      <c r="R25" s="11">
        <v>0</v>
      </c>
      <c r="S25" s="11">
        <v>0</v>
      </c>
    </row>
    <row r="26" spans="1:19" x14ac:dyDescent="0.2">
      <c r="A26" s="6" t="s">
        <v>222</v>
      </c>
      <c r="B26" s="13">
        <v>80458</v>
      </c>
      <c r="C26" s="13">
        <v>13020</v>
      </c>
      <c r="D26" s="13">
        <v>12524</v>
      </c>
      <c r="E26" s="13">
        <v>0</v>
      </c>
      <c r="F26" s="13">
        <v>1674</v>
      </c>
      <c r="G26" s="13">
        <v>13640</v>
      </c>
      <c r="H26" s="13">
        <v>3720</v>
      </c>
      <c r="I26" s="13">
        <v>7440</v>
      </c>
      <c r="J26" s="13">
        <v>2160</v>
      </c>
      <c r="K26" s="13">
        <v>0</v>
      </c>
      <c r="L26" s="13">
        <v>5040</v>
      </c>
      <c r="M26" s="13">
        <v>7020</v>
      </c>
      <c r="N26" s="13">
        <v>3780</v>
      </c>
      <c r="O26" s="13">
        <v>3720</v>
      </c>
      <c r="P26" s="13">
        <v>1680</v>
      </c>
      <c r="Q26" s="13">
        <v>2760</v>
      </c>
      <c r="R26" s="13">
        <v>2280</v>
      </c>
      <c r="S26" s="13">
        <v>0</v>
      </c>
    </row>
    <row r="27" spans="1:19" x14ac:dyDescent="0.2">
      <c r="A27" s="6" t="s">
        <v>211</v>
      </c>
      <c r="B27" s="15" t="s">
        <v>72</v>
      </c>
      <c r="C27" s="15" t="s">
        <v>72</v>
      </c>
      <c r="D27" s="15" t="s">
        <v>72</v>
      </c>
      <c r="E27" s="15" t="s">
        <v>72</v>
      </c>
      <c r="F27" s="15" t="s">
        <v>72</v>
      </c>
      <c r="G27" s="15" t="s">
        <v>72</v>
      </c>
      <c r="H27" s="15" t="s">
        <v>72</v>
      </c>
      <c r="I27" s="15" t="s">
        <v>72</v>
      </c>
      <c r="J27" s="15" t="s">
        <v>72</v>
      </c>
      <c r="K27" s="15" t="s">
        <v>72</v>
      </c>
      <c r="L27" s="15" t="s">
        <v>72</v>
      </c>
      <c r="M27" s="15" t="s">
        <v>72</v>
      </c>
      <c r="N27" s="15" t="s">
        <v>72</v>
      </c>
      <c r="O27" s="15" t="s">
        <v>72</v>
      </c>
      <c r="P27" s="15" t="s">
        <v>72</v>
      </c>
      <c r="Q27" s="15" t="s">
        <v>72</v>
      </c>
      <c r="R27" s="15" t="s">
        <v>72</v>
      </c>
      <c r="S27" s="15" t="s">
        <v>72</v>
      </c>
    </row>
    <row r="28" spans="1:19" x14ac:dyDescent="0.2">
      <c r="A28" s="6" t="s">
        <v>217</v>
      </c>
      <c r="B28" s="11">
        <v>6307</v>
      </c>
      <c r="C28" s="11">
        <v>93</v>
      </c>
      <c r="D28" s="11">
        <v>985</v>
      </c>
      <c r="E28" s="11">
        <v>0</v>
      </c>
      <c r="F28" s="11">
        <v>0</v>
      </c>
      <c r="G28" s="11">
        <v>1186</v>
      </c>
      <c r="H28" s="11">
        <v>178</v>
      </c>
      <c r="I28" s="11">
        <v>654</v>
      </c>
      <c r="J28" s="11">
        <v>0</v>
      </c>
      <c r="K28" s="11">
        <v>0</v>
      </c>
      <c r="L28" s="11">
        <v>0</v>
      </c>
      <c r="M28" s="11">
        <v>1070</v>
      </c>
      <c r="N28" s="11">
        <v>240</v>
      </c>
      <c r="O28" s="11">
        <v>417</v>
      </c>
      <c r="P28" s="11">
        <v>582</v>
      </c>
      <c r="Q28" s="11">
        <v>777</v>
      </c>
      <c r="R28" s="11">
        <v>126</v>
      </c>
      <c r="S28" s="11">
        <v>0</v>
      </c>
    </row>
    <row r="29" spans="1:19" x14ac:dyDescent="0.2">
      <c r="A29" s="6" t="s">
        <v>218</v>
      </c>
      <c r="B29" s="11">
        <v>9694</v>
      </c>
      <c r="C29" s="11">
        <v>341</v>
      </c>
      <c r="D29" s="11">
        <v>1557</v>
      </c>
      <c r="E29" s="11">
        <v>0</v>
      </c>
      <c r="F29" s="11">
        <v>0</v>
      </c>
      <c r="G29" s="11">
        <v>1072</v>
      </c>
      <c r="H29" s="11">
        <v>132</v>
      </c>
      <c r="I29" s="11">
        <v>710</v>
      </c>
      <c r="J29" s="11">
        <v>0</v>
      </c>
      <c r="K29" s="11">
        <v>0</v>
      </c>
      <c r="L29" s="11">
        <v>0</v>
      </c>
      <c r="M29" s="11">
        <v>1450</v>
      </c>
      <c r="N29" s="11">
        <v>0</v>
      </c>
      <c r="O29" s="11">
        <v>2491</v>
      </c>
      <c r="P29" s="11">
        <v>573</v>
      </c>
      <c r="Q29" s="11">
        <v>1073</v>
      </c>
      <c r="R29" s="11">
        <v>294</v>
      </c>
      <c r="S29" s="11">
        <v>0</v>
      </c>
    </row>
    <row r="30" spans="1:19" x14ac:dyDescent="0.2">
      <c r="A30" s="6" t="s">
        <v>219</v>
      </c>
      <c r="B30" s="11">
        <v>1723</v>
      </c>
      <c r="C30" s="11">
        <v>0</v>
      </c>
      <c r="D30" s="11">
        <v>0</v>
      </c>
      <c r="E30" s="11">
        <v>0</v>
      </c>
      <c r="F30" s="11">
        <v>0</v>
      </c>
      <c r="G30" s="11">
        <v>956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570</v>
      </c>
      <c r="N30" s="11">
        <v>0</v>
      </c>
      <c r="O30" s="11">
        <v>92</v>
      </c>
      <c r="P30" s="11">
        <v>45</v>
      </c>
      <c r="Q30" s="11">
        <v>60</v>
      </c>
      <c r="R30" s="11">
        <v>0</v>
      </c>
      <c r="S30" s="11">
        <v>0</v>
      </c>
    </row>
    <row r="31" spans="1:19" x14ac:dyDescent="0.2">
      <c r="A31" s="6" t="s">
        <v>223</v>
      </c>
      <c r="B31" s="13">
        <v>17724</v>
      </c>
      <c r="C31" s="13">
        <v>434</v>
      </c>
      <c r="D31" s="13">
        <v>2542</v>
      </c>
      <c r="E31" s="13">
        <v>0</v>
      </c>
      <c r="F31" s="13">
        <v>0</v>
      </c>
      <c r="G31" s="13">
        <v>3214</v>
      </c>
      <c r="H31" s="13">
        <v>310</v>
      </c>
      <c r="I31" s="13">
        <v>1364</v>
      </c>
      <c r="J31" s="13">
        <v>0</v>
      </c>
      <c r="K31" s="13">
        <v>0</v>
      </c>
      <c r="L31" s="13">
        <v>0</v>
      </c>
      <c r="M31" s="13">
        <v>3090</v>
      </c>
      <c r="N31" s="13">
        <v>240</v>
      </c>
      <c r="O31" s="13">
        <v>3000</v>
      </c>
      <c r="P31" s="13">
        <v>1200</v>
      </c>
      <c r="Q31" s="13">
        <v>1910</v>
      </c>
      <c r="R31" s="13">
        <v>420</v>
      </c>
      <c r="S31" s="13">
        <v>0</v>
      </c>
    </row>
    <row r="32" spans="1:19" x14ac:dyDescent="0.2">
      <c r="A32" s="6" t="s">
        <v>212</v>
      </c>
      <c r="B32" s="15" t="s">
        <v>72</v>
      </c>
      <c r="C32" s="15" t="s">
        <v>72</v>
      </c>
      <c r="D32" s="15" t="s">
        <v>72</v>
      </c>
      <c r="E32" s="15" t="s">
        <v>72</v>
      </c>
      <c r="F32" s="15" t="s">
        <v>72</v>
      </c>
      <c r="G32" s="15" t="s">
        <v>72</v>
      </c>
      <c r="H32" s="15" t="s">
        <v>72</v>
      </c>
      <c r="I32" s="15" t="s">
        <v>72</v>
      </c>
      <c r="J32" s="15" t="s">
        <v>72</v>
      </c>
      <c r="K32" s="15" t="s">
        <v>72</v>
      </c>
      <c r="L32" s="15" t="s">
        <v>72</v>
      </c>
      <c r="M32" s="15" t="s">
        <v>72</v>
      </c>
      <c r="N32" s="15" t="s">
        <v>72</v>
      </c>
      <c r="O32" s="15" t="s">
        <v>72</v>
      </c>
      <c r="P32" s="15" t="s">
        <v>72</v>
      </c>
      <c r="Q32" s="15" t="s">
        <v>72</v>
      </c>
      <c r="R32" s="15" t="s">
        <v>72</v>
      </c>
      <c r="S32" s="15" t="s">
        <v>72</v>
      </c>
    </row>
    <row r="33" spans="1:19" x14ac:dyDescent="0.2">
      <c r="A33" s="6" t="s">
        <v>217</v>
      </c>
      <c r="B33" s="11">
        <v>40514</v>
      </c>
      <c r="C33" s="11">
        <v>1875</v>
      </c>
      <c r="D33" s="11">
        <v>3555</v>
      </c>
      <c r="E33" s="11">
        <v>0</v>
      </c>
      <c r="F33" s="11">
        <v>7939</v>
      </c>
      <c r="G33" s="11">
        <v>779</v>
      </c>
      <c r="H33" s="11">
        <v>3062</v>
      </c>
      <c r="I33" s="11">
        <v>4530</v>
      </c>
      <c r="J33" s="11">
        <v>0</v>
      </c>
      <c r="K33" s="11">
        <v>0</v>
      </c>
      <c r="L33" s="11">
        <v>966</v>
      </c>
      <c r="M33" s="11">
        <v>676</v>
      </c>
      <c r="N33" s="11">
        <v>2652</v>
      </c>
      <c r="O33" s="11">
        <v>165</v>
      </c>
      <c r="P33" s="11">
        <v>10025</v>
      </c>
      <c r="Q33" s="11">
        <v>3170</v>
      </c>
      <c r="R33" s="11">
        <v>1120</v>
      </c>
      <c r="S33" s="11">
        <v>0</v>
      </c>
    </row>
    <row r="34" spans="1:19" x14ac:dyDescent="0.2">
      <c r="A34" s="6" t="s">
        <v>218</v>
      </c>
      <c r="B34" s="11">
        <v>38223</v>
      </c>
      <c r="C34" s="11">
        <v>2140</v>
      </c>
      <c r="D34" s="11">
        <v>3253</v>
      </c>
      <c r="E34" s="11">
        <v>0</v>
      </c>
      <c r="F34" s="11">
        <v>5274</v>
      </c>
      <c r="G34" s="11">
        <v>490</v>
      </c>
      <c r="H34" s="11">
        <v>2351</v>
      </c>
      <c r="I34" s="11">
        <v>3571</v>
      </c>
      <c r="J34" s="11">
        <v>1400</v>
      </c>
      <c r="K34" s="11">
        <v>0</v>
      </c>
      <c r="L34" s="11">
        <v>233</v>
      </c>
      <c r="M34" s="11">
        <v>760</v>
      </c>
      <c r="N34" s="11">
        <v>1320</v>
      </c>
      <c r="O34" s="11">
        <v>2131</v>
      </c>
      <c r="P34" s="11">
        <v>8504</v>
      </c>
      <c r="Q34" s="11">
        <v>3380</v>
      </c>
      <c r="R34" s="11">
        <v>3415</v>
      </c>
      <c r="S34" s="11">
        <v>0</v>
      </c>
    </row>
    <row r="35" spans="1:19" x14ac:dyDescent="0.2">
      <c r="A35" s="6" t="s">
        <v>219</v>
      </c>
      <c r="B35" s="11">
        <v>6821</v>
      </c>
      <c r="C35" s="11">
        <v>529</v>
      </c>
      <c r="D35" s="11">
        <v>142</v>
      </c>
      <c r="E35" s="11">
        <v>0</v>
      </c>
      <c r="F35" s="11">
        <v>1906</v>
      </c>
      <c r="G35" s="11">
        <v>1025</v>
      </c>
      <c r="H35" s="11">
        <v>316</v>
      </c>
      <c r="I35" s="11">
        <v>315</v>
      </c>
      <c r="J35" s="11">
        <v>0</v>
      </c>
      <c r="K35" s="11">
        <v>0</v>
      </c>
      <c r="L35" s="11">
        <v>0</v>
      </c>
      <c r="M35" s="11">
        <v>0</v>
      </c>
      <c r="N35" s="11">
        <v>976</v>
      </c>
      <c r="O35" s="11">
        <v>0</v>
      </c>
      <c r="P35" s="11">
        <v>1380</v>
      </c>
      <c r="Q35" s="11">
        <v>235</v>
      </c>
      <c r="R35" s="11">
        <v>0</v>
      </c>
      <c r="S35" s="11">
        <v>0</v>
      </c>
    </row>
    <row r="36" spans="1:19" x14ac:dyDescent="0.2">
      <c r="A36" s="6" t="s">
        <v>224</v>
      </c>
      <c r="B36" s="13">
        <v>85558</v>
      </c>
      <c r="C36" s="13">
        <v>4544</v>
      </c>
      <c r="D36" s="13">
        <v>6950</v>
      </c>
      <c r="E36" s="13">
        <v>0</v>
      </c>
      <c r="F36" s="13">
        <v>15119</v>
      </c>
      <c r="G36" s="13">
        <v>2294</v>
      </c>
      <c r="H36" s="13">
        <v>5729</v>
      </c>
      <c r="I36" s="13">
        <v>8416</v>
      </c>
      <c r="J36" s="13">
        <v>1400</v>
      </c>
      <c r="K36" s="13">
        <v>0</v>
      </c>
      <c r="L36" s="13">
        <v>1199</v>
      </c>
      <c r="M36" s="13">
        <v>1436</v>
      </c>
      <c r="N36" s="13">
        <v>4948</v>
      </c>
      <c r="O36" s="13">
        <v>2296</v>
      </c>
      <c r="P36" s="13">
        <v>19909</v>
      </c>
      <c r="Q36" s="13">
        <v>6785</v>
      </c>
      <c r="R36" s="13">
        <v>4535</v>
      </c>
      <c r="S36" s="13">
        <v>0</v>
      </c>
    </row>
    <row r="37" spans="1:19" x14ac:dyDescent="0.2">
      <c r="A37" s="6" t="s">
        <v>213</v>
      </c>
      <c r="B37" s="15" t="s">
        <v>72</v>
      </c>
      <c r="C37" s="15" t="s">
        <v>72</v>
      </c>
      <c r="D37" s="15" t="s">
        <v>72</v>
      </c>
      <c r="E37" s="15" t="s">
        <v>72</v>
      </c>
      <c r="F37" s="15" t="s">
        <v>72</v>
      </c>
      <c r="G37" s="15" t="s">
        <v>72</v>
      </c>
      <c r="H37" s="15" t="s">
        <v>72</v>
      </c>
      <c r="I37" s="15" t="s">
        <v>72</v>
      </c>
      <c r="J37" s="15" t="s">
        <v>72</v>
      </c>
      <c r="K37" s="15" t="s">
        <v>72</v>
      </c>
      <c r="L37" s="15" t="s">
        <v>72</v>
      </c>
      <c r="M37" s="15" t="s">
        <v>72</v>
      </c>
      <c r="N37" s="15" t="s">
        <v>72</v>
      </c>
      <c r="O37" s="15" t="s">
        <v>72</v>
      </c>
      <c r="P37" s="15" t="s">
        <v>72</v>
      </c>
      <c r="Q37" s="15" t="s">
        <v>72</v>
      </c>
      <c r="R37" s="15" t="s">
        <v>72</v>
      </c>
      <c r="S37" s="15" t="s">
        <v>72</v>
      </c>
    </row>
    <row r="38" spans="1:19" x14ac:dyDescent="0.2">
      <c r="A38" s="6" t="s">
        <v>217</v>
      </c>
      <c r="B38" s="11">
        <v>228</v>
      </c>
      <c r="C38" s="11">
        <v>0</v>
      </c>
      <c r="D38" s="11">
        <v>0</v>
      </c>
      <c r="E38" s="11">
        <v>0</v>
      </c>
      <c r="F38" s="11">
        <v>30</v>
      </c>
      <c r="G38" s="11">
        <v>0</v>
      </c>
      <c r="H38" s="11">
        <v>198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</row>
    <row r="39" spans="1:19" x14ac:dyDescent="0.2">
      <c r="A39" s="6" t="s">
        <v>218</v>
      </c>
      <c r="B39" s="11">
        <v>471</v>
      </c>
      <c r="C39" s="11">
        <v>170</v>
      </c>
      <c r="D39" s="11">
        <v>0</v>
      </c>
      <c r="E39" s="11">
        <v>0</v>
      </c>
      <c r="F39" s="11">
        <v>29</v>
      </c>
      <c r="G39" s="11">
        <v>0</v>
      </c>
      <c r="H39" s="11">
        <v>150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120</v>
      </c>
      <c r="S39" s="11">
        <v>0</v>
      </c>
    </row>
    <row r="40" spans="1:19" x14ac:dyDescent="0.2">
      <c r="A40" s="6" t="s">
        <v>219</v>
      </c>
      <c r="B40" s="11">
        <v>90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90</v>
      </c>
      <c r="Q40" s="11">
        <v>0</v>
      </c>
      <c r="R40" s="11">
        <v>0</v>
      </c>
      <c r="S40" s="11">
        <v>0</v>
      </c>
    </row>
    <row r="41" spans="1:19" x14ac:dyDescent="0.2">
      <c r="A41" s="6" t="s">
        <v>225</v>
      </c>
      <c r="B41" s="13">
        <v>789</v>
      </c>
      <c r="C41" s="13">
        <v>170</v>
      </c>
      <c r="D41" s="13">
        <v>0</v>
      </c>
      <c r="E41" s="13">
        <v>0</v>
      </c>
      <c r="F41" s="13">
        <v>59</v>
      </c>
      <c r="G41" s="13">
        <v>0</v>
      </c>
      <c r="H41" s="13">
        <v>348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90</v>
      </c>
      <c r="Q41" s="13">
        <v>0</v>
      </c>
      <c r="R41" s="13">
        <v>120</v>
      </c>
      <c r="S41" s="13">
        <v>0</v>
      </c>
    </row>
    <row r="42" spans="1:19" x14ac:dyDescent="0.2">
      <c r="A42" s="6" t="s">
        <v>214</v>
      </c>
      <c r="B42" s="15" t="s">
        <v>72</v>
      </c>
      <c r="C42" s="15" t="s">
        <v>72</v>
      </c>
      <c r="D42" s="15" t="s">
        <v>72</v>
      </c>
      <c r="E42" s="15" t="s">
        <v>72</v>
      </c>
      <c r="F42" s="15" t="s">
        <v>72</v>
      </c>
      <c r="G42" s="15" t="s">
        <v>72</v>
      </c>
      <c r="H42" s="15" t="s">
        <v>72</v>
      </c>
      <c r="I42" s="15" t="s">
        <v>72</v>
      </c>
      <c r="J42" s="15" t="s">
        <v>72</v>
      </c>
      <c r="K42" s="15" t="s">
        <v>72</v>
      </c>
      <c r="L42" s="15" t="s">
        <v>72</v>
      </c>
      <c r="M42" s="15" t="s">
        <v>72</v>
      </c>
      <c r="N42" s="15" t="s">
        <v>72</v>
      </c>
      <c r="O42" s="15" t="s">
        <v>72</v>
      </c>
      <c r="P42" s="15" t="s">
        <v>72</v>
      </c>
      <c r="Q42" s="15" t="s">
        <v>72</v>
      </c>
      <c r="R42" s="15" t="s">
        <v>72</v>
      </c>
      <c r="S42" s="15" t="s">
        <v>72</v>
      </c>
    </row>
    <row r="43" spans="1:19" x14ac:dyDescent="0.2">
      <c r="A43" s="6" t="s">
        <v>226</v>
      </c>
      <c r="B43" s="11">
        <v>746</v>
      </c>
      <c r="C43" s="11">
        <v>0</v>
      </c>
      <c r="D43" s="11">
        <v>122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242</v>
      </c>
      <c r="O43" s="11">
        <v>0</v>
      </c>
      <c r="P43" s="11">
        <v>0</v>
      </c>
      <c r="Q43" s="11">
        <v>12</v>
      </c>
      <c r="R43" s="11">
        <v>370</v>
      </c>
      <c r="S43" s="11">
        <v>0</v>
      </c>
    </row>
    <row r="44" spans="1:19" x14ac:dyDescent="0.2">
      <c r="A44" s="6" t="s">
        <v>227</v>
      </c>
      <c r="B44" s="11">
        <v>57223</v>
      </c>
      <c r="C44" s="11">
        <v>1987</v>
      </c>
      <c r="D44" s="11">
        <v>14927</v>
      </c>
      <c r="E44" s="11">
        <v>31</v>
      </c>
      <c r="F44" s="11">
        <v>2096</v>
      </c>
      <c r="G44" s="11">
        <v>10867</v>
      </c>
      <c r="H44" s="11">
        <v>2251</v>
      </c>
      <c r="I44" s="11">
        <v>6337</v>
      </c>
      <c r="J44" s="11">
        <v>3406</v>
      </c>
      <c r="K44" s="11">
        <v>74</v>
      </c>
      <c r="L44" s="11">
        <v>1336</v>
      </c>
      <c r="M44" s="11">
        <v>2060</v>
      </c>
      <c r="N44" s="11">
        <v>2672</v>
      </c>
      <c r="O44" s="11">
        <v>1572</v>
      </c>
      <c r="P44" s="11">
        <v>1833</v>
      </c>
      <c r="Q44" s="11">
        <v>1898</v>
      </c>
      <c r="R44" s="11">
        <v>3605</v>
      </c>
      <c r="S44" s="11">
        <v>269</v>
      </c>
    </row>
    <row r="45" spans="1:19" x14ac:dyDescent="0.2">
      <c r="A45" s="6" t="s">
        <v>228</v>
      </c>
      <c r="B45" s="11">
        <v>2332</v>
      </c>
      <c r="C45" s="11">
        <v>240</v>
      </c>
      <c r="D45" s="11">
        <v>80</v>
      </c>
      <c r="E45" s="11">
        <v>0</v>
      </c>
      <c r="F45" s="11">
        <v>240</v>
      </c>
      <c r="G45" s="11">
        <v>240</v>
      </c>
      <c r="H45" s="11">
        <v>0</v>
      </c>
      <c r="I45" s="11">
        <v>240</v>
      </c>
      <c r="J45" s="11">
        <v>140</v>
      </c>
      <c r="K45" s="11">
        <v>0</v>
      </c>
      <c r="L45" s="11">
        <v>0</v>
      </c>
      <c r="M45" s="11">
        <v>70</v>
      </c>
      <c r="N45" s="11">
        <v>0</v>
      </c>
      <c r="O45" s="11">
        <v>300</v>
      </c>
      <c r="P45" s="11">
        <v>0</v>
      </c>
      <c r="Q45" s="11">
        <v>782</v>
      </c>
      <c r="R45" s="11">
        <v>0</v>
      </c>
      <c r="S45" s="11">
        <v>0</v>
      </c>
    </row>
    <row r="46" spans="1:19" x14ac:dyDescent="0.2">
      <c r="A46" s="6" t="s">
        <v>229</v>
      </c>
      <c r="B46" s="11">
        <v>5558</v>
      </c>
      <c r="C46" s="11">
        <v>914</v>
      </c>
      <c r="D46" s="11">
        <v>2792</v>
      </c>
      <c r="E46" s="11">
        <v>-719</v>
      </c>
      <c r="F46" s="11">
        <v>0</v>
      </c>
      <c r="G46" s="11">
        <v>248</v>
      </c>
      <c r="H46" s="11">
        <v>0</v>
      </c>
      <c r="I46" s="11">
        <v>72</v>
      </c>
      <c r="J46" s="11">
        <v>37</v>
      </c>
      <c r="K46" s="11">
        <v>0</v>
      </c>
      <c r="L46" s="11">
        <v>182</v>
      </c>
      <c r="M46" s="11">
        <v>388</v>
      </c>
      <c r="N46" s="11">
        <v>280</v>
      </c>
      <c r="O46" s="11">
        <v>392</v>
      </c>
      <c r="P46" s="11">
        <v>116</v>
      </c>
      <c r="Q46" s="11">
        <v>493</v>
      </c>
      <c r="R46" s="11">
        <v>365</v>
      </c>
      <c r="S46" s="11">
        <v>0</v>
      </c>
    </row>
    <row r="47" spans="1:19" x14ac:dyDescent="0.2">
      <c r="A47" s="6" t="s">
        <v>230</v>
      </c>
      <c r="B47" s="11">
        <v>2878</v>
      </c>
      <c r="C47" s="11">
        <v>0</v>
      </c>
      <c r="D47" s="11">
        <v>0</v>
      </c>
      <c r="E47" s="11">
        <v>0</v>
      </c>
      <c r="F47" s="11">
        <v>909</v>
      </c>
      <c r="G47" s="11">
        <v>0</v>
      </c>
      <c r="H47" s="11">
        <v>0</v>
      </c>
      <c r="I47" s="11">
        <v>445</v>
      </c>
      <c r="J47" s="11">
        <v>0</v>
      </c>
      <c r="K47" s="11">
        <v>0</v>
      </c>
      <c r="L47" s="11">
        <v>924</v>
      </c>
      <c r="M47" s="11">
        <v>0</v>
      </c>
      <c r="N47" s="11">
        <v>600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</row>
    <row r="48" spans="1:19" x14ac:dyDescent="0.2">
      <c r="A48" s="6" t="s">
        <v>231</v>
      </c>
      <c r="B48" s="11">
        <v>9407</v>
      </c>
      <c r="C48" s="11">
        <v>1190</v>
      </c>
      <c r="D48" s="11">
        <v>1624</v>
      </c>
      <c r="E48" s="11">
        <v>0</v>
      </c>
      <c r="F48" s="11">
        <v>0</v>
      </c>
      <c r="G48" s="11">
        <v>457</v>
      </c>
      <c r="H48" s="11">
        <v>265</v>
      </c>
      <c r="I48" s="11">
        <v>0</v>
      </c>
      <c r="J48" s="11">
        <v>162</v>
      </c>
      <c r="K48" s="11">
        <v>902</v>
      </c>
      <c r="L48" s="11">
        <v>495</v>
      </c>
      <c r="M48" s="11">
        <v>144</v>
      </c>
      <c r="N48" s="11">
        <v>1303</v>
      </c>
      <c r="O48" s="11">
        <v>247</v>
      </c>
      <c r="P48" s="11">
        <v>1037</v>
      </c>
      <c r="Q48" s="11">
        <v>1341</v>
      </c>
      <c r="R48" s="11">
        <v>239</v>
      </c>
      <c r="S48" s="11">
        <v>0</v>
      </c>
    </row>
    <row r="49" spans="1:19" x14ac:dyDescent="0.2">
      <c r="A49" s="6" t="s">
        <v>232</v>
      </c>
      <c r="B49" s="11">
        <v>20922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3800</v>
      </c>
      <c r="K49" s="11">
        <v>-938</v>
      </c>
      <c r="L49" s="11">
        <v>0</v>
      </c>
      <c r="M49" s="11">
        <v>3000</v>
      </c>
      <c r="N49" s="11">
        <v>0</v>
      </c>
      <c r="O49" s="11">
        <v>3810</v>
      </c>
      <c r="P49" s="11">
        <v>4935</v>
      </c>
      <c r="Q49" s="11">
        <v>3045</v>
      </c>
      <c r="R49" s="11">
        <v>3270</v>
      </c>
      <c r="S49" s="11">
        <v>0</v>
      </c>
    </row>
    <row r="50" spans="1:19" x14ac:dyDescent="0.2">
      <c r="A50" s="6" t="s">
        <v>233</v>
      </c>
      <c r="B50" s="11">
        <v>35</v>
      </c>
      <c r="C50" s="11">
        <v>35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</row>
    <row r="51" spans="1:19" x14ac:dyDescent="0.2">
      <c r="A51" s="6" t="s">
        <v>234</v>
      </c>
      <c r="B51" s="13">
        <v>99101</v>
      </c>
      <c r="C51" s="13">
        <v>4366</v>
      </c>
      <c r="D51" s="13">
        <v>19545</v>
      </c>
      <c r="E51" s="13">
        <v>-688</v>
      </c>
      <c r="F51" s="13">
        <v>3245</v>
      </c>
      <c r="G51" s="13">
        <v>11812</v>
      </c>
      <c r="H51" s="13">
        <v>2516</v>
      </c>
      <c r="I51" s="13">
        <v>7094</v>
      </c>
      <c r="J51" s="13">
        <v>7545</v>
      </c>
      <c r="K51" s="13">
        <v>38</v>
      </c>
      <c r="L51" s="13">
        <v>2937</v>
      </c>
      <c r="M51" s="13">
        <v>5662</v>
      </c>
      <c r="N51" s="13">
        <v>5097</v>
      </c>
      <c r="O51" s="13">
        <v>6321</v>
      </c>
      <c r="P51" s="13">
        <v>7921</v>
      </c>
      <c r="Q51" s="13">
        <v>7571</v>
      </c>
      <c r="R51" s="13">
        <v>7849</v>
      </c>
      <c r="S51" s="13">
        <v>269</v>
      </c>
    </row>
    <row r="52" spans="1:19" x14ac:dyDescent="0.2">
      <c r="A52" s="6" t="s">
        <v>215</v>
      </c>
      <c r="B52" s="14">
        <v>285370</v>
      </c>
      <c r="C52" s="14">
        <v>22574</v>
      </c>
      <c r="D52" s="14">
        <v>41561</v>
      </c>
      <c r="E52" s="14">
        <v>-688</v>
      </c>
      <c r="F52" s="14">
        <v>20097</v>
      </c>
      <c r="G52" s="14">
        <v>30847</v>
      </c>
      <c r="H52" s="14">
        <v>12833</v>
      </c>
      <c r="I52" s="14">
        <v>24388</v>
      </c>
      <c r="J52" s="14">
        <v>11105</v>
      </c>
      <c r="K52" s="14">
        <v>38</v>
      </c>
      <c r="L52" s="14">
        <v>10104</v>
      </c>
      <c r="M52" s="14">
        <v>17208</v>
      </c>
      <c r="N52" s="14">
        <v>14126</v>
      </c>
      <c r="O52" s="14">
        <v>15337</v>
      </c>
      <c r="P52" s="14">
        <v>30800</v>
      </c>
      <c r="Q52" s="14">
        <v>19298</v>
      </c>
      <c r="R52" s="14">
        <v>15472</v>
      </c>
      <c r="S52" s="14">
        <v>269</v>
      </c>
    </row>
    <row r="53" spans="1:19" x14ac:dyDescent="0.2">
      <c r="A53" s="4" t="s">
        <v>6</v>
      </c>
    </row>
    <row r="54" spans="1:19" x14ac:dyDescent="0.2">
      <c r="A54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1"/>
  <sheetViews>
    <sheetView workbookViewId="0"/>
  </sheetViews>
  <sheetFormatPr defaultColWidth="9.140625" defaultRowHeight="12.75" x14ac:dyDescent="0.2"/>
  <cols>
    <col min="1" max="1" width="34.8554687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235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236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237</v>
      </c>
      <c r="B12" s="6" t="s">
        <v>72</v>
      </c>
      <c r="C12" s="6" t="s">
        <v>72</v>
      </c>
      <c r="D12" s="6" t="s">
        <v>72</v>
      </c>
      <c r="E12" s="6" t="s">
        <v>72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</row>
    <row r="13" spans="1:24" x14ac:dyDescent="0.2">
      <c r="A13" s="6" t="s">
        <v>238</v>
      </c>
      <c r="B13" s="11">
        <v>150872</v>
      </c>
      <c r="C13" s="11">
        <v>7113</v>
      </c>
      <c r="D13" s="11">
        <v>315</v>
      </c>
      <c r="E13" s="11">
        <v>7553</v>
      </c>
      <c r="F13" s="11">
        <v>2646</v>
      </c>
      <c r="G13" s="11">
        <v>7364</v>
      </c>
      <c r="H13" s="11">
        <v>7365</v>
      </c>
      <c r="I13" s="11">
        <v>8842</v>
      </c>
      <c r="J13" s="11">
        <v>7938</v>
      </c>
      <c r="K13" s="11">
        <v>7663</v>
      </c>
      <c r="L13" s="11">
        <v>10171</v>
      </c>
      <c r="M13" s="11">
        <v>10255</v>
      </c>
      <c r="N13" s="11">
        <v>10480</v>
      </c>
      <c r="O13" s="11">
        <v>9097</v>
      </c>
      <c r="P13" s="11">
        <v>6631</v>
      </c>
      <c r="Q13" s="11">
        <v>12337</v>
      </c>
      <c r="R13" s="11">
        <v>13974</v>
      </c>
      <c r="S13" s="11">
        <v>7112</v>
      </c>
      <c r="T13" s="11">
        <v>4918</v>
      </c>
      <c r="U13" s="11">
        <v>0</v>
      </c>
      <c r="V13" s="11">
        <v>9097</v>
      </c>
      <c r="W13" s="11">
        <v>0</v>
      </c>
      <c r="X13" s="11">
        <v>0</v>
      </c>
    </row>
    <row r="14" spans="1:24" x14ac:dyDescent="0.2">
      <c r="A14" s="6" t="s">
        <v>239</v>
      </c>
      <c r="B14" s="11">
        <v>69843</v>
      </c>
      <c r="C14" s="11">
        <v>7790</v>
      </c>
      <c r="D14" s="11">
        <v>0</v>
      </c>
      <c r="E14" s="11">
        <v>-79</v>
      </c>
      <c r="F14" s="11">
        <v>1214</v>
      </c>
      <c r="G14" s="11">
        <v>11562</v>
      </c>
      <c r="H14" s="11">
        <v>2373</v>
      </c>
      <c r="I14" s="11">
        <v>3269</v>
      </c>
      <c r="J14" s="11">
        <v>0</v>
      </c>
      <c r="K14" s="11">
        <v>0</v>
      </c>
      <c r="L14" s="11">
        <v>7040</v>
      </c>
      <c r="M14" s="11">
        <v>7910</v>
      </c>
      <c r="N14" s="11">
        <v>9512</v>
      </c>
      <c r="O14" s="11">
        <v>7227</v>
      </c>
      <c r="P14" s="11">
        <v>5111</v>
      </c>
      <c r="Q14" s="11">
        <v>0</v>
      </c>
      <c r="R14" s="11">
        <v>6912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</row>
    <row r="15" spans="1:24" x14ac:dyDescent="0.2">
      <c r="A15" s="6" t="s">
        <v>240</v>
      </c>
      <c r="B15" s="11">
        <v>21449</v>
      </c>
      <c r="C15" s="11">
        <v>0</v>
      </c>
      <c r="D15" s="11">
        <v>3010</v>
      </c>
      <c r="E15" s="11">
        <v>0</v>
      </c>
      <c r="F15" s="11">
        <v>4896</v>
      </c>
      <c r="G15" s="11">
        <v>4245</v>
      </c>
      <c r="H15" s="11">
        <v>3807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5492</v>
      </c>
      <c r="V15" s="11">
        <v>0</v>
      </c>
      <c r="W15" s="11">
        <v>0</v>
      </c>
      <c r="X15" s="11">
        <v>0</v>
      </c>
    </row>
    <row r="16" spans="1:24" x14ac:dyDescent="0.2">
      <c r="A16" s="6" t="s">
        <v>241</v>
      </c>
      <c r="B16" s="11">
        <v>223630</v>
      </c>
      <c r="C16" s="11">
        <v>20173</v>
      </c>
      <c r="D16" s="11">
        <v>37376</v>
      </c>
      <c r="E16" s="11">
        <v>7808</v>
      </c>
      <c r="F16" s="11">
        <v>8681</v>
      </c>
      <c r="G16" s="11">
        <v>7761</v>
      </c>
      <c r="H16" s="11">
        <v>11230</v>
      </c>
      <c r="I16" s="11">
        <v>4504</v>
      </c>
      <c r="J16" s="11">
        <v>16073</v>
      </c>
      <c r="K16" s="11">
        <v>6313</v>
      </c>
      <c r="L16" s="11">
        <v>13827</v>
      </c>
      <c r="M16" s="11">
        <v>10489</v>
      </c>
      <c r="N16" s="11">
        <v>25280</v>
      </c>
      <c r="O16" s="11">
        <v>11359</v>
      </c>
      <c r="P16" s="11">
        <v>9661</v>
      </c>
      <c r="Q16" s="11">
        <v>3897</v>
      </c>
      <c r="R16" s="11">
        <v>15802</v>
      </c>
      <c r="S16" s="11">
        <v>5579</v>
      </c>
      <c r="T16" s="11">
        <v>4239</v>
      </c>
      <c r="U16" s="11">
        <v>1330</v>
      </c>
      <c r="V16" s="11">
        <v>2249</v>
      </c>
      <c r="W16" s="11">
        <v>0</v>
      </c>
      <c r="X16" s="11">
        <v>0</v>
      </c>
    </row>
    <row r="17" spans="1:24" x14ac:dyDescent="0.2">
      <c r="A17" s="6" t="s">
        <v>242</v>
      </c>
      <c r="B17" s="11">
        <v>12121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3945</v>
      </c>
      <c r="K17" s="11">
        <v>0</v>
      </c>
      <c r="L17" s="11">
        <v>0</v>
      </c>
      <c r="M17" s="11">
        <v>0</v>
      </c>
      <c r="N17" s="11">
        <v>8177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</row>
    <row r="18" spans="1:24" x14ac:dyDescent="0.2">
      <c r="A18" s="6" t="s">
        <v>243</v>
      </c>
      <c r="B18" s="11">
        <v>7857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7857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</row>
    <row r="19" spans="1:24" x14ac:dyDescent="0.2">
      <c r="A19" s="6" t="s">
        <v>244</v>
      </c>
      <c r="B19" s="11">
        <v>96385</v>
      </c>
      <c r="C19" s="11">
        <v>8309</v>
      </c>
      <c r="D19" s="11">
        <v>5521</v>
      </c>
      <c r="E19" s="11">
        <v>9005</v>
      </c>
      <c r="F19" s="11">
        <v>6115</v>
      </c>
      <c r="G19" s="11">
        <v>6242</v>
      </c>
      <c r="H19" s="11">
        <v>878</v>
      </c>
      <c r="I19" s="11">
        <v>7819</v>
      </c>
      <c r="J19" s="11">
        <v>0</v>
      </c>
      <c r="K19" s="11">
        <v>0</v>
      </c>
      <c r="L19" s="11">
        <v>7761</v>
      </c>
      <c r="M19" s="11">
        <v>6892</v>
      </c>
      <c r="N19" s="11">
        <v>14778</v>
      </c>
      <c r="O19" s="11">
        <v>0</v>
      </c>
      <c r="P19" s="11">
        <v>7936</v>
      </c>
      <c r="Q19" s="11">
        <v>7332</v>
      </c>
      <c r="R19" s="11">
        <v>7797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</row>
    <row r="20" spans="1:24" x14ac:dyDescent="0.2">
      <c r="A20" s="6" t="s">
        <v>245</v>
      </c>
      <c r="B20" s="11">
        <v>474012</v>
      </c>
      <c r="C20" s="11">
        <v>16551</v>
      </c>
      <c r="D20" s="11">
        <v>8331</v>
      </c>
      <c r="E20" s="11">
        <v>19666</v>
      </c>
      <c r="F20" s="11">
        <v>28095</v>
      </c>
      <c r="G20" s="11">
        <v>20093</v>
      </c>
      <c r="H20" s="11">
        <v>27127</v>
      </c>
      <c r="I20" s="11">
        <v>10477</v>
      </c>
      <c r="J20" s="11">
        <v>24454</v>
      </c>
      <c r="K20" s="11">
        <v>5338</v>
      </c>
      <c r="L20" s="11">
        <v>37659</v>
      </c>
      <c r="M20" s="11">
        <v>37979</v>
      </c>
      <c r="N20" s="11">
        <v>57597</v>
      </c>
      <c r="O20" s="11">
        <v>36271</v>
      </c>
      <c r="P20" s="11">
        <v>46441</v>
      </c>
      <c r="Q20" s="11">
        <v>34020</v>
      </c>
      <c r="R20" s="11">
        <v>34574</v>
      </c>
      <c r="S20" s="11">
        <v>8640</v>
      </c>
      <c r="T20" s="11">
        <v>4615</v>
      </c>
      <c r="U20" s="11">
        <v>5447</v>
      </c>
      <c r="V20" s="11">
        <v>10637</v>
      </c>
      <c r="W20" s="11">
        <v>0</v>
      </c>
      <c r="X20" s="11">
        <v>0</v>
      </c>
    </row>
    <row r="21" spans="1:24" x14ac:dyDescent="0.2">
      <c r="A21" s="6" t="s">
        <v>246</v>
      </c>
      <c r="B21" s="11">
        <v>1133826</v>
      </c>
      <c r="C21" s="11">
        <v>43147</v>
      </c>
      <c r="D21" s="11">
        <v>65769</v>
      </c>
      <c r="E21" s="11">
        <v>63876</v>
      </c>
      <c r="F21" s="11">
        <v>61557</v>
      </c>
      <c r="G21" s="11">
        <v>50899</v>
      </c>
      <c r="H21" s="11">
        <v>49665</v>
      </c>
      <c r="I21" s="11">
        <v>40339</v>
      </c>
      <c r="J21" s="11">
        <v>58653</v>
      </c>
      <c r="K21" s="11">
        <v>65346</v>
      </c>
      <c r="L21" s="11">
        <v>62262</v>
      </c>
      <c r="M21" s="11">
        <v>68249</v>
      </c>
      <c r="N21" s="11">
        <v>152808</v>
      </c>
      <c r="O21" s="11">
        <v>83281</v>
      </c>
      <c r="P21" s="11">
        <v>88152</v>
      </c>
      <c r="Q21" s="11">
        <v>85926</v>
      </c>
      <c r="R21" s="11">
        <v>67762</v>
      </c>
      <c r="S21" s="11">
        <v>7926</v>
      </c>
      <c r="T21" s="11">
        <v>4003</v>
      </c>
      <c r="U21" s="11">
        <v>4597</v>
      </c>
      <c r="V21" s="11">
        <v>7266</v>
      </c>
      <c r="W21" s="11">
        <v>2340</v>
      </c>
      <c r="X21" s="11">
        <v>0</v>
      </c>
    </row>
    <row r="22" spans="1:24" x14ac:dyDescent="0.2">
      <c r="A22" s="6" t="s">
        <v>247</v>
      </c>
      <c r="B22" s="11">
        <v>45521</v>
      </c>
      <c r="C22" s="11">
        <v>3302</v>
      </c>
      <c r="D22" s="11">
        <v>2221</v>
      </c>
      <c r="E22" s="11">
        <v>2884</v>
      </c>
      <c r="F22" s="11">
        <v>4042</v>
      </c>
      <c r="G22" s="11">
        <v>1855</v>
      </c>
      <c r="H22" s="11">
        <v>2950</v>
      </c>
      <c r="I22" s="11">
        <v>3540</v>
      </c>
      <c r="J22" s="11">
        <v>0</v>
      </c>
      <c r="K22" s="11">
        <v>0</v>
      </c>
      <c r="L22" s="11">
        <v>3965</v>
      </c>
      <c r="M22" s="11">
        <v>3333</v>
      </c>
      <c r="N22" s="11">
        <v>4721</v>
      </c>
      <c r="O22" s="11">
        <v>4332</v>
      </c>
      <c r="P22" s="11">
        <v>0</v>
      </c>
      <c r="Q22" s="11">
        <v>4583</v>
      </c>
      <c r="R22" s="11">
        <v>3796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</row>
    <row r="23" spans="1:24" x14ac:dyDescent="0.2">
      <c r="A23" s="6" t="s">
        <v>248</v>
      </c>
      <c r="B23" s="11">
        <v>14777</v>
      </c>
      <c r="C23" s="11">
        <v>0</v>
      </c>
      <c r="D23" s="11">
        <v>0</v>
      </c>
      <c r="E23" s="11">
        <v>0</v>
      </c>
      <c r="F23" s="11">
        <v>993</v>
      </c>
      <c r="G23" s="11">
        <v>0</v>
      </c>
      <c r="H23" s="11">
        <v>0</v>
      </c>
      <c r="I23" s="11">
        <v>0</v>
      </c>
      <c r="J23" s="11">
        <v>3669</v>
      </c>
      <c r="K23" s="11">
        <v>0</v>
      </c>
      <c r="L23" s="11">
        <v>0</v>
      </c>
      <c r="M23" s="11">
        <v>461</v>
      </c>
      <c r="N23" s="11">
        <v>6892</v>
      </c>
      <c r="O23" s="11">
        <v>0</v>
      </c>
      <c r="P23" s="11">
        <v>2763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</row>
    <row r="24" spans="1:24" x14ac:dyDescent="0.2">
      <c r="A24" s="6" t="s">
        <v>249</v>
      </c>
      <c r="B24" s="11">
        <v>47382</v>
      </c>
      <c r="C24" s="11">
        <v>3812</v>
      </c>
      <c r="D24" s="11">
        <v>2010</v>
      </c>
      <c r="E24" s="11">
        <v>2719</v>
      </c>
      <c r="F24" s="11">
        <v>3200</v>
      </c>
      <c r="G24" s="11">
        <v>1956</v>
      </c>
      <c r="H24" s="11">
        <v>1664</v>
      </c>
      <c r="I24" s="11">
        <v>3053</v>
      </c>
      <c r="J24" s="11">
        <v>3929</v>
      </c>
      <c r="K24" s="11">
        <v>3352</v>
      </c>
      <c r="L24" s="11">
        <v>4900</v>
      </c>
      <c r="M24" s="11">
        <v>2537</v>
      </c>
      <c r="N24" s="11">
        <v>1196</v>
      </c>
      <c r="O24" s="11">
        <v>3244</v>
      </c>
      <c r="P24" s="11">
        <v>3440</v>
      </c>
      <c r="Q24" s="11">
        <v>3601</v>
      </c>
      <c r="R24" s="11">
        <v>2342</v>
      </c>
      <c r="S24" s="11">
        <v>0</v>
      </c>
      <c r="T24" s="11">
        <v>425</v>
      </c>
      <c r="U24" s="11">
        <v>0</v>
      </c>
      <c r="V24" s="11">
        <v>0</v>
      </c>
      <c r="W24" s="11">
        <v>0</v>
      </c>
      <c r="X24" s="11">
        <v>0</v>
      </c>
    </row>
    <row r="25" spans="1:24" x14ac:dyDescent="0.2">
      <c r="A25" s="6" t="s">
        <v>250</v>
      </c>
      <c r="B25" s="11">
        <v>39408</v>
      </c>
      <c r="C25" s="11">
        <v>3119</v>
      </c>
      <c r="D25" s="11">
        <v>0</v>
      </c>
      <c r="E25" s="11">
        <v>3344</v>
      </c>
      <c r="F25" s="11">
        <v>0</v>
      </c>
      <c r="G25" s="11">
        <v>392</v>
      </c>
      <c r="H25" s="11">
        <v>0</v>
      </c>
      <c r="I25" s="11">
        <v>0</v>
      </c>
      <c r="J25" s="11">
        <v>5162</v>
      </c>
      <c r="K25" s="11">
        <v>278</v>
      </c>
      <c r="L25" s="11">
        <v>687</v>
      </c>
      <c r="M25" s="11">
        <v>4132</v>
      </c>
      <c r="N25" s="11">
        <v>10288</v>
      </c>
      <c r="O25" s="11">
        <v>2458</v>
      </c>
      <c r="P25" s="11">
        <v>5492</v>
      </c>
      <c r="Q25" s="11">
        <v>0</v>
      </c>
      <c r="R25" s="11">
        <v>3218</v>
      </c>
      <c r="S25" s="11">
        <v>0</v>
      </c>
      <c r="T25" s="11">
        <v>0</v>
      </c>
      <c r="U25" s="11">
        <v>0</v>
      </c>
      <c r="V25" s="11">
        <v>839</v>
      </c>
      <c r="W25" s="11">
        <v>0</v>
      </c>
      <c r="X25" s="11">
        <v>0</v>
      </c>
    </row>
    <row r="26" spans="1:24" x14ac:dyDescent="0.2">
      <c r="A26" s="6" t="s">
        <v>251</v>
      </c>
      <c r="B26" s="11">
        <v>94749</v>
      </c>
      <c r="C26" s="11">
        <v>9051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-471</v>
      </c>
      <c r="N26" s="11">
        <v>9956</v>
      </c>
      <c r="O26" s="11">
        <v>0</v>
      </c>
      <c r="P26" s="11">
        <v>75</v>
      </c>
      <c r="Q26" s="11">
        <v>0</v>
      </c>
      <c r="R26" s="11">
        <v>0</v>
      </c>
      <c r="S26" s="11">
        <v>27013</v>
      </c>
      <c r="T26" s="11">
        <v>20940</v>
      </c>
      <c r="U26" s="11">
        <v>8302</v>
      </c>
      <c r="V26" s="11">
        <v>10631</v>
      </c>
      <c r="W26" s="11">
        <v>9252</v>
      </c>
      <c r="X26" s="11">
        <v>0</v>
      </c>
    </row>
    <row r="27" spans="1:24" x14ac:dyDescent="0.2">
      <c r="A27" s="6" t="s">
        <v>252</v>
      </c>
      <c r="B27" s="11">
        <v>31734</v>
      </c>
      <c r="C27" s="11">
        <v>0</v>
      </c>
      <c r="D27" s="11">
        <v>2413</v>
      </c>
      <c r="E27" s="11">
        <v>0</v>
      </c>
      <c r="F27" s="11">
        <v>3455</v>
      </c>
      <c r="G27" s="11">
        <v>0</v>
      </c>
      <c r="H27" s="11">
        <v>0</v>
      </c>
      <c r="I27" s="11">
        <v>0</v>
      </c>
      <c r="J27" s="11">
        <v>0</v>
      </c>
      <c r="K27" s="11">
        <v>450</v>
      </c>
      <c r="L27" s="11">
        <v>0</v>
      </c>
      <c r="M27" s="11">
        <v>3839</v>
      </c>
      <c r="N27" s="11">
        <v>6659</v>
      </c>
      <c r="O27" s="11">
        <v>2595</v>
      </c>
      <c r="P27" s="11">
        <v>3670</v>
      </c>
      <c r="Q27" s="11">
        <v>3918</v>
      </c>
      <c r="R27" s="11">
        <v>2836</v>
      </c>
      <c r="S27" s="11">
        <v>0</v>
      </c>
      <c r="T27" s="11">
        <v>593</v>
      </c>
      <c r="U27" s="11">
        <v>1030</v>
      </c>
      <c r="V27" s="11">
        <v>371</v>
      </c>
      <c r="W27" s="11">
        <v>-94</v>
      </c>
      <c r="X27" s="11">
        <v>0</v>
      </c>
    </row>
    <row r="28" spans="1:24" x14ac:dyDescent="0.2">
      <c r="A28" s="6" t="s">
        <v>253</v>
      </c>
      <c r="B28" s="11">
        <v>41909</v>
      </c>
      <c r="C28" s="11">
        <v>5068</v>
      </c>
      <c r="D28" s="11">
        <v>3195</v>
      </c>
      <c r="E28" s="11">
        <v>3237</v>
      </c>
      <c r="F28" s="11">
        <v>3153</v>
      </c>
      <c r="G28" s="11">
        <v>4006</v>
      </c>
      <c r="H28" s="11">
        <v>2134</v>
      </c>
      <c r="I28" s="11">
        <v>463</v>
      </c>
      <c r="J28" s="11">
        <v>0</v>
      </c>
      <c r="K28" s="11">
        <v>0</v>
      </c>
      <c r="L28" s="11">
        <v>0</v>
      </c>
      <c r="M28" s="11">
        <v>442</v>
      </c>
      <c r="N28" s="11">
        <v>3481</v>
      </c>
      <c r="O28" s="11">
        <v>150</v>
      </c>
      <c r="P28" s="11">
        <v>4403</v>
      </c>
      <c r="Q28" s="11">
        <v>3745</v>
      </c>
      <c r="R28" s="11">
        <v>5115</v>
      </c>
      <c r="S28" s="11">
        <v>2048</v>
      </c>
      <c r="T28" s="11">
        <v>0</v>
      </c>
      <c r="U28" s="11">
        <v>1267</v>
      </c>
      <c r="V28" s="11">
        <v>0</v>
      </c>
      <c r="W28" s="11">
        <v>0</v>
      </c>
      <c r="X28" s="11">
        <v>0</v>
      </c>
    </row>
    <row r="29" spans="1:24" x14ac:dyDescent="0.2">
      <c r="A29" s="6" t="s">
        <v>254</v>
      </c>
      <c r="B29" s="11">
        <v>180148</v>
      </c>
      <c r="C29" s="11">
        <v>8239</v>
      </c>
      <c r="D29" s="11">
        <v>10945</v>
      </c>
      <c r="E29" s="11">
        <v>8987</v>
      </c>
      <c r="F29" s="11">
        <v>11316</v>
      </c>
      <c r="G29" s="11">
        <v>7040</v>
      </c>
      <c r="H29" s="11">
        <v>11642</v>
      </c>
      <c r="I29" s="11">
        <v>5361</v>
      </c>
      <c r="J29" s="11">
        <v>8633</v>
      </c>
      <c r="K29" s="11">
        <v>7718</v>
      </c>
      <c r="L29" s="11">
        <v>9823</v>
      </c>
      <c r="M29" s="11">
        <v>12247</v>
      </c>
      <c r="N29" s="11">
        <v>27558</v>
      </c>
      <c r="O29" s="11">
        <v>10085</v>
      </c>
      <c r="P29" s="11">
        <v>10608</v>
      </c>
      <c r="Q29" s="11">
        <v>10984</v>
      </c>
      <c r="R29" s="11">
        <v>13573</v>
      </c>
      <c r="S29" s="11">
        <v>0</v>
      </c>
      <c r="T29" s="11">
        <v>1838</v>
      </c>
      <c r="U29" s="11">
        <v>0</v>
      </c>
      <c r="V29" s="11">
        <v>1335</v>
      </c>
      <c r="W29" s="11">
        <v>2217</v>
      </c>
      <c r="X29" s="11">
        <v>0</v>
      </c>
    </row>
    <row r="30" spans="1:24" x14ac:dyDescent="0.2">
      <c r="A30" s="6" t="s">
        <v>255</v>
      </c>
      <c r="B30" s="11">
        <v>70147</v>
      </c>
      <c r="C30" s="11">
        <v>3414</v>
      </c>
      <c r="D30" s="11">
        <v>3718</v>
      </c>
      <c r="E30" s="11">
        <v>4174</v>
      </c>
      <c r="F30" s="11">
        <v>3641</v>
      </c>
      <c r="G30" s="11">
        <v>3243</v>
      </c>
      <c r="H30" s="11">
        <v>3037</v>
      </c>
      <c r="I30" s="11">
        <v>835</v>
      </c>
      <c r="J30" s="11">
        <v>3534</v>
      </c>
      <c r="K30" s="11">
        <v>4138</v>
      </c>
      <c r="L30" s="11">
        <v>3748</v>
      </c>
      <c r="M30" s="11">
        <v>4792</v>
      </c>
      <c r="N30" s="11">
        <v>3938</v>
      </c>
      <c r="O30" s="11">
        <v>4546</v>
      </c>
      <c r="P30" s="11">
        <v>5086</v>
      </c>
      <c r="Q30" s="11">
        <v>1735</v>
      </c>
      <c r="R30" s="11">
        <v>4583</v>
      </c>
      <c r="S30" s="11">
        <v>3771</v>
      </c>
      <c r="T30" s="11">
        <v>3491</v>
      </c>
      <c r="U30" s="11">
        <v>874</v>
      </c>
      <c r="V30" s="11">
        <v>3847</v>
      </c>
      <c r="W30" s="11">
        <v>0</v>
      </c>
      <c r="X30" s="11">
        <v>0</v>
      </c>
    </row>
    <row r="31" spans="1:24" x14ac:dyDescent="0.2">
      <c r="A31" s="6" t="s">
        <v>256</v>
      </c>
      <c r="B31" s="11">
        <v>14082</v>
      </c>
      <c r="C31" s="11">
        <v>0</v>
      </c>
      <c r="D31" s="11">
        <v>0</v>
      </c>
      <c r="E31" s="11">
        <v>0</v>
      </c>
      <c r="F31" s="11">
        <v>113</v>
      </c>
      <c r="G31" s="11">
        <v>0</v>
      </c>
      <c r="H31" s="11">
        <v>0</v>
      </c>
      <c r="I31" s="11">
        <v>0</v>
      </c>
      <c r="J31" s="11">
        <v>18</v>
      </c>
      <c r="K31" s="11">
        <v>0</v>
      </c>
      <c r="L31" s="11">
        <v>0</v>
      </c>
      <c r="M31" s="11">
        <v>0</v>
      </c>
      <c r="N31" s="11">
        <v>3629</v>
      </c>
      <c r="O31" s="11">
        <v>3255</v>
      </c>
      <c r="P31" s="11">
        <v>3713</v>
      </c>
      <c r="Q31" s="11">
        <v>1651</v>
      </c>
      <c r="R31" s="11">
        <v>0</v>
      </c>
      <c r="S31" s="11">
        <v>0</v>
      </c>
      <c r="T31" s="11">
        <v>0</v>
      </c>
      <c r="U31" s="11">
        <v>1705</v>
      </c>
      <c r="V31" s="11">
        <v>0</v>
      </c>
      <c r="W31" s="11">
        <v>0</v>
      </c>
      <c r="X31" s="11">
        <v>0</v>
      </c>
    </row>
    <row r="32" spans="1:24" x14ac:dyDescent="0.2">
      <c r="A32" s="6" t="s">
        <v>257</v>
      </c>
      <c r="B32" s="11">
        <v>68420</v>
      </c>
      <c r="C32" s="11">
        <v>3863</v>
      </c>
      <c r="D32" s="11">
        <v>3745</v>
      </c>
      <c r="E32" s="11">
        <v>1329</v>
      </c>
      <c r="F32" s="11">
        <v>2765</v>
      </c>
      <c r="G32" s="11">
        <v>2839</v>
      </c>
      <c r="H32" s="11">
        <v>3185</v>
      </c>
      <c r="I32" s="11">
        <v>3643</v>
      </c>
      <c r="J32" s="11">
        <v>2931</v>
      </c>
      <c r="K32" s="11">
        <v>2164</v>
      </c>
      <c r="L32" s="11">
        <v>4074</v>
      </c>
      <c r="M32" s="11">
        <v>5412</v>
      </c>
      <c r="N32" s="11">
        <v>4082</v>
      </c>
      <c r="O32" s="11">
        <v>4401</v>
      </c>
      <c r="P32" s="11">
        <v>4352</v>
      </c>
      <c r="Q32" s="11">
        <v>3861</v>
      </c>
      <c r="R32" s="11">
        <v>3883</v>
      </c>
      <c r="S32" s="11">
        <v>0</v>
      </c>
      <c r="T32" s="11">
        <v>3996</v>
      </c>
      <c r="U32" s="11">
        <v>2083</v>
      </c>
      <c r="V32" s="11">
        <v>3674</v>
      </c>
      <c r="W32" s="11">
        <v>2137</v>
      </c>
      <c r="X32" s="11">
        <v>0</v>
      </c>
    </row>
    <row r="33" spans="1:24" x14ac:dyDescent="0.2">
      <c r="A33" s="6" t="s">
        <v>258</v>
      </c>
      <c r="B33" s="11">
        <v>3289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3207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83</v>
      </c>
      <c r="V33" s="11">
        <v>0</v>
      </c>
      <c r="W33" s="11">
        <v>0</v>
      </c>
      <c r="X33" s="11">
        <v>0</v>
      </c>
    </row>
    <row r="34" spans="1:24" x14ac:dyDescent="0.2">
      <c r="A34" s="6" t="s">
        <v>259</v>
      </c>
      <c r="B34" s="11">
        <v>139262</v>
      </c>
      <c r="C34" s="11">
        <v>6237</v>
      </c>
      <c r="D34" s="11">
        <v>11809</v>
      </c>
      <c r="E34" s="11">
        <v>6999</v>
      </c>
      <c r="F34" s="11">
        <v>11756</v>
      </c>
      <c r="G34" s="11">
        <v>4430</v>
      </c>
      <c r="H34" s="11">
        <v>8453</v>
      </c>
      <c r="I34" s="11">
        <v>4883</v>
      </c>
      <c r="J34" s="11">
        <v>4115</v>
      </c>
      <c r="K34" s="11">
        <v>2992</v>
      </c>
      <c r="L34" s="11">
        <v>10667</v>
      </c>
      <c r="M34" s="11">
        <v>11142</v>
      </c>
      <c r="N34" s="11">
        <v>21526</v>
      </c>
      <c r="O34" s="11">
        <v>9410</v>
      </c>
      <c r="P34" s="11">
        <v>9374</v>
      </c>
      <c r="Q34" s="11">
        <v>2965</v>
      </c>
      <c r="R34" s="11">
        <v>6698</v>
      </c>
      <c r="S34" s="11">
        <v>0</v>
      </c>
      <c r="T34" s="11">
        <v>1451</v>
      </c>
      <c r="U34" s="11">
        <v>443</v>
      </c>
      <c r="V34" s="11">
        <v>3909</v>
      </c>
      <c r="W34" s="11">
        <v>0</v>
      </c>
      <c r="X34" s="11">
        <v>0</v>
      </c>
    </row>
    <row r="35" spans="1:24" x14ac:dyDescent="0.2">
      <c r="A35" s="6" t="s">
        <v>260</v>
      </c>
      <c r="B35" s="11">
        <v>122564</v>
      </c>
      <c r="C35" s="11">
        <v>7051</v>
      </c>
      <c r="D35" s="11">
        <v>1524</v>
      </c>
      <c r="E35" s="11">
        <v>6628</v>
      </c>
      <c r="F35" s="11">
        <v>1960</v>
      </c>
      <c r="G35" s="11">
        <v>7890</v>
      </c>
      <c r="H35" s="11">
        <v>3169</v>
      </c>
      <c r="I35" s="11">
        <v>4932</v>
      </c>
      <c r="J35" s="11">
        <v>10724</v>
      </c>
      <c r="K35" s="11">
        <v>9086</v>
      </c>
      <c r="L35" s="11">
        <v>4989</v>
      </c>
      <c r="M35" s="11">
        <v>5535</v>
      </c>
      <c r="N35" s="11">
        <v>6129</v>
      </c>
      <c r="O35" s="11">
        <v>7475</v>
      </c>
      <c r="P35" s="11">
        <v>6950</v>
      </c>
      <c r="Q35" s="11">
        <v>11195</v>
      </c>
      <c r="R35" s="11">
        <v>9472</v>
      </c>
      <c r="S35" s="11">
        <v>0</v>
      </c>
      <c r="T35" s="11">
        <v>6572</v>
      </c>
      <c r="U35" s="11">
        <v>3390</v>
      </c>
      <c r="V35" s="11">
        <v>3503</v>
      </c>
      <c r="W35" s="11">
        <v>4392</v>
      </c>
      <c r="X35" s="11">
        <v>0</v>
      </c>
    </row>
    <row r="36" spans="1:24" x14ac:dyDescent="0.2">
      <c r="A36" s="6" t="s">
        <v>261</v>
      </c>
      <c r="B36" s="11">
        <v>45657</v>
      </c>
      <c r="C36" s="11">
        <v>0</v>
      </c>
      <c r="D36" s="11">
        <v>0</v>
      </c>
      <c r="E36" s="11">
        <v>3538</v>
      </c>
      <c r="F36" s="11">
        <v>0</v>
      </c>
      <c r="G36" s="11">
        <v>3429</v>
      </c>
      <c r="H36" s="11">
        <v>1363</v>
      </c>
      <c r="I36" s="11">
        <v>0</v>
      </c>
      <c r="J36" s="11">
        <v>5634</v>
      </c>
      <c r="K36" s="11">
        <v>2212</v>
      </c>
      <c r="L36" s="11">
        <v>4575</v>
      </c>
      <c r="M36" s="11">
        <v>4878</v>
      </c>
      <c r="N36" s="11">
        <v>5071</v>
      </c>
      <c r="O36" s="11">
        <v>8088</v>
      </c>
      <c r="P36" s="11">
        <v>1760</v>
      </c>
      <c r="Q36" s="11">
        <v>5109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</row>
    <row r="37" spans="1:24" x14ac:dyDescent="0.2">
      <c r="A37" s="6" t="s">
        <v>262</v>
      </c>
      <c r="B37" s="11">
        <v>12646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3650</v>
      </c>
      <c r="M37" s="11">
        <v>0</v>
      </c>
      <c r="N37" s="11">
        <v>0</v>
      </c>
      <c r="O37" s="11">
        <v>0</v>
      </c>
      <c r="P37" s="11">
        <v>4765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4230</v>
      </c>
      <c r="W37" s="11">
        <v>0</v>
      </c>
      <c r="X37" s="11">
        <v>0</v>
      </c>
    </row>
    <row r="38" spans="1:24" x14ac:dyDescent="0.2">
      <c r="A38" s="6" t="s">
        <v>263</v>
      </c>
      <c r="B38" s="11">
        <v>15908</v>
      </c>
      <c r="C38" s="11">
        <v>5484</v>
      </c>
      <c r="D38" s="11">
        <v>0</v>
      </c>
      <c r="E38" s="11">
        <v>513</v>
      </c>
      <c r="F38" s="11">
        <v>0</v>
      </c>
      <c r="G38" s="11">
        <v>3959</v>
      </c>
      <c r="H38" s="11">
        <v>2718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1048</v>
      </c>
      <c r="Q38" s="11">
        <v>1210</v>
      </c>
      <c r="R38" s="11">
        <v>977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</row>
    <row r="39" spans="1:24" x14ac:dyDescent="0.2">
      <c r="A39" s="6" t="s">
        <v>264</v>
      </c>
      <c r="B39" s="11">
        <v>109516</v>
      </c>
      <c r="C39" s="11">
        <v>6943</v>
      </c>
      <c r="D39" s="11">
        <v>5987</v>
      </c>
      <c r="E39" s="11">
        <v>6065</v>
      </c>
      <c r="F39" s="11">
        <v>2324</v>
      </c>
      <c r="G39" s="11">
        <v>6831</v>
      </c>
      <c r="H39" s="11">
        <v>1648</v>
      </c>
      <c r="I39" s="11">
        <v>7286</v>
      </c>
      <c r="J39" s="11">
        <v>1978</v>
      </c>
      <c r="K39" s="11">
        <v>0</v>
      </c>
      <c r="L39" s="11">
        <v>1113</v>
      </c>
      <c r="M39" s="11">
        <v>7029</v>
      </c>
      <c r="N39" s="11">
        <v>10508</v>
      </c>
      <c r="O39" s="11">
        <v>3215</v>
      </c>
      <c r="P39" s="11">
        <v>11087</v>
      </c>
      <c r="Q39" s="11">
        <v>9621</v>
      </c>
      <c r="R39" s="11">
        <v>7154</v>
      </c>
      <c r="S39" s="11">
        <v>5134</v>
      </c>
      <c r="T39" s="11">
        <v>4679</v>
      </c>
      <c r="U39" s="11">
        <v>3903</v>
      </c>
      <c r="V39" s="11">
        <v>7011</v>
      </c>
      <c r="W39" s="11">
        <v>0</v>
      </c>
      <c r="X39" s="11">
        <v>0</v>
      </c>
    </row>
    <row r="40" spans="1:24" x14ac:dyDescent="0.2">
      <c r="A40" s="6" t="s">
        <v>265</v>
      </c>
      <c r="B40" s="11">
        <v>35595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4281</v>
      </c>
      <c r="K40" s="11">
        <v>4261</v>
      </c>
      <c r="L40" s="11">
        <v>4765</v>
      </c>
      <c r="M40" s="11">
        <v>3482</v>
      </c>
      <c r="N40" s="11">
        <v>4095</v>
      </c>
      <c r="O40" s="11">
        <v>3718</v>
      </c>
      <c r="P40" s="11">
        <v>5696</v>
      </c>
      <c r="Q40" s="11">
        <v>0</v>
      </c>
      <c r="R40" s="11">
        <v>0</v>
      </c>
      <c r="S40" s="11">
        <v>3783</v>
      </c>
      <c r="T40" s="11">
        <v>-118</v>
      </c>
      <c r="U40" s="11">
        <v>-468</v>
      </c>
      <c r="V40" s="11">
        <v>2101</v>
      </c>
      <c r="W40" s="11">
        <v>0</v>
      </c>
      <c r="X40" s="11">
        <v>0</v>
      </c>
    </row>
    <row r="41" spans="1:24" x14ac:dyDescent="0.2">
      <c r="A41" s="6" t="s">
        <v>266</v>
      </c>
      <c r="B41" s="11">
        <v>2802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2802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</row>
    <row r="42" spans="1:24" x14ac:dyDescent="0.2">
      <c r="A42" s="6" t="s">
        <v>267</v>
      </c>
      <c r="B42" s="11">
        <v>27442</v>
      </c>
      <c r="C42" s="11">
        <v>3678</v>
      </c>
      <c r="D42" s="11">
        <v>2736</v>
      </c>
      <c r="E42" s="11">
        <v>2299</v>
      </c>
      <c r="F42" s="11">
        <v>3760</v>
      </c>
      <c r="G42" s="11">
        <v>3711</v>
      </c>
      <c r="H42" s="11">
        <v>2851</v>
      </c>
      <c r="I42" s="11">
        <v>3674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4733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</row>
    <row r="43" spans="1:24" x14ac:dyDescent="0.2">
      <c r="A43" s="6" t="s">
        <v>268</v>
      </c>
      <c r="B43" s="11">
        <v>13172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4285</v>
      </c>
      <c r="O43" s="11">
        <v>0</v>
      </c>
      <c r="P43" s="11">
        <v>0</v>
      </c>
      <c r="Q43" s="11">
        <v>4032</v>
      </c>
      <c r="R43" s="11">
        <v>4855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</row>
    <row r="44" spans="1:24" x14ac:dyDescent="0.2">
      <c r="A44" s="6" t="s">
        <v>269</v>
      </c>
      <c r="B44" s="13">
        <v>3366125</v>
      </c>
      <c r="C44" s="13">
        <v>172344</v>
      </c>
      <c r="D44" s="13">
        <v>170625</v>
      </c>
      <c r="E44" s="13">
        <v>160545</v>
      </c>
      <c r="F44" s="13">
        <v>165682</v>
      </c>
      <c r="G44" s="13">
        <v>159747</v>
      </c>
      <c r="H44" s="13">
        <v>147259</v>
      </c>
      <c r="I44" s="13">
        <v>112920</v>
      </c>
      <c r="J44" s="13">
        <v>165671</v>
      </c>
      <c r="K44" s="13">
        <v>121311</v>
      </c>
      <c r="L44" s="13">
        <v>195676</v>
      </c>
      <c r="M44" s="13">
        <v>210564</v>
      </c>
      <c r="N44" s="13">
        <v>415853</v>
      </c>
      <c r="O44" s="13">
        <v>214207</v>
      </c>
      <c r="P44" s="13">
        <v>248214</v>
      </c>
      <c r="Q44" s="13">
        <v>227114</v>
      </c>
      <c r="R44" s="13">
        <v>215323</v>
      </c>
      <c r="S44" s="13">
        <v>71006</v>
      </c>
      <c r="T44" s="13">
        <v>61642</v>
      </c>
      <c r="U44" s="13">
        <v>39478</v>
      </c>
      <c r="V44" s="13">
        <v>70700</v>
      </c>
      <c r="W44" s="13">
        <v>20244</v>
      </c>
      <c r="X44" s="13">
        <v>0</v>
      </c>
    </row>
    <row r="45" spans="1:24" x14ac:dyDescent="0.2">
      <c r="A45" s="6" t="s">
        <v>270</v>
      </c>
      <c r="B45" s="15" t="s">
        <v>72</v>
      </c>
      <c r="C45" s="15" t="s">
        <v>72</v>
      </c>
      <c r="D45" s="15" t="s">
        <v>72</v>
      </c>
      <c r="E45" s="15" t="s">
        <v>72</v>
      </c>
      <c r="F45" s="15" t="s">
        <v>72</v>
      </c>
      <c r="G45" s="15" t="s">
        <v>72</v>
      </c>
      <c r="H45" s="15" t="s">
        <v>72</v>
      </c>
      <c r="I45" s="15" t="s">
        <v>72</v>
      </c>
      <c r="J45" s="15" t="s">
        <v>72</v>
      </c>
      <c r="K45" s="15" t="s">
        <v>72</v>
      </c>
      <c r="L45" s="15" t="s">
        <v>72</v>
      </c>
      <c r="M45" s="15" t="s">
        <v>72</v>
      </c>
      <c r="N45" s="15" t="s">
        <v>72</v>
      </c>
      <c r="O45" s="15" t="s">
        <v>72</v>
      </c>
      <c r="P45" s="15" t="s">
        <v>72</v>
      </c>
      <c r="Q45" s="15" t="s">
        <v>72</v>
      </c>
      <c r="R45" s="15" t="s">
        <v>72</v>
      </c>
      <c r="S45" s="15" t="s">
        <v>72</v>
      </c>
      <c r="T45" s="15" t="s">
        <v>72</v>
      </c>
      <c r="U45" s="15" t="s">
        <v>72</v>
      </c>
      <c r="V45" s="15" t="s">
        <v>72</v>
      </c>
      <c r="W45" s="15" t="s">
        <v>72</v>
      </c>
      <c r="X45" s="15" t="s">
        <v>72</v>
      </c>
    </row>
    <row r="46" spans="1:24" x14ac:dyDescent="0.2">
      <c r="A46" s="6" t="s">
        <v>271</v>
      </c>
      <c r="B46" s="11">
        <v>322928</v>
      </c>
      <c r="C46" s="11">
        <v>17363</v>
      </c>
      <c r="D46" s="11">
        <v>17296</v>
      </c>
      <c r="E46" s="11">
        <v>16593</v>
      </c>
      <c r="F46" s="11">
        <v>-2324</v>
      </c>
      <c r="G46" s="11">
        <v>17150</v>
      </c>
      <c r="H46" s="11">
        <v>15938</v>
      </c>
      <c r="I46" s="11">
        <v>11398</v>
      </c>
      <c r="J46" s="11">
        <v>17485</v>
      </c>
      <c r="K46" s="11">
        <v>12895</v>
      </c>
      <c r="L46" s="11">
        <v>19300</v>
      </c>
      <c r="M46" s="11">
        <v>22008</v>
      </c>
      <c r="N46" s="11">
        <v>40970</v>
      </c>
      <c r="O46" s="11">
        <v>21902</v>
      </c>
      <c r="P46" s="11">
        <v>25763</v>
      </c>
      <c r="Q46" s="11">
        <v>23662</v>
      </c>
      <c r="R46" s="11">
        <v>20962</v>
      </c>
      <c r="S46" s="11">
        <v>6015</v>
      </c>
      <c r="T46" s="11">
        <v>5174</v>
      </c>
      <c r="U46" s="11">
        <v>4123</v>
      </c>
      <c r="V46" s="11">
        <v>7031</v>
      </c>
      <c r="W46" s="11">
        <v>2224</v>
      </c>
      <c r="X46" s="11">
        <v>0</v>
      </c>
    </row>
    <row r="47" spans="1:24" x14ac:dyDescent="0.2">
      <c r="A47" s="6" t="s">
        <v>272</v>
      </c>
      <c r="B47" s="11">
        <v>162226</v>
      </c>
      <c r="C47" s="11">
        <v>10387</v>
      </c>
      <c r="D47" s="11">
        <v>6506</v>
      </c>
      <c r="E47" s="11">
        <v>4387</v>
      </c>
      <c r="F47" s="11">
        <v>4858</v>
      </c>
      <c r="G47" s="11">
        <v>6199</v>
      </c>
      <c r="H47" s="11">
        <v>4467</v>
      </c>
      <c r="I47" s="11">
        <v>6445</v>
      </c>
      <c r="J47" s="11">
        <v>13741</v>
      </c>
      <c r="K47" s="11">
        <v>2912</v>
      </c>
      <c r="L47" s="11">
        <v>25556</v>
      </c>
      <c r="M47" s="11">
        <v>6052</v>
      </c>
      <c r="N47" s="11">
        <v>10088</v>
      </c>
      <c r="O47" s="11">
        <v>14420</v>
      </c>
      <c r="P47" s="11">
        <v>9452</v>
      </c>
      <c r="Q47" s="11">
        <v>6344</v>
      </c>
      <c r="R47" s="11">
        <v>8286</v>
      </c>
      <c r="S47" s="11">
        <v>3460</v>
      </c>
      <c r="T47" s="11">
        <v>14815</v>
      </c>
      <c r="U47" s="11">
        <v>1022</v>
      </c>
      <c r="V47" s="11">
        <v>2025</v>
      </c>
      <c r="W47" s="11">
        <v>509</v>
      </c>
      <c r="X47" s="11">
        <v>292</v>
      </c>
    </row>
    <row r="48" spans="1:24" x14ac:dyDescent="0.2">
      <c r="A48" s="6" t="s">
        <v>273</v>
      </c>
      <c r="B48" s="13">
        <v>485154</v>
      </c>
      <c r="C48" s="13">
        <v>27750</v>
      </c>
      <c r="D48" s="13">
        <v>23802</v>
      </c>
      <c r="E48" s="13">
        <v>20980</v>
      </c>
      <c r="F48" s="13">
        <v>2534</v>
      </c>
      <c r="G48" s="13">
        <v>23349</v>
      </c>
      <c r="H48" s="13">
        <v>20405</v>
      </c>
      <c r="I48" s="13">
        <v>17843</v>
      </c>
      <c r="J48" s="13">
        <v>31226</v>
      </c>
      <c r="K48" s="13">
        <v>15807</v>
      </c>
      <c r="L48" s="13">
        <v>44856</v>
      </c>
      <c r="M48" s="13">
        <v>28060</v>
      </c>
      <c r="N48" s="13">
        <v>51058</v>
      </c>
      <c r="O48" s="13">
        <v>36322</v>
      </c>
      <c r="P48" s="13">
        <v>35215</v>
      </c>
      <c r="Q48" s="13">
        <v>30006</v>
      </c>
      <c r="R48" s="13">
        <v>29248</v>
      </c>
      <c r="S48" s="13">
        <v>9475</v>
      </c>
      <c r="T48" s="13">
        <v>19989</v>
      </c>
      <c r="U48" s="13">
        <v>5145</v>
      </c>
      <c r="V48" s="13">
        <v>9056</v>
      </c>
      <c r="W48" s="13">
        <v>2733</v>
      </c>
      <c r="X48" s="13">
        <v>292</v>
      </c>
    </row>
    <row r="49" spans="1:24" x14ac:dyDescent="0.2">
      <c r="A49" s="6" t="s">
        <v>274</v>
      </c>
      <c r="B49" s="14">
        <v>3851279</v>
      </c>
      <c r="C49" s="14">
        <v>200094</v>
      </c>
      <c r="D49" s="14">
        <v>194427</v>
      </c>
      <c r="E49" s="14">
        <v>181525</v>
      </c>
      <c r="F49" s="14">
        <v>168216</v>
      </c>
      <c r="G49" s="14">
        <v>183096</v>
      </c>
      <c r="H49" s="14">
        <v>167664</v>
      </c>
      <c r="I49" s="14">
        <v>130763</v>
      </c>
      <c r="J49" s="14">
        <v>196897</v>
      </c>
      <c r="K49" s="14">
        <v>137118</v>
      </c>
      <c r="L49" s="14">
        <v>240532</v>
      </c>
      <c r="M49" s="14">
        <v>238624</v>
      </c>
      <c r="N49" s="14">
        <v>466911</v>
      </c>
      <c r="O49" s="14">
        <v>250529</v>
      </c>
      <c r="P49" s="14">
        <v>283429</v>
      </c>
      <c r="Q49" s="14">
        <v>257120</v>
      </c>
      <c r="R49" s="14">
        <v>244571</v>
      </c>
      <c r="S49" s="14">
        <v>80481</v>
      </c>
      <c r="T49" s="14">
        <v>81631</v>
      </c>
      <c r="U49" s="14">
        <v>44623</v>
      </c>
      <c r="V49" s="14">
        <v>79756</v>
      </c>
      <c r="W49" s="14">
        <v>22977</v>
      </c>
      <c r="X49" s="14">
        <v>292</v>
      </c>
    </row>
    <row r="50" spans="1:24" x14ac:dyDescent="0.2">
      <c r="A50" s="4" t="s">
        <v>6</v>
      </c>
    </row>
    <row r="51" spans="1:24" x14ac:dyDescent="0.2">
      <c r="A51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90"/>
  <sheetViews>
    <sheetView workbookViewId="0"/>
  </sheetViews>
  <sheetFormatPr defaultColWidth="9.140625" defaultRowHeight="12.75" x14ac:dyDescent="0.2"/>
  <cols>
    <col min="1" max="1" width="37.14062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9.140625" style="3" customWidth="1"/>
    <col min="25" max="16384" width="9.140625" style="3"/>
  </cols>
  <sheetData>
    <row r="1" spans="1:23" ht="18" x14ac:dyDescent="0.25">
      <c r="A1" s="5" t="s">
        <v>0</v>
      </c>
    </row>
    <row r="2" spans="1:23" ht="18" x14ac:dyDescent="0.25">
      <c r="A2" s="5" t="s">
        <v>275</v>
      </c>
    </row>
    <row r="3" spans="1:23" ht="18" x14ac:dyDescent="0.25">
      <c r="A3" s="5" t="s">
        <v>2</v>
      </c>
    </row>
    <row r="4" spans="1:23" x14ac:dyDescent="0.2">
      <c r="A4" s="6" t="s">
        <v>3</v>
      </c>
      <c r="B4" s="6" t="s">
        <v>4</v>
      </c>
    </row>
    <row r="5" spans="1:23" x14ac:dyDescent="0.2">
      <c r="A5" s="6" t="s">
        <v>5</v>
      </c>
      <c r="B5" s="6" t="s">
        <v>0</v>
      </c>
    </row>
    <row r="6" spans="1:23" x14ac:dyDescent="0.2">
      <c r="A6" s="4" t="s">
        <v>6</v>
      </c>
    </row>
    <row r="7" spans="1:23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</row>
    <row r="8" spans="1:23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</row>
    <row r="9" spans="1:23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</row>
    <row r="10" spans="1:23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</row>
    <row r="11" spans="1:23" x14ac:dyDescent="0.2">
      <c r="A11" s="6" t="s">
        <v>276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</row>
    <row r="12" spans="1:23" x14ac:dyDescent="0.2">
      <c r="A12" s="6" t="s">
        <v>277</v>
      </c>
      <c r="B12" s="6" t="s">
        <v>72</v>
      </c>
      <c r="C12" s="6" t="s">
        <v>72</v>
      </c>
      <c r="D12" s="6" t="s">
        <v>72</v>
      </c>
      <c r="E12" s="6" t="s">
        <v>72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</row>
    <row r="13" spans="1:23" x14ac:dyDescent="0.2">
      <c r="A13" s="6" t="s">
        <v>73</v>
      </c>
      <c r="B13" s="16">
        <v>140097.59</v>
      </c>
      <c r="C13" s="16">
        <v>6994.97</v>
      </c>
      <c r="D13" s="16">
        <v>315.38</v>
      </c>
      <c r="E13" s="16">
        <v>6779.3</v>
      </c>
      <c r="F13" s="16">
        <v>2645.6</v>
      </c>
      <c r="G13" s="16">
        <v>7238.06</v>
      </c>
      <c r="H13" s="16">
        <v>7239.01</v>
      </c>
      <c r="I13" s="16">
        <v>6690.34</v>
      </c>
      <c r="J13" s="16">
        <v>7805.46</v>
      </c>
      <c r="K13" s="16">
        <v>7663.2</v>
      </c>
      <c r="L13" s="16">
        <v>10015.790000000001</v>
      </c>
      <c r="M13" s="16">
        <v>8708.7900000000009</v>
      </c>
      <c r="N13" s="16">
        <v>9632.5499999999993</v>
      </c>
      <c r="O13" s="16">
        <v>8942.2999999999993</v>
      </c>
      <c r="P13" s="16">
        <v>6631.18</v>
      </c>
      <c r="Q13" s="16">
        <v>9544.52</v>
      </c>
      <c r="R13" s="16">
        <v>12598.34</v>
      </c>
      <c r="S13" s="16">
        <v>7111.61</v>
      </c>
      <c r="T13" s="16">
        <v>4598.8900000000003</v>
      </c>
      <c r="U13" s="16">
        <v>0</v>
      </c>
      <c r="V13" s="16">
        <v>8942.2999999999993</v>
      </c>
      <c r="W13" s="16">
        <v>0</v>
      </c>
    </row>
    <row r="14" spans="1:23" x14ac:dyDescent="0.2">
      <c r="A14" s="6" t="s">
        <v>74</v>
      </c>
      <c r="B14" s="16">
        <v>1241.6400000000001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1241.6400000000001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</row>
    <row r="15" spans="1:23" x14ac:dyDescent="0.2">
      <c r="A15" s="6" t="s">
        <v>75</v>
      </c>
      <c r="B15" s="16">
        <v>1250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1250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</row>
    <row r="16" spans="1:23" x14ac:dyDescent="0.2">
      <c r="A16" s="6" t="s">
        <v>76</v>
      </c>
      <c r="B16" s="16">
        <v>3053.57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196.43</v>
      </c>
      <c r="O16" s="16">
        <v>0</v>
      </c>
      <c r="P16" s="16">
        <v>0</v>
      </c>
      <c r="Q16" s="16">
        <v>2857.14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</row>
    <row r="17" spans="1:23" x14ac:dyDescent="0.2">
      <c r="A17" s="6" t="s">
        <v>77</v>
      </c>
      <c r="B17" s="16">
        <v>5229.58</v>
      </c>
      <c r="C17" s="16">
        <v>118.15</v>
      </c>
      <c r="D17" s="16">
        <v>0</v>
      </c>
      <c r="E17" s="16">
        <v>773.88</v>
      </c>
      <c r="F17" s="16">
        <v>0</v>
      </c>
      <c r="G17" s="16">
        <v>125.52</v>
      </c>
      <c r="H17" s="16">
        <v>125.54</v>
      </c>
      <c r="I17" s="16">
        <v>910.43</v>
      </c>
      <c r="J17" s="16">
        <v>132.91999999999999</v>
      </c>
      <c r="K17" s="16">
        <v>0</v>
      </c>
      <c r="L17" s="16">
        <v>155.08000000000001</v>
      </c>
      <c r="M17" s="16">
        <v>295.85000000000002</v>
      </c>
      <c r="N17" s="16">
        <v>650.89</v>
      </c>
      <c r="O17" s="16">
        <v>155.07</v>
      </c>
      <c r="P17" s="16">
        <v>0</v>
      </c>
      <c r="Q17" s="16">
        <v>-64.34</v>
      </c>
      <c r="R17" s="16">
        <v>1375.98</v>
      </c>
      <c r="S17" s="16">
        <v>0</v>
      </c>
      <c r="T17" s="16">
        <v>319.52999999999997</v>
      </c>
      <c r="U17" s="16">
        <v>0</v>
      </c>
      <c r="V17" s="16">
        <v>155.08000000000001</v>
      </c>
      <c r="W17" s="16">
        <v>0</v>
      </c>
    </row>
    <row r="18" spans="1:23" x14ac:dyDescent="0.2">
      <c r="A18" s="6" t="s">
        <v>278</v>
      </c>
      <c r="B18" s="21">
        <v>150872.38</v>
      </c>
      <c r="C18" s="21">
        <v>7113.12</v>
      </c>
      <c r="D18" s="21">
        <v>315.38</v>
      </c>
      <c r="E18" s="21">
        <v>7553.18</v>
      </c>
      <c r="F18" s="21">
        <v>2645.6</v>
      </c>
      <c r="G18" s="21">
        <v>7363.58</v>
      </c>
      <c r="H18" s="21">
        <v>7364.55</v>
      </c>
      <c r="I18" s="21">
        <v>8842.41</v>
      </c>
      <c r="J18" s="21">
        <v>7938.38</v>
      </c>
      <c r="K18" s="21">
        <v>7663.2</v>
      </c>
      <c r="L18" s="21">
        <v>10170.870000000001</v>
      </c>
      <c r="M18" s="21">
        <v>10254.64</v>
      </c>
      <c r="N18" s="21">
        <v>10479.870000000001</v>
      </c>
      <c r="O18" s="21">
        <v>9097.3700000000008</v>
      </c>
      <c r="P18" s="21">
        <v>6631.18</v>
      </c>
      <c r="Q18" s="21">
        <v>12337.32</v>
      </c>
      <c r="R18" s="21">
        <v>13974.32</v>
      </c>
      <c r="S18" s="21">
        <v>7111.61</v>
      </c>
      <c r="T18" s="21">
        <v>4918.42</v>
      </c>
      <c r="U18" s="21">
        <v>0</v>
      </c>
      <c r="V18" s="21">
        <v>9097.3799999999992</v>
      </c>
      <c r="W18" s="21">
        <v>0</v>
      </c>
    </row>
    <row r="19" spans="1:23" x14ac:dyDescent="0.2">
      <c r="A19" s="6" t="s">
        <v>279</v>
      </c>
      <c r="B19" s="15" t="s">
        <v>72</v>
      </c>
      <c r="C19" s="15" t="s">
        <v>72</v>
      </c>
      <c r="D19" s="15" t="s">
        <v>72</v>
      </c>
      <c r="E19" s="15" t="s">
        <v>72</v>
      </c>
      <c r="F19" s="15" t="s">
        <v>72</v>
      </c>
      <c r="G19" s="15" t="s">
        <v>72</v>
      </c>
      <c r="H19" s="15" t="s">
        <v>72</v>
      </c>
      <c r="I19" s="15" t="s">
        <v>72</v>
      </c>
      <c r="J19" s="15" t="s">
        <v>72</v>
      </c>
      <c r="K19" s="15" t="s">
        <v>72</v>
      </c>
      <c r="L19" s="15" t="s">
        <v>72</v>
      </c>
      <c r="M19" s="15" t="s">
        <v>72</v>
      </c>
      <c r="N19" s="15" t="s">
        <v>72</v>
      </c>
      <c r="O19" s="15" t="s">
        <v>72</v>
      </c>
      <c r="P19" s="15" t="s">
        <v>72</v>
      </c>
      <c r="Q19" s="15" t="s">
        <v>72</v>
      </c>
      <c r="R19" s="15" t="s">
        <v>72</v>
      </c>
      <c r="S19" s="15" t="s">
        <v>72</v>
      </c>
      <c r="T19" s="15" t="s">
        <v>72</v>
      </c>
      <c r="U19" s="15" t="s">
        <v>72</v>
      </c>
      <c r="V19" s="15" t="s">
        <v>72</v>
      </c>
      <c r="W19" s="15" t="s">
        <v>72</v>
      </c>
    </row>
    <row r="20" spans="1:23" x14ac:dyDescent="0.2">
      <c r="A20" s="6" t="s">
        <v>73</v>
      </c>
      <c r="B20" s="16">
        <v>57208.72</v>
      </c>
      <c r="C20" s="16">
        <v>6235.5</v>
      </c>
      <c r="D20" s="16">
        <v>0</v>
      </c>
      <c r="E20" s="16">
        <v>0</v>
      </c>
      <c r="F20" s="16">
        <v>1217.57</v>
      </c>
      <c r="G20" s="16">
        <v>6417.15</v>
      </c>
      <c r="H20" s="16">
        <v>2274.63</v>
      </c>
      <c r="I20" s="16">
        <v>3268.93</v>
      </c>
      <c r="J20" s="16">
        <v>0</v>
      </c>
      <c r="K20" s="16">
        <v>0</v>
      </c>
      <c r="L20" s="16">
        <v>6794.28</v>
      </c>
      <c r="M20" s="16">
        <v>6022.86</v>
      </c>
      <c r="N20" s="16">
        <v>7239.01</v>
      </c>
      <c r="O20" s="16">
        <v>6813.18</v>
      </c>
      <c r="P20" s="16">
        <v>3956.05</v>
      </c>
      <c r="Q20" s="16">
        <v>0</v>
      </c>
      <c r="R20" s="16">
        <v>6969.56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</row>
    <row r="21" spans="1:23" x14ac:dyDescent="0.2">
      <c r="A21" s="6" t="s">
        <v>74</v>
      </c>
      <c r="B21" s="16">
        <v>7493.74</v>
      </c>
      <c r="C21" s="16">
        <v>1046.68</v>
      </c>
      <c r="D21" s="16">
        <v>0</v>
      </c>
      <c r="E21" s="16">
        <v>0</v>
      </c>
      <c r="F21" s="16">
        <v>0</v>
      </c>
      <c r="G21" s="16">
        <v>4648.22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1253.1400000000001</v>
      </c>
      <c r="N21" s="16">
        <v>545.70000000000005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</row>
    <row r="22" spans="1:23" x14ac:dyDescent="0.2">
      <c r="A22" s="6" t="s">
        <v>75</v>
      </c>
      <c r="B22" s="16">
        <v>1285.71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1285.71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</row>
    <row r="23" spans="1:23" x14ac:dyDescent="0.2">
      <c r="A23" s="6" t="s">
        <v>76</v>
      </c>
      <c r="B23" s="16">
        <v>191.07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191.07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</row>
    <row r="24" spans="1:23" x14ac:dyDescent="0.2">
      <c r="A24" s="6" t="s">
        <v>77</v>
      </c>
      <c r="B24" s="16">
        <v>3663.21</v>
      </c>
      <c r="C24" s="16">
        <v>508.04</v>
      </c>
      <c r="D24" s="16">
        <v>0</v>
      </c>
      <c r="E24" s="16">
        <v>-79.47</v>
      </c>
      <c r="F24" s="16">
        <v>-2.92</v>
      </c>
      <c r="G24" s="16">
        <v>496.89</v>
      </c>
      <c r="H24" s="16">
        <v>99.21</v>
      </c>
      <c r="I24" s="16">
        <v>0</v>
      </c>
      <c r="J24" s="16">
        <v>0</v>
      </c>
      <c r="K24" s="16">
        <v>0</v>
      </c>
      <c r="L24" s="16">
        <v>245.76</v>
      </c>
      <c r="M24" s="16">
        <v>634.20000000000005</v>
      </c>
      <c r="N24" s="16">
        <v>251.08</v>
      </c>
      <c r="O24" s="16">
        <v>413.54</v>
      </c>
      <c r="P24" s="16">
        <v>1154.3499999999999</v>
      </c>
      <c r="Q24" s="16">
        <v>0</v>
      </c>
      <c r="R24" s="16">
        <v>-57.47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</row>
    <row r="25" spans="1:23" x14ac:dyDescent="0.2">
      <c r="A25" s="6" t="s">
        <v>280</v>
      </c>
      <c r="B25" s="21">
        <v>69842.45</v>
      </c>
      <c r="C25" s="21">
        <v>7790.22</v>
      </c>
      <c r="D25" s="21">
        <v>0</v>
      </c>
      <c r="E25" s="21">
        <v>-79.47</v>
      </c>
      <c r="F25" s="21">
        <v>1214.6500000000001</v>
      </c>
      <c r="G25" s="21">
        <v>11562.26</v>
      </c>
      <c r="H25" s="21">
        <v>2373.84</v>
      </c>
      <c r="I25" s="21">
        <v>3268.93</v>
      </c>
      <c r="J25" s="21">
        <v>0</v>
      </c>
      <c r="K25" s="21">
        <v>0</v>
      </c>
      <c r="L25" s="21">
        <v>7040.04</v>
      </c>
      <c r="M25" s="21">
        <v>7910.2</v>
      </c>
      <c r="N25" s="21">
        <v>9512.57</v>
      </c>
      <c r="O25" s="21">
        <v>7226.72</v>
      </c>
      <c r="P25" s="21">
        <v>5110.3999999999996</v>
      </c>
      <c r="Q25" s="21">
        <v>0</v>
      </c>
      <c r="R25" s="21">
        <v>6912.09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</row>
    <row r="26" spans="1:23" x14ac:dyDescent="0.2">
      <c r="A26" s="6" t="s">
        <v>281</v>
      </c>
      <c r="B26" s="15" t="s">
        <v>72</v>
      </c>
      <c r="C26" s="15" t="s">
        <v>72</v>
      </c>
      <c r="D26" s="15" t="s">
        <v>72</v>
      </c>
      <c r="E26" s="15" t="s">
        <v>72</v>
      </c>
      <c r="F26" s="15" t="s">
        <v>72</v>
      </c>
      <c r="G26" s="15" t="s">
        <v>72</v>
      </c>
      <c r="H26" s="15" t="s">
        <v>72</v>
      </c>
      <c r="I26" s="15" t="s">
        <v>72</v>
      </c>
      <c r="J26" s="15" t="s">
        <v>72</v>
      </c>
      <c r="K26" s="15" t="s">
        <v>72</v>
      </c>
      <c r="L26" s="15" t="s">
        <v>72</v>
      </c>
      <c r="M26" s="15" t="s">
        <v>72</v>
      </c>
      <c r="N26" s="15" t="s">
        <v>72</v>
      </c>
      <c r="O26" s="15" t="s">
        <v>72</v>
      </c>
      <c r="P26" s="15" t="s">
        <v>72</v>
      </c>
      <c r="Q26" s="15" t="s">
        <v>72</v>
      </c>
      <c r="R26" s="15" t="s">
        <v>72</v>
      </c>
      <c r="S26" s="15" t="s">
        <v>72</v>
      </c>
      <c r="T26" s="15" t="s">
        <v>72</v>
      </c>
      <c r="U26" s="15" t="s">
        <v>72</v>
      </c>
      <c r="V26" s="15" t="s">
        <v>72</v>
      </c>
      <c r="W26" s="15" t="s">
        <v>72</v>
      </c>
    </row>
    <row r="27" spans="1:23" x14ac:dyDescent="0.2">
      <c r="A27" s="6" t="s">
        <v>73</v>
      </c>
      <c r="B27" s="16">
        <v>20967.169999999998</v>
      </c>
      <c r="C27" s="16">
        <v>0</v>
      </c>
      <c r="D27" s="16">
        <v>3063.74</v>
      </c>
      <c r="E27" s="16">
        <v>0</v>
      </c>
      <c r="F27" s="16">
        <v>4895.6000000000004</v>
      </c>
      <c r="G27" s="16">
        <v>4065.39</v>
      </c>
      <c r="H27" s="16">
        <v>3807.02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5135.42</v>
      </c>
      <c r="V27" s="16">
        <v>0</v>
      </c>
      <c r="W27" s="16">
        <v>0</v>
      </c>
    </row>
    <row r="28" spans="1:23" x14ac:dyDescent="0.2">
      <c r="A28" s="6" t="s">
        <v>74</v>
      </c>
      <c r="B28" s="16">
        <v>179.59</v>
      </c>
      <c r="C28" s="16">
        <v>0</v>
      </c>
      <c r="D28" s="16">
        <v>0</v>
      </c>
      <c r="E28" s="16">
        <v>0</v>
      </c>
      <c r="F28" s="16">
        <v>0</v>
      </c>
      <c r="G28" s="16">
        <v>179.59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</row>
    <row r="29" spans="1:23" x14ac:dyDescent="0.2">
      <c r="A29" s="6" t="s">
        <v>77</v>
      </c>
      <c r="B29" s="16">
        <v>302.3</v>
      </c>
      <c r="C29" s="16">
        <v>0</v>
      </c>
      <c r="D29" s="16">
        <v>-54.5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356.8</v>
      </c>
      <c r="V29" s="16">
        <v>0</v>
      </c>
      <c r="W29" s="16">
        <v>0</v>
      </c>
    </row>
    <row r="30" spans="1:23" x14ac:dyDescent="0.2">
      <c r="A30" s="6" t="s">
        <v>282</v>
      </c>
      <c r="B30" s="21">
        <v>21449.06</v>
      </c>
      <c r="C30" s="21">
        <v>0</v>
      </c>
      <c r="D30" s="21">
        <v>3009.24</v>
      </c>
      <c r="E30" s="21">
        <v>0</v>
      </c>
      <c r="F30" s="21">
        <v>4895.6000000000004</v>
      </c>
      <c r="G30" s="21">
        <v>4244.9799999999996</v>
      </c>
      <c r="H30" s="21">
        <v>3807.02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5492.22</v>
      </c>
      <c r="V30" s="21">
        <v>0</v>
      </c>
      <c r="W30" s="21">
        <v>0</v>
      </c>
    </row>
    <row r="31" spans="1:23" x14ac:dyDescent="0.2">
      <c r="A31" s="6" t="s">
        <v>283</v>
      </c>
      <c r="B31" s="15" t="s">
        <v>72</v>
      </c>
      <c r="C31" s="15" t="s">
        <v>72</v>
      </c>
      <c r="D31" s="15" t="s">
        <v>72</v>
      </c>
      <c r="E31" s="15" t="s">
        <v>72</v>
      </c>
      <c r="F31" s="15" t="s">
        <v>72</v>
      </c>
      <c r="G31" s="15" t="s">
        <v>72</v>
      </c>
      <c r="H31" s="15" t="s">
        <v>72</v>
      </c>
      <c r="I31" s="15" t="s">
        <v>72</v>
      </c>
      <c r="J31" s="15" t="s">
        <v>72</v>
      </c>
      <c r="K31" s="15" t="s">
        <v>72</v>
      </c>
      <c r="L31" s="15" t="s">
        <v>72</v>
      </c>
      <c r="M31" s="15" t="s">
        <v>72</v>
      </c>
      <c r="N31" s="15" t="s">
        <v>72</v>
      </c>
      <c r="O31" s="15" t="s">
        <v>72</v>
      </c>
      <c r="P31" s="15" t="s">
        <v>72</v>
      </c>
      <c r="Q31" s="15" t="s">
        <v>72</v>
      </c>
      <c r="R31" s="15" t="s">
        <v>72</v>
      </c>
      <c r="S31" s="15" t="s">
        <v>72</v>
      </c>
      <c r="T31" s="15" t="s">
        <v>72</v>
      </c>
      <c r="U31" s="15" t="s">
        <v>72</v>
      </c>
      <c r="V31" s="15" t="s">
        <v>72</v>
      </c>
      <c r="W31" s="15" t="s">
        <v>72</v>
      </c>
    </row>
    <row r="32" spans="1:23" x14ac:dyDescent="0.2">
      <c r="A32" s="6" t="s">
        <v>73</v>
      </c>
      <c r="B32" s="16">
        <v>186231.22</v>
      </c>
      <c r="C32" s="16">
        <v>15123.93</v>
      </c>
      <c r="D32" s="16">
        <v>31958.04</v>
      </c>
      <c r="E32" s="16">
        <v>6323.4</v>
      </c>
      <c r="F32" s="16">
        <v>7289.25</v>
      </c>
      <c r="G32" s="16">
        <v>6946.57</v>
      </c>
      <c r="H32" s="16">
        <v>10435.129999999999</v>
      </c>
      <c r="I32" s="16">
        <v>4332</v>
      </c>
      <c r="J32" s="16">
        <v>14040</v>
      </c>
      <c r="K32" s="16">
        <v>4859.37</v>
      </c>
      <c r="L32" s="16">
        <v>9319.7199999999993</v>
      </c>
      <c r="M32" s="16">
        <v>11104.18</v>
      </c>
      <c r="N32" s="16">
        <v>18728.66</v>
      </c>
      <c r="O32" s="16">
        <v>9645.0300000000007</v>
      </c>
      <c r="P32" s="16">
        <v>7231.37</v>
      </c>
      <c r="Q32" s="16">
        <v>3653.51</v>
      </c>
      <c r="R32" s="16">
        <v>12193.52</v>
      </c>
      <c r="S32" s="16">
        <v>5503.75</v>
      </c>
      <c r="T32" s="16">
        <v>4033.28</v>
      </c>
      <c r="U32" s="16">
        <v>1308.3499999999999</v>
      </c>
      <c r="V32" s="16">
        <v>2202.16</v>
      </c>
      <c r="W32" s="16">
        <v>0</v>
      </c>
    </row>
    <row r="33" spans="1:23" x14ac:dyDescent="0.2">
      <c r="A33" s="6" t="s">
        <v>74</v>
      </c>
      <c r="B33" s="16">
        <v>22269.84</v>
      </c>
      <c r="C33" s="16">
        <v>2597.37</v>
      </c>
      <c r="D33" s="16">
        <v>3270.81</v>
      </c>
      <c r="E33" s="16">
        <v>1086.8599999999999</v>
      </c>
      <c r="F33" s="16">
        <v>1249.8800000000001</v>
      </c>
      <c r="G33" s="16">
        <v>311.45999999999998</v>
      </c>
      <c r="H33" s="16">
        <v>336</v>
      </c>
      <c r="I33" s="16">
        <v>0</v>
      </c>
      <c r="J33" s="16">
        <v>1478.58</v>
      </c>
      <c r="K33" s="16">
        <v>0</v>
      </c>
      <c r="L33" s="16">
        <v>1560.68</v>
      </c>
      <c r="M33" s="16">
        <v>0</v>
      </c>
      <c r="N33" s="16">
        <v>5173.7</v>
      </c>
      <c r="O33" s="16">
        <v>644.63</v>
      </c>
      <c r="P33" s="16">
        <v>1380</v>
      </c>
      <c r="Q33" s="16">
        <v>0</v>
      </c>
      <c r="R33" s="16">
        <v>3103.93</v>
      </c>
      <c r="S33" s="16">
        <v>75.94</v>
      </c>
      <c r="T33" s="16">
        <v>0</v>
      </c>
      <c r="U33" s="16">
        <v>0</v>
      </c>
      <c r="V33" s="16">
        <v>0</v>
      </c>
      <c r="W33" s="16">
        <v>0</v>
      </c>
    </row>
    <row r="34" spans="1:23" x14ac:dyDescent="0.2">
      <c r="A34" s="6" t="s">
        <v>75</v>
      </c>
      <c r="B34" s="16">
        <v>3517.86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2946.43</v>
      </c>
      <c r="M34" s="16">
        <v>0</v>
      </c>
      <c r="N34" s="16">
        <v>0</v>
      </c>
      <c r="O34" s="16">
        <v>0</v>
      </c>
      <c r="P34" s="16">
        <v>571.42999999999995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</row>
    <row r="35" spans="1:23" x14ac:dyDescent="0.2">
      <c r="A35" s="6" t="s">
        <v>76</v>
      </c>
      <c r="B35" s="16">
        <v>552.85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157.13999999999999</v>
      </c>
      <c r="O35" s="16">
        <v>174.28</v>
      </c>
      <c r="P35" s="16">
        <v>50</v>
      </c>
      <c r="Q35" s="16">
        <v>171.43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</row>
    <row r="36" spans="1:23" x14ac:dyDescent="0.2">
      <c r="A36" s="6" t="s">
        <v>77</v>
      </c>
      <c r="B36" s="16">
        <v>11057.95</v>
      </c>
      <c r="C36" s="16">
        <v>2451.36</v>
      </c>
      <c r="D36" s="16">
        <v>2147.4299999999998</v>
      </c>
      <c r="E36" s="16">
        <v>398.23</v>
      </c>
      <c r="F36" s="16">
        <v>142.13</v>
      </c>
      <c r="G36" s="16">
        <v>503.2</v>
      </c>
      <c r="H36" s="16">
        <v>458.5</v>
      </c>
      <c r="I36" s="16">
        <v>172</v>
      </c>
      <c r="J36" s="16">
        <v>553.75</v>
      </c>
      <c r="K36" s="16">
        <v>1453.36</v>
      </c>
      <c r="L36" s="16">
        <v>0</v>
      </c>
      <c r="M36" s="16">
        <v>-614.94000000000005</v>
      </c>
      <c r="N36" s="16">
        <v>1220.47</v>
      </c>
      <c r="O36" s="16">
        <v>894.92</v>
      </c>
      <c r="P36" s="16">
        <v>428.19</v>
      </c>
      <c r="Q36" s="16">
        <v>71.73</v>
      </c>
      <c r="R36" s="16">
        <v>504.03</v>
      </c>
      <c r="S36" s="16">
        <v>0</v>
      </c>
      <c r="T36" s="16">
        <v>205.5</v>
      </c>
      <c r="U36" s="16">
        <v>21.21</v>
      </c>
      <c r="V36" s="16">
        <v>46.88</v>
      </c>
      <c r="W36" s="16">
        <v>0</v>
      </c>
    </row>
    <row r="37" spans="1:23" x14ac:dyDescent="0.2">
      <c r="A37" s="6" t="s">
        <v>284</v>
      </c>
      <c r="B37" s="21">
        <v>223629.72</v>
      </c>
      <c r="C37" s="21">
        <v>20172.66</v>
      </c>
      <c r="D37" s="21">
        <v>37376.28</v>
      </c>
      <c r="E37" s="21">
        <v>7808.49</v>
      </c>
      <c r="F37" s="21">
        <v>8681.26</v>
      </c>
      <c r="G37" s="21">
        <v>7761.23</v>
      </c>
      <c r="H37" s="21">
        <v>11229.63</v>
      </c>
      <c r="I37" s="21">
        <v>4504</v>
      </c>
      <c r="J37" s="21">
        <v>16072.33</v>
      </c>
      <c r="K37" s="21">
        <v>6312.73</v>
      </c>
      <c r="L37" s="21">
        <v>13826.83</v>
      </c>
      <c r="M37" s="21">
        <v>10489.24</v>
      </c>
      <c r="N37" s="21">
        <v>25279.97</v>
      </c>
      <c r="O37" s="21">
        <v>11358.86</v>
      </c>
      <c r="P37" s="21">
        <v>9660.99</v>
      </c>
      <c r="Q37" s="21">
        <v>3896.67</v>
      </c>
      <c r="R37" s="21">
        <v>15801.48</v>
      </c>
      <c r="S37" s="21">
        <v>5579.69</v>
      </c>
      <c r="T37" s="21">
        <v>4238.78</v>
      </c>
      <c r="U37" s="21">
        <v>1329.56</v>
      </c>
      <c r="V37" s="21">
        <v>2249.04</v>
      </c>
      <c r="W37" s="21">
        <v>0</v>
      </c>
    </row>
    <row r="38" spans="1:23" x14ac:dyDescent="0.2">
      <c r="A38" s="6" t="s">
        <v>285</v>
      </c>
      <c r="B38" s="15" t="s">
        <v>72</v>
      </c>
      <c r="C38" s="15" t="s">
        <v>72</v>
      </c>
      <c r="D38" s="15" t="s">
        <v>72</v>
      </c>
      <c r="E38" s="15" t="s">
        <v>72</v>
      </c>
      <c r="F38" s="15" t="s">
        <v>72</v>
      </c>
      <c r="G38" s="15" t="s">
        <v>72</v>
      </c>
      <c r="H38" s="15" t="s">
        <v>72</v>
      </c>
      <c r="I38" s="15" t="s">
        <v>72</v>
      </c>
      <c r="J38" s="15" t="s">
        <v>72</v>
      </c>
      <c r="K38" s="15" t="s">
        <v>72</v>
      </c>
      <c r="L38" s="15" t="s">
        <v>72</v>
      </c>
      <c r="M38" s="15" t="s">
        <v>72</v>
      </c>
      <c r="N38" s="15" t="s">
        <v>72</v>
      </c>
      <c r="O38" s="15" t="s">
        <v>72</v>
      </c>
      <c r="P38" s="15" t="s">
        <v>72</v>
      </c>
      <c r="Q38" s="15" t="s">
        <v>72</v>
      </c>
      <c r="R38" s="15" t="s">
        <v>72</v>
      </c>
      <c r="S38" s="15" t="s">
        <v>72</v>
      </c>
      <c r="T38" s="15" t="s">
        <v>72</v>
      </c>
      <c r="U38" s="15" t="s">
        <v>72</v>
      </c>
      <c r="V38" s="15" t="s">
        <v>72</v>
      </c>
      <c r="W38" s="15" t="s">
        <v>72</v>
      </c>
    </row>
    <row r="39" spans="1:23" x14ac:dyDescent="0.2">
      <c r="A39" s="6" t="s">
        <v>73</v>
      </c>
      <c r="B39" s="16">
        <v>10450.799999999999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3657.5</v>
      </c>
      <c r="K39" s="16">
        <v>0</v>
      </c>
      <c r="L39" s="16">
        <v>0</v>
      </c>
      <c r="M39" s="16">
        <v>0</v>
      </c>
      <c r="N39" s="16">
        <v>6793.3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</row>
    <row r="40" spans="1:23" x14ac:dyDescent="0.2">
      <c r="A40" s="6" t="s">
        <v>74</v>
      </c>
      <c r="B40" s="16">
        <v>259.8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259.8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</row>
    <row r="41" spans="1:23" x14ac:dyDescent="0.2">
      <c r="A41" s="6" t="s">
        <v>76</v>
      </c>
      <c r="B41" s="16">
        <v>180.36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180.36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</row>
    <row r="42" spans="1:23" x14ac:dyDescent="0.2">
      <c r="A42" s="6" t="s">
        <v>77</v>
      </c>
      <c r="B42" s="16">
        <v>1230.3800000000001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287.7</v>
      </c>
      <c r="K42" s="16">
        <v>0</v>
      </c>
      <c r="L42" s="16">
        <v>0</v>
      </c>
      <c r="M42" s="16">
        <v>0</v>
      </c>
      <c r="N42" s="16">
        <v>942.68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</row>
    <row r="43" spans="1:23" x14ac:dyDescent="0.2">
      <c r="A43" s="6" t="s">
        <v>286</v>
      </c>
      <c r="B43" s="21">
        <v>12121.34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3945.2</v>
      </c>
      <c r="K43" s="21">
        <v>0</v>
      </c>
      <c r="L43" s="21">
        <v>0</v>
      </c>
      <c r="M43" s="21">
        <v>0</v>
      </c>
      <c r="N43" s="21">
        <v>8176.14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</row>
    <row r="44" spans="1:23" x14ac:dyDescent="0.2">
      <c r="A44" s="6" t="s">
        <v>287</v>
      </c>
      <c r="B44" s="15" t="s">
        <v>72</v>
      </c>
      <c r="C44" s="15" t="s">
        <v>72</v>
      </c>
      <c r="D44" s="15" t="s">
        <v>72</v>
      </c>
      <c r="E44" s="15" t="s">
        <v>72</v>
      </c>
      <c r="F44" s="15" t="s">
        <v>72</v>
      </c>
      <c r="G44" s="15" t="s">
        <v>72</v>
      </c>
      <c r="H44" s="15" t="s">
        <v>72</v>
      </c>
      <c r="I44" s="15" t="s">
        <v>72</v>
      </c>
      <c r="J44" s="15" t="s">
        <v>72</v>
      </c>
      <c r="K44" s="15" t="s">
        <v>72</v>
      </c>
      <c r="L44" s="15" t="s">
        <v>72</v>
      </c>
      <c r="M44" s="15" t="s">
        <v>72</v>
      </c>
      <c r="N44" s="15" t="s">
        <v>72</v>
      </c>
      <c r="O44" s="15" t="s">
        <v>72</v>
      </c>
      <c r="P44" s="15" t="s">
        <v>72</v>
      </c>
      <c r="Q44" s="15" t="s">
        <v>72</v>
      </c>
      <c r="R44" s="15" t="s">
        <v>72</v>
      </c>
      <c r="S44" s="15" t="s">
        <v>72</v>
      </c>
      <c r="T44" s="15" t="s">
        <v>72</v>
      </c>
      <c r="U44" s="15" t="s">
        <v>72</v>
      </c>
      <c r="V44" s="15" t="s">
        <v>72</v>
      </c>
      <c r="W44" s="15" t="s">
        <v>72</v>
      </c>
    </row>
    <row r="45" spans="1:23" x14ac:dyDescent="0.2">
      <c r="A45" s="6" t="s">
        <v>73</v>
      </c>
      <c r="B45" s="16">
        <v>6490.5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6490.5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</row>
    <row r="46" spans="1:23" x14ac:dyDescent="0.2">
      <c r="A46" s="6" t="s">
        <v>74</v>
      </c>
      <c r="B46" s="16">
        <v>388.12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388.12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</row>
    <row r="47" spans="1:23" x14ac:dyDescent="0.2">
      <c r="A47" s="6" t="s">
        <v>77</v>
      </c>
      <c r="B47" s="16">
        <v>978.46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978.46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</row>
    <row r="48" spans="1:23" x14ac:dyDescent="0.2">
      <c r="A48" s="6" t="s">
        <v>288</v>
      </c>
      <c r="B48" s="21">
        <v>7857.08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7857.08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</row>
    <row r="49" spans="1:23" x14ac:dyDescent="0.2">
      <c r="A49" s="6" t="s">
        <v>289</v>
      </c>
      <c r="B49" s="15" t="s">
        <v>72</v>
      </c>
      <c r="C49" s="15" t="s">
        <v>72</v>
      </c>
      <c r="D49" s="15" t="s">
        <v>72</v>
      </c>
      <c r="E49" s="15" t="s">
        <v>72</v>
      </c>
      <c r="F49" s="15" t="s">
        <v>72</v>
      </c>
      <c r="G49" s="15" t="s">
        <v>72</v>
      </c>
      <c r="H49" s="15" t="s">
        <v>72</v>
      </c>
      <c r="I49" s="15" t="s">
        <v>72</v>
      </c>
      <c r="J49" s="15" t="s">
        <v>72</v>
      </c>
      <c r="K49" s="15" t="s">
        <v>72</v>
      </c>
      <c r="L49" s="15" t="s">
        <v>72</v>
      </c>
      <c r="M49" s="15" t="s">
        <v>72</v>
      </c>
      <c r="N49" s="15" t="s">
        <v>72</v>
      </c>
      <c r="O49" s="15" t="s">
        <v>72</v>
      </c>
      <c r="P49" s="15" t="s">
        <v>72</v>
      </c>
      <c r="Q49" s="15" t="s">
        <v>72</v>
      </c>
      <c r="R49" s="15" t="s">
        <v>72</v>
      </c>
      <c r="S49" s="15" t="s">
        <v>72</v>
      </c>
      <c r="T49" s="15" t="s">
        <v>72</v>
      </c>
      <c r="U49" s="15" t="s">
        <v>72</v>
      </c>
      <c r="V49" s="15" t="s">
        <v>72</v>
      </c>
      <c r="W49" s="15" t="s">
        <v>72</v>
      </c>
    </row>
    <row r="50" spans="1:23" x14ac:dyDescent="0.2">
      <c r="A50" s="6" t="s">
        <v>73</v>
      </c>
      <c r="B50" s="16">
        <v>87521.2</v>
      </c>
      <c r="C50" s="16">
        <v>6908.57</v>
      </c>
      <c r="D50" s="16">
        <v>5449.48</v>
      </c>
      <c r="E50" s="16">
        <v>8475.34</v>
      </c>
      <c r="F50" s="16">
        <v>5778.53</v>
      </c>
      <c r="G50" s="16">
        <v>6008.57</v>
      </c>
      <c r="H50" s="16">
        <v>877.5</v>
      </c>
      <c r="I50" s="16">
        <v>6003</v>
      </c>
      <c r="J50" s="16">
        <v>0</v>
      </c>
      <c r="K50" s="16">
        <v>0</v>
      </c>
      <c r="L50" s="16">
        <v>7508.86</v>
      </c>
      <c r="M50" s="16">
        <v>5668.57</v>
      </c>
      <c r="N50" s="16">
        <v>12872.77</v>
      </c>
      <c r="O50" s="16">
        <v>0</v>
      </c>
      <c r="P50" s="16">
        <v>7239.01</v>
      </c>
      <c r="Q50" s="16">
        <v>7062.85</v>
      </c>
      <c r="R50" s="16">
        <v>7668.15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</row>
    <row r="51" spans="1:23" x14ac:dyDescent="0.2">
      <c r="A51" s="6" t="s">
        <v>74</v>
      </c>
      <c r="B51" s="16">
        <v>4288.97</v>
      </c>
      <c r="C51" s="16">
        <v>1132.4000000000001</v>
      </c>
      <c r="D51" s="16">
        <v>182.04</v>
      </c>
      <c r="E51" s="16">
        <v>0</v>
      </c>
      <c r="F51" s="16">
        <v>135.24</v>
      </c>
      <c r="G51" s="16">
        <v>0</v>
      </c>
      <c r="H51" s="16">
        <v>0</v>
      </c>
      <c r="I51" s="16">
        <v>1303.94</v>
      </c>
      <c r="J51" s="16">
        <v>0</v>
      </c>
      <c r="K51" s="16">
        <v>0</v>
      </c>
      <c r="L51" s="16">
        <v>0</v>
      </c>
      <c r="M51" s="16">
        <v>1125.43</v>
      </c>
      <c r="N51" s="16">
        <v>409.92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</row>
    <row r="52" spans="1:23" x14ac:dyDescent="0.2">
      <c r="A52" s="6" t="s">
        <v>75</v>
      </c>
      <c r="B52" s="16">
        <v>1071.43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500</v>
      </c>
      <c r="O52" s="16">
        <v>0</v>
      </c>
      <c r="P52" s="16">
        <v>571.42999999999995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</row>
    <row r="53" spans="1:23" x14ac:dyDescent="0.2">
      <c r="A53" s="6" t="s">
        <v>76</v>
      </c>
      <c r="B53" s="16">
        <v>357.14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150</v>
      </c>
      <c r="J53" s="16">
        <v>0</v>
      </c>
      <c r="K53" s="16">
        <v>0</v>
      </c>
      <c r="L53" s="16">
        <v>0</v>
      </c>
      <c r="M53" s="16">
        <v>0</v>
      </c>
      <c r="N53" s="16">
        <v>207.14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</row>
    <row r="54" spans="1:23" x14ac:dyDescent="0.2">
      <c r="A54" s="6" t="s">
        <v>77</v>
      </c>
      <c r="B54" s="16">
        <v>3145.81</v>
      </c>
      <c r="C54" s="16">
        <v>268.44</v>
      </c>
      <c r="D54" s="16">
        <v>-109.97</v>
      </c>
      <c r="E54" s="16">
        <v>529.07000000000005</v>
      </c>
      <c r="F54" s="16">
        <v>200.85</v>
      </c>
      <c r="G54" s="16">
        <v>233.36</v>
      </c>
      <c r="H54" s="16">
        <v>0</v>
      </c>
      <c r="I54" s="16">
        <v>361.78</v>
      </c>
      <c r="J54" s="16">
        <v>0</v>
      </c>
      <c r="K54" s="16">
        <v>0</v>
      </c>
      <c r="L54" s="16">
        <v>251.91</v>
      </c>
      <c r="M54" s="16">
        <v>98.31</v>
      </c>
      <c r="N54" s="16">
        <v>788.29</v>
      </c>
      <c r="O54" s="16">
        <v>0</v>
      </c>
      <c r="P54" s="16">
        <v>125.53</v>
      </c>
      <c r="Q54" s="16">
        <v>269.01</v>
      </c>
      <c r="R54" s="16">
        <v>129.22999999999999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</row>
    <row r="55" spans="1:23" x14ac:dyDescent="0.2">
      <c r="A55" s="6" t="s">
        <v>290</v>
      </c>
      <c r="B55" s="21">
        <v>96384.55</v>
      </c>
      <c r="C55" s="21">
        <v>8309.41</v>
      </c>
      <c r="D55" s="21">
        <v>5521.55</v>
      </c>
      <c r="E55" s="21">
        <v>9004.41</v>
      </c>
      <c r="F55" s="21">
        <v>6114.62</v>
      </c>
      <c r="G55" s="21">
        <v>6241.93</v>
      </c>
      <c r="H55" s="21">
        <v>877.5</v>
      </c>
      <c r="I55" s="21">
        <v>7818.72</v>
      </c>
      <c r="J55" s="21">
        <v>0</v>
      </c>
      <c r="K55" s="21">
        <v>0</v>
      </c>
      <c r="L55" s="21">
        <v>7760.77</v>
      </c>
      <c r="M55" s="21">
        <v>6892.31</v>
      </c>
      <c r="N55" s="21">
        <v>14778.12</v>
      </c>
      <c r="O55" s="21">
        <v>0</v>
      </c>
      <c r="P55" s="21">
        <v>7935.97</v>
      </c>
      <c r="Q55" s="21">
        <v>7331.86</v>
      </c>
      <c r="R55" s="21">
        <v>7797.38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</row>
    <row r="56" spans="1:23" x14ac:dyDescent="0.2">
      <c r="A56" s="6" t="s">
        <v>291</v>
      </c>
      <c r="B56" s="15" t="s">
        <v>72</v>
      </c>
      <c r="C56" s="15" t="s">
        <v>72</v>
      </c>
      <c r="D56" s="15" t="s">
        <v>72</v>
      </c>
      <c r="E56" s="15" t="s">
        <v>72</v>
      </c>
      <c r="F56" s="15" t="s">
        <v>72</v>
      </c>
      <c r="G56" s="15" t="s">
        <v>72</v>
      </c>
      <c r="H56" s="15" t="s">
        <v>72</v>
      </c>
      <c r="I56" s="15" t="s">
        <v>72</v>
      </c>
      <c r="J56" s="15" t="s">
        <v>72</v>
      </c>
      <c r="K56" s="15" t="s">
        <v>72</v>
      </c>
      <c r="L56" s="15" t="s">
        <v>72</v>
      </c>
      <c r="M56" s="15" t="s">
        <v>72</v>
      </c>
      <c r="N56" s="15" t="s">
        <v>72</v>
      </c>
      <c r="O56" s="15" t="s">
        <v>72</v>
      </c>
      <c r="P56" s="15" t="s">
        <v>72</v>
      </c>
      <c r="Q56" s="15" t="s">
        <v>72</v>
      </c>
      <c r="R56" s="15" t="s">
        <v>72</v>
      </c>
      <c r="S56" s="15" t="s">
        <v>72</v>
      </c>
      <c r="T56" s="15" t="s">
        <v>72</v>
      </c>
      <c r="U56" s="15" t="s">
        <v>72</v>
      </c>
      <c r="V56" s="15" t="s">
        <v>72</v>
      </c>
      <c r="W56" s="15" t="s">
        <v>72</v>
      </c>
    </row>
    <row r="57" spans="1:23" x14ac:dyDescent="0.2">
      <c r="A57" s="6" t="s">
        <v>73</v>
      </c>
      <c r="B57" s="16">
        <v>408299.3</v>
      </c>
      <c r="C57" s="16">
        <v>13362.86</v>
      </c>
      <c r="D57" s="16">
        <v>4796.3999999999996</v>
      </c>
      <c r="E57" s="16">
        <v>15876.28</v>
      </c>
      <c r="F57" s="16">
        <v>23546.66</v>
      </c>
      <c r="G57" s="16">
        <v>16292.45</v>
      </c>
      <c r="H57" s="16">
        <v>23129.69</v>
      </c>
      <c r="I57" s="16">
        <v>9779.84</v>
      </c>
      <c r="J57" s="16">
        <v>21901.95</v>
      </c>
      <c r="K57" s="16">
        <v>5340.45</v>
      </c>
      <c r="L57" s="16">
        <v>31852.880000000001</v>
      </c>
      <c r="M57" s="16">
        <v>35771.08</v>
      </c>
      <c r="N57" s="16">
        <v>46623.77</v>
      </c>
      <c r="O57" s="16">
        <v>32833.53</v>
      </c>
      <c r="P57" s="16">
        <v>37194.76</v>
      </c>
      <c r="Q57" s="16">
        <v>32304.68</v>
      </c>
      <c r="R57" s="16">
        <v>27492.880000000001</v>
      </c>
      <c r="S57" s="16">
        <v>8319.02</v>
      </c>
      <c r="T57" s="16">
        <v>4358.3599999999997</v>
      </c>
      <c r="U57" s="16">
        <v>5273.06</v>
      </c>
      <c r="V57" s="16">
        <v>12248.7</v>
      </c>
      <c r="W57" s="16">
        <v>0</v>
      </c>
    </row>
    <row r="58" spans="1:23" x14ac:dyDescent="0.2">
      <c r="A58" s="6" t="s">
        <v>74</v>
      </c>
      <c r="B58" s="16">
        <v>42441.42</v>
      </c>
      <c r="C58" s="16">
        <v>1603.72</v>
      </c>
      <c r="D58" s="16">
        <v>0</v>
      </c>
      <c r="E58" s="16">
        <v>2933.66</v>
      </c>
      <c r="F58" s="16">
        <v>1897.52</v>
      </c>
      <c r="G58" s="16">
        <v>3800.18</v>
      </c>
      <c r="H58" s="16">
        <v>3281.15</v>
      </c>
      <c r="I58" s="16">
        <v>526.5</v>
      </c>
      <c r="J58" s="16">
        <v>1994.91</v>
      </c>
      <c r="K58" s="16">
        <v>92.82</v>
      </c>
      <c r="L58" s="16">
        <v>3819.71</v>
      </c>
      <c r="M58" s="16">
        <v>1124.32</v>
      </c>
      <c r="N58" s="16">
        <v>7827.98</v>
      </c>
      <c r="O58" s="16">
        <v>1456.94</v>
      </c>
      <c r="P58" s="16">
        <v>3823.12</v>
      </c>
      <c r="Q58" s="16">
        <v>906.99</v>
      </c>
      <c r="R58" s="16">
        <v>7237.35</v>
      </c>
      <c r="S58" s="16">
        <v>0</v>
      </c>
      <c r="T58" s="16">
        <v>0</v>
      </c>
      <c r="U58" s="16">
        <v>0</v>
      </c>
      <c r="V58" s="16">
        <v>114.55</v>
      </c>
      <c r="W58" s="16">
        <v>0</v>
      </c>
    </row>
    <row r="59" spans="1:23" x14ac:dyDescent="0.2">
      <c r="A59" s="6" t="s">
        <v>75</v>
      </c>
      <c r="B59" s="16">
        <v>2785.71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1071.43</v>
      </c>
      <c r="M59" s="16">
        <v>0</v>
      </c>
      <c r="N59" s="16">
        <v>285.70999999999998</v>
      </c>
      <c r="O59" s="16">
        <v>0</v>
      </c>
      <c r="P59" s="16">
        <v>1428.57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</row>
    <row r="60" spans="1:23" x14ac:dyDescent="0.2">
      <c r="A60" s="6" t="s">
        <v>76</v>
      </c>
      <c r="B60" s="16">
        <v>1095.01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200</v>
      </c>
      <c r="L60" s="16">
        <v>5</v>
      </c>
      <c r="M60" s="16">
        <v>0</v>
      </c>
      <c r="N60" s="16">
        <v>442.86</v>
      </c>
      <c r="O60" s="16">
        <v>67.86</v>
      </c>
      <c r="P60" s="16">
        <v>379.29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</row>
    <row r="61" spans="1:23" x14ac:dyDescent="0.2">
      <c r="A61" s="6" t="s">
        <v>77</v>
      </c>
      <c r="B61" s="16">
        <v>19391.21</v>
      </c>
      <c r="C61" s="16">
        <v>1584.13</v>
      </c>
      <c r="D61" s="16">
        <v>3534.44</v>
      </c>
      <c r="E61" s="16">
        <v>856.24</v>
      </c>
      <c r="F61" s="16">
        <v>2651.08</v>
      </c>
      <c r="G61" s="16">
        <v>0</v>
      </c>
      <c r="H61" s="16">
        <v>716.46</v>
      </c>
      <c r="I61" s="16">
        <v>170.1</v>
      </c>
      <c r="J61" s="16">
        <v>556.84</v>
      </c>
      <c r="K61" s="16">
        <v>-294.8</v>
      </c>
      <c r="L61" s="16">
        <v>910.78</v>
      </c>
      <c r="M61" s="16">
        <v>1083.51</v>
      </c>
      <c r="N61" s="16">
        <v>2417.16</v>
      </c>
      <c r="O61" s="16">
        <v>1913.07</v>
      </c>
      <c r="P61" s="16">
        <v>3615.89</v>
      </c>
      <c r="Q61" s="16">
        <v>808.3</v>
      </c>
      <c r="R61" s="16">
        <v>-156.52000000000001</v>
      </c>
      <c r="S61" s="16">
        <v>321.02999999999997</v>
      </c>
      <c r="T61" s="16">
        <v>256.36</v>
      </c>
      <c r="U61" s="16">
        <v>174.01</v>
      </c>
      <c r="V61" s="16">
        <v>-1726.87</v>
      </c>
      <c r="W61" s="16">
        <v>0</v>
      </c>
    </row>
    <row r="62" spans="1:23" x14ac:dyDescent="0.2">
      <c r="A62" s="6" t="s">
        <v>292</v>
      </c>
      <c r="B62" s="21">
        <v>474012.65</v>
      </c>
      <c r="C62" s="21">
        <v>16550.71</v>
      </c>
      <c r="D62" s="21">
        <v>8330.84</v>
      </c>
      <c r="E62" s="21">
        <v>19666.18</v>
      </c>
      <c r="F62" s="21">
        <v>28095.26</v>
      </c>
      <c r="G62" s="21">
        <v>20092.63</v>
      </c>
      <c r="H62" s="21">
        <v>27127.3</v>
      </c>
      <c r="I62" s="21">
        <v>10476.44</v>
      </c>
      <c r="J62" s="21">
        <v>24453.7</v>
      </c>
      <c r="K62" s="21">
        <v>5338.47</v>
      </c>
      <c r="L62" s="21">
        <v>37659.800000000003</v>
      </c>
      <c r="M62" s="21">
        <v>37978.910000000003</v>
      </c>
      <c r="N62" s="21">
        <v>57597.48</v>
      </c>
      <c r="O62" s="21">
        <v>36271.4</v>
      </c>
      <c r="P62" s="21">
        <v>46441.63</v>
      </c>
      <c r="Q62" s="21">
        <v>34019.97</v>
      </c>
      <c r="R62" s="21">
        <v>34573.71</v>
      </c>
      <c r="S62" s="21">
        <v>8640.0499999999993</v>
      </c>
      <c r="T62" s="21">
        <v>4614.72</v>
      </c>
      <c r="U62" s="21">
        <v>5447.07</v>
      </c>
      <c r="V62" s="21">
        <v>10636.38</v>
      </c>
      <c r="W62" s="21">
        <v>0</v>
      </c>
    </row>
    <row r="63" spans="1:23" x14ac:dyDescent="0.2">
      <c r="A63" s="6" t="s">
        <v>293</v>
      </c>
      <c r="B63" s="15" t="s">
        <v>72</v>
      </c>
      <c r="C63" s="15" t="s">
        <v>72</v>
      </c>
      <c r="D63" s="15" t="s">
        <v>72</v>
      </c>
      <c r="E63" s="15" t="s">
        <v>72</v>
      </c>
      <c r="F63" s="15" t="s">
        <v>72</v>
      </c>
      <c r="G63" s="15" t="s">
        <v>72</v>
      </c>
      <c r="H63" s="15" t="s">
        <v>72</v>
      </c>
      <c r="I63" s="15" t="s">
        <v>72</v>
      </c>
      <c r="J63" s="15" t="s">
        <v>72</v>
      </c>
      <c r="K63" s="15" t="s">
        <v>72</v>
      </c>
      <c r="L63" s="15" t="s">
        <v>72</v>
      </c>
      <c r="M63" s="15" t="s">
        <v>72</v>
      </c>
      <c r="N63" s="15" t="s">
        <v>72</v>
      </c>
      <c r="O63" s="15" t="s">
        <v>72</v>
      </c>
      <c r="P63" s="15" t="s">
        <v>72</v>
      </c>
      <c r="Q63" s="15" t="s">
        <v>72</v>
      </c>
      <c r="R63" s="15" t="s">
        <v>72</v>
      </c>
      <c r="S63" s="15" t="s">
        <v>72</v>
      </c>
      <c r="T63" s="15" t="s">
        <v>72</v>
      </c>
      <c r="U63" s="15" t="s">
        <v>72</v>
      </c>
      <c r="V63" s="15" t="s">
        <v>72</v>
      </c>
      <c r="W63" s="15" t="s">
        <v>72</v>
      </c>
    </row>
    <row r="64" spans="1:23" x14ac:dyDescent="0.2">
      <c r="A64" s="6" t="s">
        <v>73</v>
      </c>
      <c r="B64" s="16">
        <v>1001431.67</v>
      </c>
      <c r="C64" s="16">
        <v>32950.5</v>
      </c>
      <c r="D64" s="16">
        <v>61451.1</v>
      </c>
      <c r="E64" s="16">
        <v>59247.79</v>
      </c>
      <c r="F64" s="16">
        <v>57203.8</v>
      </c>
      <c r="G64" s="16">
        <v>46410.23</v>
      </c>
      <c r="H64" s="16">
        <v>47159.32</v>
      </c>
      <c r="I64" s="16">
        <v>37593.75</v>
      </c>
      <c r="J64" s="16">
        <v>54254.18</v>
      </c>
      <c r="K64" s="16">
        <v>54765.14</v>
      </c>
      <c r="L64" s="16">
        <v>57335.21</v>
      </c>
      <c r="M64" s="16">
        <v>63693.21</v>
      </c>
      <c r="N64" s="16">
        <v>132847.76999999999</v>
      </c>
      <c r="O64" s="16">
        <v>75032.25</v>
      </c>
      <c r="P64" s="16">
        <v>76810.929999999993</v>
      </c>
      <c r="Q64" s="16">
        <v>66912.27</v>
      </c>
      <c r="R64" s="16">
        <v>52749.85</v>
      </c>
      <c r="S64" s="16">
        <v>7724.28</v>
      </c>
      <c r="T64" s="16">
        <v>3861.22</v>
      </c>
      <c r="U64" s="16">
        <v>4489.07</v>
      </c>
      <c r="V64" s="16">
        <v>6667.36</v>
      </c>
      <c r="W64" s="16">
        <v>2272.44</v>
      </c>
    </row>
    <row r="65" spans="1:23" x14ac:dyDescent="0.2">
      <c r="A65" s="6" t="s">
        <v>74</v>
      </c>
      <c r="B65" s="16">
        <v>83064.800000000003</v>
      </c>
      <c r="C65" s="16">
        <v>6324.65</v>
      </c>
      <c r="D65" s="16">
        <v>1419.04</v>
      </c>
      <c r="E65" s="16">
        <v>2247.34</v>
      </c>
      <c r="F65" s="16">
        <v>1767.69</v>
      </c>
      <c r="G65" s="16">
        <v>2883.29</v>
      </c>
      <c r="H65" s="16">
        <v>267.33</v>
      </c>
      <c r="I65" s="16">
        <v>1529.44</v>
      </c>
      <c r="J65" s="16">
        <v>3922.69</v>
      </c>
      <c r="K65" s="16">
        <v>7814.65</v>
      </c>
      <c r="L65" s="16">
        <v>2056.2399999999998</v>
      </c>
      <c r="M65" s="16">
        <v>1193.72</v>
      </c>
      <c r="N65" s="16">
        <v>10865.97</v>
      </c>
      <c r="O65" s="16">
        <v>4429.2299999999996</v>
      </c>
      <c r="P65" s="16">
        <v>7426.45</v>
      </c>
      <c r="Q65" s="16">
        <v>15929.92</v>
      </c>
      <c r="R65" s="16">
        <v>12506.83</v>
      </c>
      <c r="S65" s="16">
        <v>27.85</v>
      </c>
      <c r="T65" s="16">
        <v>136.18</v>
      </c>
      <c r="U65" s="16">
        <v>0</v>
      </c>
      <c r="V65" s="16">
        <v>316.29000000000002</v>
      </c>
      <c r="W65" s="16">
        <v>0</v>
      </c>
    </row>
    <row r="66" spans="1:23" x14ac:dyDescent="0.2">
      <c r="A66" s="6" t="s">
        <v>75</v>
      </c>
      <c r="B66" s="16">
        <v>482.14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482.14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</row>
    <row r="67" spans="1:23" x14ac:dyDescent="0.2">
      <c r="A67" s="6" t="s">
        <v>76</v>
      </c>
      <c r="B67" s="16">
        <v>4820.49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725.71</v>
      </c>
      <c r="L67" s="16">
        <v>0</v>
      </c>
      <c r="M67" s="16">
        <v>30</v>
      </c>
      <c r="N67" s="16">
        <v>1283.93</v>
      </c>
      <c r="O67" s="16">
        <v>508.57</v>
      </c>
      <c r="P67" s="16">
        <v>1253.57</v>
      </c>
      <c r="Q67" s="16">
        <v>0</v>
      </c>
      <c r="R67" s="16">
        <v>994.71</v>
      </c>
      <c r="S67" s="16">
        <v>0</v>
      </c>
      <c r="T67" s="16">
        <v>24</v>
      </c>
      <c r="U67" s="16">
        <v>0</v>
      </c>
      <c r="V67" s="16">
        <v>0</v>
      </c>
      <c r="W67" s="16">
        <v>0</v>
      </c>
    </row>
    <row r="68" spans="1:23" x14ac:dyDescent="0.2">
      <c r="A68" s="6" t="s">
        <v>77</v>
      </c>
      <c r="B68" s="16">
        <v>44026.52</v>
      </c>
      <c r="C68" s="16">
        <v>3871.72</v>
      </c>
      <c r="D68" s="16">
        <v>2898.84</v>
      </c>
      <c r="E68" s="16">
        <v>2381.1</v>
      </c>
      <c r="F68" s="16">
        <v>2585.46</v>
      </c>
      <c r="G68" s="16">
        <v>1605.48</v>
      </c>
      <c r="H68" s="16">
        <v>2239</v>
      </c>
      <c r="I68" s="16">
        <v>1216.24</v>
      </c>
      <c r="J68" s="16">
        <v>476.7</v>
      </c>
      <c r="K68" s="16">
        <v>1557.67</v>
      </c>
      <c r="L68" s="16">
        <v>2870.73</v>
      </c>
      <c r="M68" s="16">
        <v>3331.7</v>
      </c>
      <c r="N68" s="16">
        <v>7810.14</v>
      </c>
      <c r="O68" s="16">
        <v>3310.98</v>
      </c>
      <c r="P68" s="16">
        <v>2661.22</v>
      </c>
      <c r="Q68" s="16">
        <v>3084.38</v>
      </c>
      <c r="R68" s="16">
        <v>1511.11</v>
      </c>
      <c r="S68" s="16">
        <v>173.72</v>
      </c>
      <c r="T68" s="16">
        <v>-18.059999999999999</v>
      </c>
      <c r="U68" s="16">
        <v>108.29</v>
      </c>
      <c r="V68" s="16">
        <v>282.54000000000002</v>
      </c>
      <c r="W68" s="16">
        <v>67.56</v>
      </c>
    </row>
    <row r="69" spans="1:23" x14ac:dyDescent="0.2">
      <c r="A69" s="6" t="s">
        <v>294</v>
      </c>
      <c r="B69" s="21">
        <v>1133825.6200000001</v>
      </c>
      <c r="C69" s="21">
        <v>43146.87</v>
      </c>
      <c r="D69" s="21">
        <v>65768.98</v>
      </c>
      <c r="E69" s="21">
        <v>63876.23</v>
      </c>
      <c r="F69" s="21">
        <v>61556.95</v>
      </c>
      <c r="G69" s="21">
        <v>50899</v>
      </c>
      <c r="H69" s="21">
        <v>49665.65</v>
      </c>
      <c r="I69" s="21">
        <v>40339.43</v>
      </c>
      <c r="J69" s="21">
        <v>58653.57</v>
      </c>
      <c r="K69" s="21">
        <v>65345.31</v>
      </c>
      <c r="L69" s="21">
        <v>62262.18</v>
      </c>
      <c r="M69" s="21">
        <v>68248.63</v>
      </c>
      <c r="N69" s="21">
        <v>152807.81</v>
      </c>
      <c r="O69" s="21">
        <v>83281.03</v>
      </c>
      <c r="P69" s="21">
        <v>88152.17</v>
      </c>
      <c r="Q69" s="21">
        <v>85926.57</v>
      </c>
      <c r="R69" s="21">
        <v>67762.5</v>
      </c>
      <c r="S69" s="21">
        <v>7925.85</v>
      </c>
      <c r="T69" s="21">
        <v>4003.34</v>
      </c>
      <c r="U69" s="21">
        <v>4597.3599999999997</v>
      </c>
      <c r="V69" s="21">
        <v>7266.19</v>
      </c>
      <c r="W69" s="21">
        <v>2340</v>
      </c>
    </row>
    <row r="70" spans="1:23" x14ac:dyDescent="0.2">
      <c r="A70" s="6" t="s">
        <v>295</v>
      </c>
      <c r="B70" s="15" t="s">
        <v>72</v>
      </c>
      <c r="C70" s="15" t="s">
        <v>72</v>
      </c>
      <c r="D70" s="15" t="s">
        <v>72</v>
      </c>
      <c r="E70" s="15" t="s">
        <v>72</v>
      </c>
      <c r="F70" s="15" t="s">
        <v>72</v>
      </c>
      <c r="G70" s="15" t="s">
        <v>72</v>
      </c>
      <c r="H70" s="15" t="s">
        <v>72</v>
      </c>
      <c r="I70" s="15" t="s">
        <v>72</v>
      </c>
      <c r="J70" s="15" t="s">
        <v>72</v>
      </c>
      <c r="K70" s="15" t="s">
        <v>72</v>
      </c>
      <c r="L70" s="15" t="s">
        <v>72</v>
      </c>
      <c r="M70" s="15" t="s">
        <v>72</v>
      </c>
      <c r="N70" s="15" t="s">
        <v>72</v>
      </c>
      <c r="O70" s="15" t="s">
        <v>72</v>
      </c>
      <c r="P70" s="15" t="s">
        <v>72</v>
      </c>
      <c r="Q70" s="15" t="s">
        <v>72</v>
      </c>
      <c r="R70" s="15" t="s">
        <v>72</v>
      </c>
      <c r="S70" s="15" t="s">
        <v>72</v>
      </c>
      <c r="T70" s="15" t="s">
        <v>72</v>
      </c>
      <c r="U70" s="15" t="s">
        <v>72</v>
      </c>
      <c r="V70" s="15" t="s">
        <v>72</v>
      </c>
      <c r="W70" s="15" t="s">
        <v>72</v>
      </c>
    </row>
    <row r="71" spans="1:23" x14ac:dyDescent="0.2">
      <c r="A71" s="6" t="s">
        <v>73</v>
      </c>
      <c r="B71" s="16">
        <v>43038.63</v>
      </c>
      <c r="C71" s="16">
        <v>3007.29</v>
      </c>
      <c r="D71" s="16">
        <v>2147.61</v>
      </c>
      <c r="E71" s="16">
        <v>2844.07</v>
      </c>
      <c r="F71" s="16">
        <v>3714</v>
      </c>
      <c r="G71" s="16">
        <v>1855.55</v>
      </c>
      <c r="H71" s="16">
        <v>2897.29</v>
      </c>
      <c r="I71" s="16">
        <v>3188.57</v>
      </c>
      <c r="J71" s="16">
        <v>0</v>
      </c>
      <c r="K71" s="16">
        <v>0</v>
      </c>
      <c r="L71" s="16">
        <v>3897.14</v>
      </c>
      <c r="M71" s="16">
        <v>3060</v>
      </c>
      <c r="N71" s="16">
        <v>4074.29</v>
      </c>
      <c r="O71" s="16">
        <v>4258.25</v>
      </c>
      <c r="P71" s="16">
        <v>0</v>
      </c>
      <c r="Q71" s="16">
        <v>4428.57</v>
      </c>
      <c r="R71" s="16">
        <v>3666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</row>
    <row r="72" spans="1:23" x14ac:dyDescent="0.2">
      <c r="A72" s="6" t="s">
        <v>74</v>
      </c>
      <c r="B72" s="16">
        <v>1397.42</v>
      </c>
      <c r="C72" s="16">
        <v>147.53</v>
      </c>
      <c r="D72" s="16">
        <v>0</v>
      </c>
      <c r="E72" s="16">
        <v>0</v>
      </c>
      <c r="F72" s="16">
        <v>327.94</v>
      </c>
      <c r="G72" s="16">
        <v>0</v>
      </c>
      <c r="H72" s="16">
        <v>61.48</v>
      </c>
      <c r="I72" s="16">
        <v>235.29</v>
      </c>
      <c r="J72" s="16">
        <v>0</v>
      </c>
      <c r="K72" s="16">
        <v>0</v>
      </c>
      <c r="L72" s="16">
        <v>0</v>
      </c>
      <c r="M72" s="16">
        <v>120</v>
      </c>
      <c r="N72" s="16">
        <v>505.18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</row>
    <row r="73" spans="1:23" x14ac:dyDescent="0.2">
      <c r="A73" s="6" t="s">
        <v>77</v>
      </c>
      <c r="B73" s="16">
        <v>1084.77</v>
      </c>
      <c r="C73" s="16">
        <v>147.09</v>
      </c>
      <c r="D73" s="16">
        <v>72.790000000000006</v>
      </c>
      <c r="E73" s="16">
        <v>39.96</v>
      </c>
      <c r="F73" s="16">
        <v>0</v>
      </c>
      <c r="G73" s="16">
        <v>0</v>
      </c>
      <c r="H73" s="16">
        <v>-9.41</v>
      </c>
      <c r="I73" s="16">
        <v>115.95</v>
      </c>
      <c r="J73" s="16">
        <v>0</v>
      </c>
      <c r="K73" s="16">
        <v>0</v>
      </c>
      <c r="L73" s="16">
        <v>67.58</v>
      </c>
      <c r="M73" s="16">
        <v>152.58000000000001</v>
      </c>
      <c r="N73" s="16">
        <v>141.32</v>
      </c>
      <c r="O73" s="16">
        <v>73.84</v>
      </c>
      <c r="P73" s="16">
        <v>0</v>
      </c>
      <c r="Q73" s="16">
        <v>153.84</v>
      </c>
      <c r="R73" s="16">
        <v>129.22999999999999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</row>
    <row r="74" spans="1:23" x14ac:dyDescent="0.2">
      <c r="A74" s="6" t="s">
        <v>296</v>
      </c>
      <c r="B74" s="21">
        <v>45520.82</v>
      </c>
      <c r="C74" s="21">
        <v>3301.91</v>
      </c>
      <c r="D74" s="21">
        <v>2220.4</v>
      </c>
      <c r="E74" s="21">
        <v>2884.03</v>
      </c>
      <c r="F74" s="21">
        <v>4041.94</v>
      </c>
      <c r="G74" s="21">
        <v>1855.55</v>
      </c>
      <c r="H74" s="21">
        <v>2949.36</v>
      </c>
      <c r="I74" s="21">
        <v>3539.81</v>
      </c>
      <c r="J74" s="21">
        <v>0</v>
      </c>
      <c r="K74" s="21">
        <v>0</v>
      </c>
      <c r="L74" s="21">
        <v>3964.72</v>
      </c>
      <c r="M74" s="21">
        <v>3332.58</v>
      </c>
      <c r="N74" s="21">
        <v>4720.79</v>
      </c>
      <c r="O74" s="21">
        <v>4332.09</v>
      </c>
      <c r="P74" s="21">
        <v>0</v>
      </c>
      <c r="Q74" s="21">
        <v>4582.41</v>
      </c>
      <c r="R74" s="21">
        <v>3795.23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</row>
    <row r="75" spans="1:23" x14ac:dyDescent="0.2">
      <c r="A75" s="6" t="s">
        <v>297</v>
      </c>
      <c r="B75" s="15" t="s">
        <v>72</v>
      </c>
      <c r="C75" s="15" t="s">
        <v>72</v>
      </c>
      <c r="D75" s="15" t="s">
        <v>72</v>
      </c>
      <c r="E75" s="15" t="s">
        <v>72</v>
      </c>
      <c r="F75" s="15" t="s">
        <v>72</v>
      </c>
      <c r="G75" s="15" t="s">
        <v>72</v>
      </c>
      <c r="H75" s="15" t="s">
        <v>72</v>
      </c>
      <c r="I75" s="15" t="s">
        <v>72</v>
      </c>
      <c r="J75" s="15" t="s">
        <v>72</v>
      </c>
      <c r="K75" s="15" t="s">
        <v>72</v>
      </c>
      <c r="L75" s="15" t="s">
        <v>72</v>
      </c>
      <c r="M75" s="15" t="s">
        <v>72</v>
      </c>
      <c r="N75" s="15" t="s">
        <v>72</v>
      </c>
      <c r="O75" s="15" t="s">
        <v>72</v>
      </c>
      <c r="P75" s="15" t="s">
        <v>72</v>
      </c>
      <c r="Q75" s="15" t="s">
        <v>72</v>
      </c>
      <c r="R75" s="15" t="s">
        <v>72</v>
      </c>
      <c r="S75" s="15" t="s">
        <v>72</v>
      </c>
      <c r="T75" s="15" t="s">
        <v>72</v>
      </c>
      <c r="U75" s="15" t="s">
        <v>72</v>
      </c>
      <c r="V75" s="15" t="s">
        <v>72</v>
      </c>
      <c r="W75" s="15" t="s">
        <v>72</v>
      </c>
    </row>
    <row r="76" spans="1:23" x14ac:dyDescent="0.2">
      <c r="A76" s="6" t="s">
        <v>73</v>
      </c>
      <c r="B76" s="16">
        <v>13435.59</v>
      </c>
      <c r="C76" s="16">
        <v>0</v>
      </c>
      <c r="D76" s="16">
        <v>0</v>
      </c>
      <c r="E76" s="16">
        <v>0</v>
      </c>
      <c r="F76" s="16">
        <v>1386</v>
      </c>
      <c r="G76" s="16">
        <v>0</v>
      </c>
      <c r="H76" s="16">
        <v>0</v>
      </c>
      <c r="I76" s="16">
        <v>0</v>
      </c>
      <c r="J76" s="16">
        <v>3183.32</v>
      </c>
      <c r="K76" s="16">
        <v>0</v>
      </c>
      <c r="L76" s="16">
        <v>0</v>
      </c>
      <c r="M76" s="16">
        <v>457.14</v>
      </c>
      <c r="N76" s="16">
        <v>6568.93</v>
      </c>
      <c r="O76" s="16">
        <v>0</v>
      </c>
      <c r="P76" s="16">
        <v>1840.2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</row>
    <row r="77" spans="1:23" x14ac:dyDescent="0.2">
      <c r="A77" s="6" t="s">
        <v>74</v>
      </c>
      <c r="B77" s="16">
        <v>292.83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174.43</v>
      </c>
      <c r="K77" s="16">
        <v>0</v>
      </c>
      <c r="L77" s="16">
        <v>0</v>
      </c>
      <c r="M77" s="16">
        <v>4.29</v>
      </c>
      <c r="N77" s="16">
        <v>114.11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</row>
    <row r="78" spans="1:23" x14ac:dyDescent="0.2">
      <c r="A78" s="6" t="s">
        <v>76</v>
      </c>
      <c r="B78" s="16">
        <v>803.57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803.57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</row>
    <row r="79" spans="1:23" x14ac:dyDescent="0.2">
      <c r="A79" s="6" t="s">
        <v>77</v>
      </c>
      <c r="B79" s="16">
        <v>245.76</v>
      </c>
      <c r="C79" s="16">
        <v>0</v>
      </c>
      <c r="D79" s="16">
        <v>0</v>
      </c>
      <c r="E79" s="16">
        <v>0</v>
      </c>
      <c r="F79" s="16">
        <v>-392.95</v>
      </c>
      <c r="G79" s="16">
        <v>0</v>
      </c>
      <c r="H79" s="16">
        <v>0</v>
      </c>
      <c r="I79" s="16">
        <v>0</v>
      </c>
      <c r="J79" s="16">
        <v>310.94</v>
      </c>
      <c r="K79" s="16">
        <v>0</v>
      </c>
      <c r="L79" s="16">
        <v>0</v>
      </c>
      <c r="M79" s="16">
        <v>0</v>
      </c>
      <c r="N79" s="16">
        <v>209.03</v>
      </c>
      <c r="O79" s="16">
        <v>0</v>
      </c>
      <c r="P79" s="16">
        <v>118.74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</row>
    <row r="80" spans="1:23" x14ac:dyDescent="0.2">
      <c r="A80" s="6" t="s">
        <v>298</v>
      </c>
      <c r="B80" s="21">
        <v>14777.75</v>
      </c>
      <c r="C80" s="21">
        <v>0</v>
      </c>
      <c r="D80" s="21">
        <v>0</v>
      </c>
      <c r="E80" s="21">
        <v>0</v>
      </c>
      <c r="F80" s="21">
        <v>993.05</v>
      </c>
      <c r="G80" s="21">
        <v>0</v>
      </c>
      <c r="H80" s="21">
        <v>0</v>
      </c>
      <c r="I80" s="21">
        <v>0</v>
      </c>
      <c r="J80" s="21">
        <v>3668.69</v>
      </c>
      <c r="K80" s="21">
        <v>0</v>
      </c>
      <c r="L80" s="21">
        <v>0</v>
      </c>
      <c r="M80" s="21">
        <v>461.43</v>
      </c>
      <c r="N80" s="21">
        <v>6892.07</v>
      </c>
      <c r="O80" s="21">
        <v>0</v>
      </c>
      <c r="P80" s="21">
        <v>2762.51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</row>
    <row r="81" spans="1:23" x14ac:dyDescent="0.2">
      <c r="A81" s="6" t="s">
        <v>299</v>
      </c>
      <c r="B81" s="15" t="s">
        <v>72</v>
      </c>
      <c r="C81" s="15" t="s">
        <v>72</v>
      </c>
      <c r="D81" s="15" t="s">
        <v>72</v>
      </c>
      <c r="E81" s="15" t="s">
        <v>72</v>
      </c>
      <c r="F81" s="15" t="s">
        <v>72</v>
      </c>
      <c r="G81" s="15" t="s">
        <v>72</v>
      </c>
      <c r="H81" s="15" t="s">
        <v>72</v>
      </c>
      <c r="I81" s="15" t="s">
        <v>72</v>
      </c>
      <c r="J81" s="15" t="s">
        <v>72</v>
      </c>
      <c r="K81" s="15" t="s">
        <v>72</v>
      </c>
      <c r="L81" s="15" t="s">
        <v>72</v>
      </c>
      <c r="M81" s="15" t="s">
        <v>72</v>
      </c>
      <c r="N81" s="15" t="s">
        <v>72</v>
      </c>
      <c r="O81" s="15" t="s">
        <v>72</v>
      </c>
      <c r="P81" s="15" t="s">
        <v>72</v>
      </c>
      <c r="Q81" s="15" t="s">
        <v>72</v>
      </c>
      <c r="R81" s="15" t="s">
        <v>72</v>
      </c>
      <c r="S81" s="15" t="s">
        <v>72</v>
      </c>
      <c r="T81" s="15" t="s">
        <v>72</v>
      </c>
      <c r="U81" s="15" t="s">
        <v>72</v>
      </c>
      <c r="V81" s="15" t="s">
        <v>72</v>
      </c>
      <c r="W81" s="15" t="s">
        <v>72</v>
      </c>
    </row>
    <row r="82" spans="1:23" x14ac:dyDescent="0.2">
      <c r="A82" s="6" t="s">
        <v>73</v>
      </c>
      <c r="B82" s="16">
        <v>42285.32</v>
      </c>
      <c r="C82" s="16">
        <v>3022.06</v>
      </c>
      <c r="D82" s="16">
        <v>1739.43</v>
      </c>
      <c r="E82" s="16">
        <v>2535.46</v>
      </c>
      <c r="F82" s="16">
        <v>3068.68</v>
      </c>
      <c r="G82" s="16">
        <v>1566.56</v>
      </c>
      <c r="H82" s="16">
        <v>1466.86</v>
      </c>
      <c r="I82" s="16">
        <v>2829.72</v>
      </c>
      <c r="J82" s="16">
        <v>3307.5</v>
      </c>
      <c r="K82" s="16">
        <v>3103.07</v>
      </c>
      <c r="L82" s="16">
        <v>4340</v>
      </c>
      <c r="M82" s="16">
        <v>2494.65</v>
      </c>
      <c r="N82" s="16">
        <v>645.11</v>
      </c>
      <c r="O82" s="16">
        <v>3188.57</v>
      </c>
      <c r="P82" s="16">
        <v>2833.39</v>
      </c>
      <c r="Q82" s="16">
        <v>3497.14</v>
      </c>
      <c r="R82" s="16">
        <v>2297.41</v>
      </c>
      <c r="S82" s="16">
        <v>0</v>
      </c>
      <c r="T82" s="16">
        <v>349.71</v>
      </c>
      <c r="U82" s="16">
        <v>0</v>
      </c>
      <c r="V82" s="16">
        <v>0</v>
      </c>
      <c r="W82" s="16">
        <v>0</v>
      </c>
    </row>
    <row r="83" spans="1:23" x14ac:dyDescent="0.2">
      <c r="A83" s="6" t="s">
        <v>74</v>
      </c>
      <c r="B83" s="16">
        <v>1738.81</v>
      </c>
      <c r="C83" s="16">
        <v>551.54</v>
      </c>
      <c r="D83" s="16">
        <v>19.29</v>
      </c>
      <c r="E83" s="16">
        <v>0</v>
      </c>
      <c r="F83" s="16">
        <v>24.59</v>
      </c>
      <c r="G83" s="16">
        <v>35.68</v>
      </c>
      <c r="H83" s="16">
        <v>0</v>
      </c>
      <c r="I83" s="16">
        <v>123</v>
      </c>
      <c r="J83" s="16">
        <v>612.02</v>
      </c>
      <c r="K83" s="16">
        <v>248.78</v>
      </c>
      <c r="L83" s="16">
        <v>0</v>
      </c>
      <c r="M83" s="16">
        <v>0</v>
      </c>
      <c r="N83" s="16">
        <v>8.68</v>
      </c>
      <c r="O83" s="16">
        <v>0</v>
      </c>
      <c r="P83" s="16">
        <v>115.23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</row>
    <row r="84" spans="1:23" x14ac:dyDescent="0.2">
      <c r="A84" s="6" t="s">
        <v>77</v>
      </c>
      <c r="B84" s="16">
        <v>3357.49</v>
      </c>
      <c r="C84" s="16">
        <v>238.11</v>
      </c>
      <c r="D84" s="16">
        <v>251.22</v>
      </c>
      <c r="E84" s="16">
        <v>183.63</v>
      </c>
      <c r="F84" s="16">
        <v>107.14</v>
      </c>
      <c r="G84" s="16">
        <v>353.31</v>
      </c>
      <c r="H84" s="16">
        <v>197.19</v>
      </c>
      <c r="I84" s="16">
        <v>100.92</v>
      </c>
      <c r="J84" s="16">
        <v>9.41</v>
      </c>
      <c r="K84" s="16">
        <v>0</v>
      </c>
      <c r="L84" s="16">
        <v>560.23</v>
      </c>
      <c r="M84" s="16">
        <v>42.24</v>
      </c>
      <c r="N84" s="16">
        <v>542.57000000000005</v>
      </c>
      <c r="O84" s="16">
        <v>55.3</v>
      </c>
      <c r="P84" s="16">
        <v>491.81</v>
      </c>
      <c r="Q84" s="16">
        <v>104.19</v>
      </c>
      <c r="R84" s="16">
        <v>45.07</v>
      </c>
      <c r="S84" s="16">
        <v>0</v>
      </c>
      <c r="T84" s="16">
        <v>75.150000000000006</v>
      </c>
      <c r="U84" s="16">
        <v>0</v>
      </c>
      <c r="V84" s="16">
        <v>0</v>
      </c>
      <c r="W84" s="16">
        <v>0</v>
      </c>
    </row>
    <row r="85" spans="1:23" x14ac:dyDescent="0.2">
      <c r="A85" s="6" t="s">
        <v>300</v>
      </c>
      <c r="B85" s="21">
        <v>47381.62</v>
      </c>
      <c r="C85" s="21">
        <v>3811.71</v>
      </c>
      <c r="D85" s="21">
        <v>2009.94</v>
      </c>
      <c r="E85" s="21">
        <v>2719.09</v>
      </c>
      <c r="F85" s="21">
        <v>3200.41</v>
      </c>
      <c r="G85" s="21">
        <v>1955.55</v>
      </c>
      <c r="H85" s="21">
        <v>1664.05</v>
      </c>
      <c r="I85" s="21">
        <v>3053.64</v>
      </c>
      <c r="J85" s="21">
        <v>3928.93</v>
      </c>
      <c r="K85" s="21">
        <v>3351.85</v>
      </c>
      <c r="L85" s="21">
        <v>4900.2299999999996</v>
      </c>
      <c r="M85" s="21">
        <v>2536.89</v>
      </c>
      <c r="N85" s="21">
        <v>1196.3599999999999</v>
      </c>
      <c r="O85" s="21">
        <v>3243.87</v>
      </c>
      <c r="P85" s="21">
        <v>3440.43</v>
      </c>
      <c r="Q85" s="21">
        <v>3601.33</v>
      </c>
      <c r="R85" s="21">
        <v>2342.48</v>
      </c>
      <c r="S85" s="21">
        <v>0</v>
      </c>
      <c r="T85" s="21">
        <v>424.86</v>
      </c>
      <c r="U85" s="21">
        <v>0</v>
      </c>
      <c r="V85" s="21">
        <v>0</v>
      </c>
      <c r="W85" s="21">
        <v>0</v>
      </c>
    </row>
    <row r="86" spans="1:23" x14ac:dyDescent="0.2">
      <c r="A86" s="6" t="s">
        <v>301</v>
      </c>
      <c r="B86" s="15" t="s">
        <v>72</v>
      </c>
      <c r="C86" s="15" t="s">
        <v>72</v>
      </c>
      <c r="D86" s="15" t="s">
        <v>72</v>
      </c>
      <c r="E86" s="15" t="s">
        <v>72</v>
      </c>
      <c r="F86" s="15" t="s">
        <v>72</v>
      </c>
      <c r="G86" s="15" t="s">
        <v>72</v>
      </c>
      <c r="H86" s="15" t="s">
        <v>72</v>
      </c>
      <c r="I86" s="15" t="s">
        <v>72</v>
      </c>
      <c r="J86" s="15" t="s">
        <v>72</v>
      </c>
      <c r="K86" s="15" t="s">
        <v>72</v>
      </c>
      <c r="L86" s="15" t="s">
        <v>72</v>
      </c>
      <c r="M86" s="15" t="s">
        <v>72</v>
      </c>
      <c r="N86" s="15" t="s">
        <v>72</v>
      </c>
      <c r="O86" s="15" t="s">
        <v>72</v>
      </c>
      <c r="P86" s="15" t="s">
        <v>72</v>
      </c>
      <c r="Q86" s="15" t="s">
        <v>72</v>
      </c>
      <c r="R86" s="15" t="s">
        <v>72</v>
      </c>
      <c r="S86" s="15" t="s">
        <v>72</v>
      </c>
      <c r="T86" s="15" t="s">
        <v>72</v>
      </c>
      <c r="U86" s="15" t="s">
        <v>72</v>
      </c>
      <c r="V86" s="15" t="s">
        <v>72</v>
      </c>
      <c r="W86" s="15" t="s">
        <v>72</v>
      </c>
    </row>
    <row r="87" spans="1:23" x14ac:dyDescent="0.2">
      <c r="A87" s="6" t="s">
        <v>73</v>
      </c>
      <c r="B87" s="16">
        <v>36450.17</v>
      </c>
      <c r="C87" s="16">
        <v>2772.57</v>
      </c>
      <c r="D87" s="16">
        <v>0</v>
      </c>
      <c r="E87" s="16">
        <v>3344.2</v>
      </c>
      <c r="F87" s="16">
        <v>0</v>
      </c>
      <c r="G87" s="16">
        <v>392.46</v>
      </c>
      <c r="H87" s="16">
        <v>0</v>
      </c>
      <c r="I87" s="16">
        <v>0</v>
      </c>
      <c r="J87" s="16">
        <v>5092.5</v>
      </c>
      <c r="K87" s="16">
        <v>278.02999999999997</v>
      </c>
      <c r="L87" s="16">
        <v>687.05</v>
      </c>
      <c r="M87" s="16">
        <v>3852.16</v>
      </c>
      <c r="N87" s="16">
        <v>9255.86</v>
      </c>
      <c r="O87" s="16">
        <v>2278.39</v>
      </c>
      <c r="P87" s="16">
        <v>5061.42</v>
      </c>
      <c r="Q87" s="16">
        <v>0</v>
      </c>
      <c r="R87" s="16">
        <v>2619.64</v>
      </c>
      <c r="S87" s="16">
        <v>0</v>
      </c>
      <c r="T87" s="16">
        <v>0</v>
      </c>
      <c r="U87" s="16">
        <v>0</v>
      </c>
      <c r="V87" s="16">
        <v>815.89</v>
      </c>
      <c r="W87" s="16">
        <v>0</v>
      </c>
    </row>
    <row r="88" spans="1:23" x14ac:dyDescent="0.2">
      <c r="A88" s="6" t="s">
        <v>74</v>
      </c>
      <c r="B88" s="16">
        <v>1744.3</v>
      </c>
      <c r="C88" s="16">
        <v>292.72000000000003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10.46</v>
      </c>
      <c r="K88" s="16">
        <v>0</v>
      </c>
      <c r="L88" s="16">
        <v>0</v>
      </c>
      <c r="M88" s="16">
        <v>118.94</v>
      </c>
      <c r="N88" s="16">
        <v>460.71</v>
      </c>
      <c r="O88" s="16">
        <v>17.68</v>
      </c>
      <c r="P88" s="16">
        <v>337.92</v>
      </c>
      <c r="Q88" s="16">
        <v>0</v>
      </c>
      <c r="R88" s="16">
        <v>505.87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</row>
    <row r="89" spans="1:23" x14ac:dyDescent="0.2">
      <c r="A89" s="6" t="s">
        <v>76</v>
      </c>
      <c r="B89" s="16">
        <v>32.14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32.14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</row>
    <row r="90" spans="1:23" x14ac:dyDescent="0.2">
      <c r="A90" s="6" t="s">
        <v>77</v>
      </c>
      <c r="B90" s="16">
        <v>1181.69</v>
      </c>
      <c r="C90" s="16">
        <v>53.6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59.04</v>
      </c>
      <c r="K90" s="16">
        <v>0</v>
      </c>
      <c r="L90" s="16">
        <v>0</v>
      </c>
      <c r="M90" s="16">
        <v>160.97</v>
      </c>
      <c r="N90" s="16">
        <v>539.1</v>
      </c>
      <c r="O90" s="16">
        <v>161.47</v>
      </c>
      <c r="P90" s="16">
        <v>92.16</v>
      </c>
      <c r="Q90" s="16">
        <v>0</v>
      </c>
      <c r="R90" s="16">
        <v>92.31</v>
      </c>
      <c r="S90" s="16">
        <v>0</v>
      </c>
      <c r="T90" s="16">
        <v>0</v>
      </c>
      <c r="U90" s="16">
        <v>0</v>
      </c>
      <c r="V90" s="16">
        <v>23.04</v>
      </c>
      <c r="W90" s="16">
        <v>0</v>
      </c>
    </row>
    <row r="91" spans="1:23" x14ac:dyDescent="0.2">
      <c r="A91" s="6" t="s">
        <v>302</v>
      </c>
      <c r="B91" s="21">
        <v>39408.300000000003</v>
      </c>
      <c r="C91" s="21">
        <v>3118.89</v>
      </c>
      <c r="D91" s="21">
        <v>0</v>
      </c>
      <c r="E91" s="21">
        <v>3344.2</v>
      </c>
      <c r="F91" s="21">
        <v>0</v>
      </c>
      <c r="G91" s="21">
        <v>392.46</v>
      </c>
      <c r="H91" s="21">
        <v>0</v>
      </c>
      <c r="I91" s="21">
        <v>0</v>
      </c>
      <c r="J91" s="21">
        <v>5162</v>
      </c>
      <c r="K91" s="21">
        <v>278.02999999999997</v>
      </c>
      <c r="L91" s="21">
        <v>687.05</v>
      </c>
      <c r="M91" s="21">
        <v>4132.07</v>
      </c>
      <c r="N91" s="21">
        <v>10287.81</v>
      </c>
      <c r="O91" s="21">
        <v>2457.54</v>
      </c>
      <c r="P91" s="21">
        <v>5491.5</v>
      </c>
      <c r="Q91" s="21">
        <v>0</v>
      </c>
      <c r="R91" s="21">
        <v>3217.82</v>
      </c>
      <c r="S91" s="21">
        <v>0</v>
      </c>
      <c r="T91" s="21">
        <v>0</v>
      </c>
      <c r="U91" s="21">
        <v>0</v>
      </c>
      <c r="V91" s="21">
        <v>838.93</v>
      </c>
      <c r="W91" s="21">
        <v>0</v>
      </c>
    </row>
    <row r="92" spans="1:23" x14ac:dyDescent="0.2">
      <c r="A92" s="6" t="s">
        <v>303</v>
      </c>
      <c r="B92" s="15" t="s">
        <v>72</v>
      </c>
      <c r="C92" s="15" t="s">
        <v>72</v>
      </c>
      <c r="D92" s="15" t="s">
        <v>72</v>
      </c>
      <c r="E92" s="15" t="s">
        <v>72</v>
      </c>
      <c r="F92" s="15" t="s">
        <v>72</v>
      </c>
      <c r="G92" s="15" t="s">
        <v>72</v>
      </c>
      <c r="H92" s="15" t="s">
        <v>72</v>
      </c>
      <c r="I92" s="15" t="s">
        <v>72</v>
      </c>
      <c r="J92" s="15" t="s">
        <v>72</v>
      </c>
      <c r="K92" s="15" t="s">
        <v>72</v>
      </c>
      <c r="L92" s="15" t="s">
        <v>72</v>
      </c>
      <c r="M92" s="15" t="s">
        <v>72</v>
      </c>
      <c r="N92" s="15" t="s">
        <v>72</v>
      </c>
      <c r="O92" s="15" t="s">
        <v>72</v>
      </c>
      <c r="P92" s="15" t="s">
        <v>72</v>
      </c>
      <c r="Q92" s="15" t="s">
        <v>72</v>
      </c>
      <c r="R92" s="15" t="s">
        <v>72</v>
      </c>
      <c r="S92" s="15" t="s">
        <v>72</v>
      </c>
      <c r="T92" s="15" t="s">
        <v>72</v>
      </c>
      <c r="U92" s="15" t="s">
        <v>72</v>
      </c>
      <c r="V92" s="15" t="s">
        <v>72</v>
      </c>
      <c r="W92" s="15" t="s">
        <v>72</v>
      </c>
    </row>
    <row r="93" spans="1:23" x14ac:dyDescent="0.2">
      <c r="A93" s="6" t="s">
        <v>73</v>
      </c>
      <c r="B93" s="16">
        <v>88943.27</v>
      </c>
      <c r="C93" s="16">
        <v>7820.86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9601.07</v>
      </c>
      <c r="O93" s="16">
        <v>0</v>
      </c>
      <c r="P93" s="16">
        <v>75</v>
      </c>
      <c r="Q93" s="16">
        <v>0</v>
      </c>
      <c r="R93" s="16">
        <v>0</v>
      </c>
      <c r="S93" s="16">
        <v>25496.5</v>
      </c>
      <c r="T93" s="16">
        <v>18463.810000000001</v>
      </c>
      <c r="U93" s="16">
        <v>8266.61</v>
      </c>
      <c r="V93" s="16">
        <v>10156.4</v>
      </c>
      <c r="W93" s="16">
        <v>9063.02</v>
      </c>
    </row>
    <row r="94" spans="1:23" x14ac:dyDescent="0.2">
      <c r="A94" s="6" t="s">
        <v>74</v>
      </c>
      <c r="B94" s="16">
        <v>3013.58</v>
      </c>
      <c r="C94" s="16">
        <v>628.72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3.66</v>
      </c>
      <c r="O94" s="16">
        <v>0</v>
      </c>
      <c r="P94" s="16">
        <v>0</v>
      </c>
      <c r="Q94" s="16">
        <v>0</v>
      </c>
      <c r="R94" s="16">
        <v>0</v>
      </c>
      <c r="S94" s="16">
        <v>279.39999999999998</v>
      </c>
      <c r="T94" s="16">
        <v>1880</v>
      </c>
      <c r="U94" s="16">
        <v>0</v>
      </c>
      <c r="V94" s="16">
        <v>184.42</v>
      </c>
      <c r="W94" s="16">
        <v>37.380000000000003</v>
      </c>
    </row>
    <row r="95" spans="1:23" x14ac:dyDescent="0.2">
      <c r="A95" s="6" t="s">
        <v>76</v>
      </c>
      <c r="B95" s="16">
        <v>16.07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16.07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</row>
    <row r="96" spans="1:23" x14ac:dyDescent="0.2">
      <c r="A96" s="6" t="s">
        <v>77</v>
      </c>
      <c r="B96" s="16">
        <v>2775.36</v>
      </c>
      <c r="C96" s="16">
        <v>601.71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-471.04</v>
      </c>
      <c r="N96" s="16">
        <v>335.31</v>
      </c>
      <c r="O96" s="16">
        <v>0</v>
      </c>
      <c r="P96" s="16">
        <v>0</v>
      </c>
      <c r="Q96" s="16">
        <v>0</v>
      </c>
      <c r="R96" s="16">
        <v>0</v>
      </c>
      <c r="S96" s="16">
        <v>1237.06</v>
      </c>
      <c r="T96" s="16">
        <v>595.82000000000005</v>
      </c>
      <c r="U96" s="16">
        <v>34.75</v>
      </c>
      <c r="V96" s="16">
        <v>290.37</v>
      </c>
      <c r="W96" s="16">
        <v>151.38</v>
      </c>
    </row>
    <row r="97" spans="1:23" x14ac:dyDescent="0.2">
      <c r="A97" s="6" t="s">
        <v>304</v>
      </c>
      <c r="B97" s="21">
        <v>94748.28</v>
      </c>
      <c r="C97" s="21">
        <v>9051.2900000000009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-471.04</v>
      </c>
      <c r="N97" s="21">
        <v>9956.11</v>
      </c>
      <c r="O97" s="21">
        <v>0</v>
      </c>
      <c r="P97" s="21">
        <v>75</v>
      </c>
      <c r="Q97" s="21">
        <v>0</v>
      </c>
      <c r="R97" s="21">
        <v>0</v>
      </c>
      <c r="S97" s="21">
        <v>27012.959999999999</v>
      </c>
      <c r="T97" s="21">
        <v>20939.63</v>
      </c>
      <c r="U97" s="21">
        <v>8301.36</v>
      </c>
      <c r="V97" s="21">
        <v>10631.19</v>
      </c>
      <c r="W97" s="21">
        <v>9251.7800000000007</v>
      </c>
    </row>
    <row r="98" spans="1:23" x14ac:dyDescent="0.2">
      <c r="A98" s="6" t="s">
        <v>305</v>
      </c>
      <c r="B98" s="15" t="s">
        <v>72</v>
      </c>
      <c r="C98" s="15" t="s">
        <v>72</v>
      </c>
      <c r="D98" s="15" t="s">
        <v>72</v>
      </c>
      <c r="E98" s="15" t="s">
        <v>72</v>
      </c>
      <c r="F98" s="15" t="s">
        <v>72</v>
      </c>
      <c r="G98" s="15" t="s">
        <v>72</v>
      </c>
      <c r="H98" s="15" t="s">
        <v>72</v>
      </c>
      <c r="I98" s="15" t="s">
        <v>72</v>
      </c>
      <c r="J98" s="15" t="s">
        <v>72</v>
      </c>
      <c r="K98" s="15" t="s">
        <v>72</v>
      </c>
      <c r="L98" s="15" t="s">
        <v>72</v>
      </c>
      <c r="M98" s="15" t="s">
        <v>72</v>
      </c>
      <c r="N98" s="15" t="s">
        <v>72</v>
      </c>
      <c r="O98" s="15" t="s">
        <v>72</v>
      </c>
      <c r="P98" s="15" t="s">
        <v>72</v>
      </c>
      <c r="Q98" s="15" t="s">
        <v>72</v>
      </c>
      <c r="R98" s="15" t="s">
        <v>72</v>
      </c>
      <c r="S98" s="15" t="s">
        <v>72</v>
      </c>
      <c r="T98" s="15" t="s">
        <v>72</v>
      </c>
      <c r="U98" s="15" t="s">
        <v>72</v>
      </c>
      <c r="V98" s="15" t="s">
        <v>72</v>
      </c>
      <c r="W98" s="15" t="s">
        <v>72</v>
      </c>
    </row>
    <row r="99" spans="1:23" x14ac:dyDescent="0.2">
      <c r="A99" s="6" t="s">
        <v>73</v>
      </c>
      <c r="B99" s="16">
        <v>28187.78</v>
      </c>
      <c r="C99" s="16">
        <v>0</v>
      </c>
      <c r="D99" s="16">
        <v>1885.71</v>
      </c>
      <c r="E99" s="16">
        <v>0</v>
      </c>
      <c r="F99" s="16">
        <v>2932.8</v>
      </c>
      <c r="G99" s="16">
        <v>0</v>
      </c>
      <c r="H99" s="16">
        <v>0</v>
      </c>
      <c r="I99" s="16">
        <v>0</v>
      </c>
      <c r="J99" s="16">
        <v>0</v>
      </c>
      <c r="K99" s="16">
        <v>450.63</v>
      </c>
      <c r="L99" s="16">
        <v>0</v>
      </c>
      <c r="M99" s="16">
        <v>3417.14</v>
      </c>
      <c r="N99" s="16">
        <v>5802.62</v>
      </c>
      <c r="O99" s="16">
        <v>2416.0700000000002</v>
      </c>
      <c r="P99" s="16">
        <v>3549.05</v>
      </c>
      <c r="Q99" s="16">
        <v>3188.57</v>
      </c>
      <c r="R99" s="16">
        <v>2777.07</v>
      </c>
      <c r="S99" s="16">
        <v>0</v>
      </c>
      <c r="T99" s="16">
        <v>582.32000000000005</v>
      </c>
      <c r="U99" s="16">
        <v>839.73</v>
      </c>
      <c r="V99" s="16">
        <v>346.07</v>
      </c>
      <c r="W99" s="16">
        <v>0</v>
      </c>
    </row>
    <row r="100" spans="1:23" x14ac:dyDescent="0.2">
      <c r="A100" s="6" t="s">
        <v>74</v>
      </c>
      <c r="B100" s="16">
        <v>1944.6</v>
      </c>
      <c r="C100" s="16">
        <v>0</v>
      </c>
      <c r="D100" s="16">
        <v>323.05</v>
      </c>
      <c r="E100" s="16">
        <v>0</v>
      </c>
      <c r="F100" s="16">
        <v>351.54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540.53</v>
      </c>
      <c r="N100" s="16">
        <v>0</v>
      </c>
      <c r="O100" s="16">
        <v>0</v>
      </c>
      <c r="P100" s="16">
        <v>0</v>
      </c>
      <c r="Q100" s="16">
        <v>729.48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</row>
    <row r="101" spans="1:23" x14ac:dyDescent="0.2">
      <c r="A101" s="6" t="s">
        <v>75</v>
      </c>
      <c r="B101" s="16">
        <v>203.71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62.68</v>
      </c>
      <c r="O101" s="16">
        <v>0</v>
      </c>
      <c r="P101" s="16">
        <v>141.03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</row>
    <row r="102" spans="1:23" x14ac:dyDescent="0.2">
      <c r="A102" s="6" t="s">
        <v>77</v>
      </c>
      <c r="B102" s="16">
        <v>1398.34</v>
      </c>
      <c r="C102" s="16">
        <v>0</v>
      </c>
      <c r="D102" s="16">
        <v>204.46</v>
      </c>
      <c r="E102" s="16">
        <v>0</v>
      </c>
      <c r="F102" s="16">
        <v>169.95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-118.94</v>
      </c>
      <c r="N102" s="16">
        <v>793.31</v>
      </c>
      <c r="O102" s="16">
        <v>178.6</v>
      </c>
      <c r="P102" s="16">
        <v>-20.059999999999999</v>
      </c>
      <c r="Q102" s="16">
        <v>0</v>
      </c>
      <c r="R102" s="16">
        <v>59.1</v>
      </c>
      <c r="S102" s="16">
        <v>0</v>
      </c>
      <c r="T102" s="16">
        <v>10.65</v>
      </c>
      <c r="U102" s="16">
        <v>190.42</v>
      </c>
      <c r="V102" s="16">
        <v>24.32</v>
      </c>
      <c r="W102" s="16">
        <v>-93.47</v>
      </c>
    </row>
    <row r="103" spans="1:23" x14ac:dyDescent="0.2">
      <c r="A103" s="6" t="s">
        <v>306</v>
      </c>
      <c r="B103" s="21">
        <v>31734.43</v>
      </c>
      <c r="C103" s="21">
        <v>0</v>
      </c>
      <c r="D103" s="21">
        <v>2413.2199999999998</v>
      </c>
      <c r="E103" s="21">
        <v>0</v>
      </c>
      <c r="F103" s="21">
        <v>3454.29</v>
      </c>
      <c r="G103" s="21">
        <v>0</v>
      </c>
      <c r="H103" s="21">
        <v>0</v>
      </c>
      <c r="I103" s="21">
        <v>0</v>
      </c>
      <c r="J103" s="21">
        <v>0</v>
      </c>
      <c r="K103" s="21">
        <v>450.63</v>
      </c>
      <c r="L103" s="21">
        <v>0</v>
      </c>
      <c r="M103" s="21">
        <v>3838.73</v>
      </c>
      <c r="N103" s="21">
        <v>6658.61</v>
      </c>
      <c r="O103" s="21">
        <v>2594.67</v>
      </c>
      <c r="P103" s="21">
        <v>3670.02</v>
      </c>
      <c r="Q103" s="21">
        <v>3918.05</v>
      </c>
      <c r="R103" s="21">
        <v>2836.17</v>
      </c>
      <c r="S103" s="21">
        <v>0</v>
      </c>
      <c r="T103" s="21">
        <v>592.97</v>
      </c>
      <c r="U103" s="21">
        <v>1030.1500000000001</v>
      </c>
      <c r="V103" s="21">
        <v>370.39</v>
      </c>
      <c r="W103" s="21">
        <v>-93.47</v>
      </c>
    </row>
    <row r="104" spans="1:23" x14ac:dyDescent="0.2">
      <c r="A104" s="6" t="s">
        <v>307</v>
      </c>
      <c r="B104" s="15" t="s">
        <v>72</v>
      </c>
      <c r="C104" s="15" t="s">
        <v>72</v>
      </c>
      <c r="D104" s="15" t="s">
        <v>72</v>
      </c>
      <c r="E104" s="15" t="s">
        <v>72</v>
      </c>
      <c r="F104" s="15" t="s">
        <v>72</v>
      </c>
      <c r="G104" s="15" t="s">
        <v>72</v>
      </c>
      <c r="H104" s="15" t="s">
        <v>72</v>
      </c>
      <c r="I104" s="15" t="s">
        <v>72</v>
      </c>
      <c r="J104" s="15" t="s">
        <v>72</v>
      </c>
      <c r="K104" s="15" t="s">
        <v>72</v>
      </c>
      <c r="L104" s="15" t="s">
        <v>72</v>
      </c>
      <c r="M104" s="15" t="s">
        <v>72</v>
      </c>
      <c r="N104" s="15" t="s">
        <v>72</v>
      </c>
      <c r="O104" s="15" t="s">
        <v>72</v>
      </c>
      <c r="P104" s="15" t="s">
        <v>72</v>
      </c>
      <c r="Q104" s="15" t="s">
        <v>72</v>
      </c>
      <c r="R104" s="15" t="s">
        <v>72</v>
      </c>
      <c r="S104" s="15" t="s">
        <v>72</v>
      </c>
      <c r="T104" s="15" t="s">
        <v>72</v>
      </c>
      <c r="U104" s="15" t="s">
        <v>72</v>
      </c>
      <c r="V104" s="15" t="s">
        <v>72</v>
      </c>
      <c r="W104" s="15" t="s">
        <v>72</v>
      </c>
    </row>
    <row r="105" spans="1:23" x14ac:dyDescent="0.2">
      <c r="A105" s="6" t="s">
        <v>73</v>
      </c>
      <c r="B105" s="16">
        <v>36016.239999999998</v>
      </c>
      <c r="C105" s="16">
        <v>2834.29</v>
      </c>
      <c r="D105" s="16">
        <v>2837.71</v>
      </c>
      <c r="E105" s="16">
        <v>2550.29</v>
      </c>
      <c r="F105" s="16">
        <v>2911.65</v>
      </c>
      <c r="G105" s="16">
        <v>2962.86</v>
      </c>
      <c r="H105" s="16">
        <v>2404.89</v>
      </c>
      <c r="I105" s="16">
        <v>462.86</v>
      </c>
      <c r="J105" s="16">
        <v>0</v>
      </c>
      <c r="K105" s="16">
        <v>0</v>
      </c>
      <c r="L105" s="16">
        <v>0</v>
      </c>
      <c r="M105" s="16">
        <v>442.29</v>
      </c>
      <c r="N105" s="16">
        <v>2969.78</v>
      </c>
      <c r="O105" s="16">
        <v>150.86000000000001</v>
      </c>
      <c r="P105" s="16">
        <v>4188.1000000000004</v>
      </c>
      <c r="Q105" s="16">
        <v>3375.12</v>
      </c>
      <c r="R105" s="16">
        <v>4782.8599999999997</v>
      </c>
      <c r="S105" s="16">
        <v>1956.34</v>
      </c>
      <c r="T105" s="16">
        <v>0</v>
      </c>
      <c r="U105" s="16">
        <v>1186.3399999999999</v>
      </c>
      <c r="V105" s="16">
        <v>0</v>
      </c>
      <c r="W105" s="16">
        <v>0</v>
      </c>
    </row>
    <row r="106" spans="1:23" x14ac:dyDescent="0.2">
      <c r="A106" s="6" t="s">
        <v>74</v>
      </c>
      <c r="B106" s="16">
        <v>2985.22</v>
      </c>
      <c r="C106" s="16">
        <v>1668.43</v>
      </c>
      <c r="D106" s="16">
        <v>154.69</v>
      </c>
      <c r="E106" s="16">
        <v>101.57</v>
      </c>
      <c r="F106" s="16">
        <v>38.340000000000003</v>
      </c>
      <c r="G106" s="16">
        <v>803.72</v>
      </c>
      <c r="H106" s="16">
        <v>51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164.04</v>
      </c>
      <c r="O106" s="16">
        <v>0</v>
      </c>
      <c r="P106" s="16">
        <v>0</v>
      </c>
      <c r="Q106" s="16">
        <v>0</v>
      </c>
      <c r="R106" s="16">
        <v>0</v>
      </c>
      <c r="S106" s="16">
        <v>3.43</v>
      </c>
      <c r="T106" s="16">
        <v>0</v>
      </c>
      <c r="U106" s="16">
        <v>0</v>
      </c>
      <c r="V106" s="16">
        <v>0</v>
      </c>
      <c r="W106" s="16">
        <v>0</v>
      </c>
    </row>
    <row r="107" spans="1:23" x14ac:dyDescent="0.2">
      <c r="A107" s="6" t="s">
        <v>77</v>
      </c>
      <c r="B107" s="16">
        <v>2907.97</v>
      </c>
      <c r="C107" s="16">
        <v>565.47</v>
      </c>
      <c r="D107" s="16">
        <v>202.7</v>
      </c>
      <c r="E107" s="16">
        <v>585.04999999999995</v>
      </c>
      <c r="F107" s="16">
        <v>203.04</v>
      </c>
      <c r="G107" s="16">
        <v>239.57</v>
      </c>
      <c r="H107" s="16">
        <v>-321.83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347.69</v>
      </c>
      <c r="O107" s="16">
        <v>0</v>
      </c>
      <c r="P107" s="16">
        <v>215.48</v>
      </c>
      <c r="Q107" s="16">
        <v>369.13</v>
      </c>
      <c r="R107" s="16">
        <v>332.31</v>
      </c>
      <c r="S107" s="16">
        <v>88.17</v>
      </c>
      <c r="T107" s="16">
        <v>0</v>
      </c>
      <c r="U107" s="16">
        <v>81.19</v>
      </c>
      <c r="V107" s="16">
        <v>0</v>
      </c>
      <c r="W107" s="16">
        <v>0</v>
      </c>
    </row>
    <row r="108" spans="1:23" x14ac:dyDescent="0.2">
      <c r="A108" s="6" t="s">
        <v>308</v>
      </c>
      <c r="B108" s="21">
        <v>41909.43</v>
      </c>
      <c r="C108" s="21">
        <v>5068.1899999999996</v>
      </c>
      <c r="D108" s="21">
        <v>3195.1</v>
      </c>
      <c r="E108" s="21">
        <v>3236.91</v>
      </c>
      <c r="F108" s="21">
        <v>3153.03</v>
      </c>
      <c r="G108" s="21">
        <v>4006.15</v>
      </c>
      <c r="H108" s="21">
        <v>2134.06</v>
      </c>
      <c r="I108" s="21">
        <v>462.86</v>
      </c>
      <c r="J108" s="21">
        <v>0</v>
      </c>
      <c r="K108" s="21">
        <v>0</v>
      </c>
      <c r="L108" s="21">
        <v>0</v>
      </c>
      <c r="M108" s="21">
        <v>442.29</v>
      </c>
      <c r="N108" s="21">
        <v>3481.51</v>
      </c>
      <c r="O108" s="21">
        <v>150.86000000000001</v>
      </c>
      <c r="P108" s="21">
        <v>4403.58</v>
      </c>
      <c r="Q108" s="21">
        <v>3744.25</v>
      </c>
      <c r="R108" s="21">
        <v>5115.17</v>
      </c>
      <c r="S108" s="21">
        <v>2047.94</v>
      </c>
      <c r="T108" s="21">
        <v>0</v>
      </c>
      <c r="U108" s="21">
        <v>1267.53</v>
      </c>
      <c r="V108" s="21">
        <v>0</v>
      </c>
      <c r="W108" s="21">
        <v>0</v>
      </c>
    </row>
    <row r="109" spans="1:23" x14ac:dyDescent="0.2">
      <c r="A109" s="6" t="s">
        <v>309</v>
      </c>
      <c r="B109" s="15" t="s">
        <v>72</v>
      </c>
      <c r="C109" s="15" t="s">
        <v>72</v>
      </c>
      <c r="D109" s="15" t="s">
        <v>72</v>
      </c>
      <c r="E109" s="15" t="s">
        <v>72</v>
      </c>
      <c r="F109" s="15" t="s">
        <v>72</v>
      </c>
      <c r="G109" s="15" t="s">
        <v>72</v>
      </c>
      <c r="H109" s="15" t="s">
        <v>72</v>
      </c>
      <c r="I109" s="15" t="s">
        <v>72</v>
      </c>
      <c r="J109" s="15" t="s">
        <v>72</v>
      </c>
      <c r="K109" s="15" t="s">
        <v>72</v>
      </c>
      <c r="L109" s="15" t="s">
        <v>72</v>
      </c>
      <c r="M109" s="15" t="s">
        <v>72</v>
      </c>
      <c r="N109" s="15" t="s">
        <v>72</v>
      </c>
      <c r="O109" s="15" t="s">
        <v>72</v>
      </c>
      <c r="P109" s="15" t="s">
        <v>72</v>
      </c>
      <c r="Q109" s="15" t="s">
        <v>72</v>
      </c>
      <c r="R109" s="15" t="s">
        <v>72</v>
      </c>
      <c r="S109" s="15" t="s">
        <v>72</v>
      </c>
      <c r="T109" s="15" t="s">
        <v>72</v>
      </c>
      <c r="U109" s="15" t="s">
        <v>72</v>
      </c>
      <c r="V109" s="15" t="s">
        <v>72</v>
      </c>
      <c r="W109" s="15" t="s">
        <v>72</v>
      </c>
    </row>
    <row r="110" spans="1:23" x14ac:dyDescent="0.2">
      <c r="A110" s="6" t="s">
        <v>73</v>
      </c>
      <c r="B110" s="16">
        <v>170065.62</v>
      </c>
      <c r="C110" s="16">
        <v>8151.85</v>
      </c>
      <c r="D110" s="16">
        <v>10411.07</v>
      </c>
      <c r="E110" s="16">
        <v>9026.1299999999992</v>
      </c>
      <c r="F110" s="16">
        <v>10887.64</v>
      </c>
      <c r="G110" s="16">
        <v>6468.49</v>
      </c>
      <c r="H110" s="16">
        <v>11202.14</v>
      </c>
      <c r="I110" s="16">
        <v>5567.98</v>
      </c>
      <c r="J110" s="16">
        <v>8184.3</v>
      </c>
      <c r="K110" s="16">
        <v>7084.39</v>
      </c>
      <c r="L110" s="16">
        <v>8761.5499999999993</v>
      </c>
      <c r="M110" s="16">
        <v>11485.13</v>
      </c>
      <c r="N110" s="16">
        <v>25323.27</v>
      </c>
      <c r="O110" s="16">
        <v>9564.6200000000008</v>
      </c>
      <c r="P110" s="16">
        <v>9906.48</v>
      </c>
      <c r="Q110" s="16">
        <v>10750.44</v>
      </c>
      <c r="R110" s="16">
        <v>12883.46</v>
      </c>
      <c r="S110" s="16">
        <v>0</v>
      </c>
      <c r="T110" s="16">
        <v>1765.88</v>
      </c>
      <c r="U110" s="16">
        <v>0</v>
      </c>
      <c r="V110" s="16">
        <v>1109.46</v>
      </c>
      <c r="W110" s="16">
        <v>1531.34</v>
      </c>
    </row>
    <row r="111" spans="1:23" x14ac:dyDescent="0.2">
      <c r="A111" s="6" t="s">
        <v>74</v>
      </c>
      <c r="B111" s="16">
        <v>2111.16</v>
      </c>
      <c r="C111" s="16">
        <v>0</v>
      </c>
      <c r="D111" s="16">
        <v>101.25</v>
      </c>
      <c r="E111" s="16">
        <v>14.46</v>
      </c>
      <c r="F111" s="16">
        <v>3.22</v>
      </c>
      <c r="G111" s="16">
        <v>113.31</v>
      </c>
      <c r="H111" s="16">
        <v>0</v>
      </c>
      <c r="I111" s="16">
        <v>0</v>
      </c>
      <c r="J111" s="16">
        <v>134.31</v>
      </c>
      <c r="K111" s="16">
        <v>162.62</v>
      </c>
      <c r="L111" s="16">
        <v>518.57000000000005</v>
      </c>
      <c r="M111" s="16">
        <v>253.62</v>
      </c>
      <c r="N111" s="16">
        <v>560.9</v>
      </c>
      <c r="O111" s="16">
        <v>0</v>
      </c>
      <c r="P111" s="16">
        <v>207.11</v>
      </c>
      <c r="Q111" s="16">
        <v>6.43</v>
      </c>
      <c r="R111" s="16">
        <v>35.36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</row>
    <row r="112" spans="1:23" x14ac:dyDescent="0.2">
      <c r="A112" s="6" t="s">
        <v>77</v>
      </c>
      <c r="B112" s="16">
        <v>7970.83</v>
      </c>
      <c r="C112" s="16">
        <v>87.23</v>
      </c>
      <c r="D112" s="16">
        <v>432.32</v>
      </c>
      <c r="E112" s="16">
        <v>-53.66</v>
      </c>
      <c r="F112" s="16">
        <v>425.66</v>
      </c>
      <c r="G112" s="16">
        <v>457.96</v>
      </c>
      <c r="H112" s="16">
        <v>439.58</v>
      </c>
      <c r="I112" s="16">
        <v>-207.56</v>
      </c>
      <c r="J112" s="16">
        <v>314.41000000000003</v>
      </c>
      <c r="K112" s="16">
        <v>470.36</v>
      </c>
      <c r="L112" s="16">
        <v>542.83000000000004</v>
      </c>
      <c r="M112" s="16">
        <v>508.49</v>
      </c>
      <c r="N112" s="16">
        <v>1674.07</v>
      </c>
      <c r="O112" s="16">
        <v>519.54</v>
      </c>
      <c r="P112" s="16">
        <v>494.44</v>
      </c>
      <c r="Q112" s="16">
        <v>227.68</v>
      </c>
      <c r="R112" s="16">
        <v>654.15</v>
      </c>
      <c r="S112" s="16">
        <v>0</v>
      </c>
      <c r="T112" s="16">
        <v>71.97</v>
      </c>
      <c r="U112" s="16">
        <v>0</v>
      </c>
      <c r="V112" s="16">
        <v>226.29</v>
      </c>
      <c r="W112" s="16">
        <v>685.07</v>
      </c>
    </row>
    <row r="113" spans="1:23" x14ac:dyDescent="0.2">
      <c r="A113" s="6" t="s">
        <v>310</v>
      </c>
      <c r="B113" s="21">
        <v>180147.61</v>
      </c>
      <c r="C113" s="21">
        <v>8239.08</v>
      </c>
      <c r="D113" s="21">
        <v>10944.64</v>
      </c>
      <c r="E113" s="21">
        <v>8986.93</v>
      </c>
      <c r="F113" s="21">
        <v>11316.52</v>
      </c>
      <c r="G113" s="21">
        <v>7039.76</v>
      </c>
      <c r="H113" s="21">
        <v>11641.72</v>
      </c>
      <c r="I113" s="21">
        <v>5360.42</v>
      </c>
      <c r="J113" s="21">
        <v>8633.02</v>
      </c>
      <c r="K113" s="21">
        <v>7717.37</v>
      </c>
      <c r="L113" s="21">
        <v>9822.9500000000007</v>
      </c>
      <c r="M113" s="21">
        <v>12247.24</v>
      </c>
      <c r="N113" s="21">
        <v>27558.240000000002</v>
      </c>
      <c r="O113" s="21">
        <v>10084.16</v>
      </c>
      <c r="P113" s="21">
        <v>10608.03</v>
      </c>
      <c r="Q113" s="21">
        <v>10984.55</v>
      </c>
      <c r="R113" s="21">
        <v>13572.97</v>
      </c>
      <c r="S113" s="21">
        <v>0</v>
      </c>
      <c r="T113" s="21">
        <v>1837.85</v>
      </c>
      <c r="U113" s="21">
        <v>0</v>
      </c>
      <c r="V113" s="21">
        <v>1335.75</v>
      </c>
      <c r="W113" s="21">
        <v>2216.41</v>
      </c>
    </row>
    <row r="114" spans="1:23" x14ac:dyDescent="0.2">
      <c r="A114" s="6" t="s">
        <v>311</v>
      </c>
      <c r="B114" s="15" t="s">
        <v>72</v>
      </c>
      <c r="C114" s="15" t="s">
        <v>72</v>
      </c>
      <c r="D114" s="15" t="s">
        <v>72</v>
      </c>
      <c r="E114" s="15" t="s">
        <v>72</v>
      </c>
      <c r="F114" s="15" t="s">
        <v>72</v>
      </c>
      <c r="G114" s="15" t="s">
        <v>72</v>
      </c>
      <c r="H114" s="15" t="s">
        <v>72</v>
      </c>
      <c r="I114" s="15" t="s">
        <v>72</v>
      </c>
      <c r="J114" s="15" t="s">
        <v>72</v>
      </c>
      <c r="K114" s="15" t="s">
        <v>72</v>
      </c>
      <c r="L114" s="15" t="s">
        <v>72</v>
      </c>
      <c r="M114" s="15" t="s">
        <v>72</v>
      </c>
      <c r="N114" s="15" t="s">
        <v>72</v>
      </c>
      <c r="O114" s="15" t="s">
        <v>72</v>
      </c>
      <c r="P114" s="15" t="s">
        <v>72</v>
      </c>
      <c r="Q114" s="15" t="s">
        <v>72</v>
      </c>
      <c r="R114" s="15" t="s">
        <v>72</v>
      </c>
      <c r="S114" s="15" t="s">
        <v>72</v>
      </c>
      <c r="T114" s="15" t="s">
        <v>72</v>
      </c>
      <c r="U114" s="15" t="s">
        <v>72</v>
      </c>
      <c r="V114" s="15" t="s">
        <v>72</v>
      </c>
      <c r="W114" s="15" t="s">
        <v>72</v>
      </c>
    </row>
    <row r="115" spans="1:23" x14ac:dyDescent="0.2">
      <c r="A115" s="6" t="s">
        <v>73</v>
      </c>
      <c r="B115" s="16">
        <v>63906.12</v>
      </c>
      <c r="C115" s="16">
        <v>3110.47</v>
      </c>
      <c r="D115" s="16">
        <v>3346.23</v>
      </c>
      <c r="E115" s="16">
        <v>3652</v>
      </c>
      <c r="F115" s="16">
        <v>3636</v>
      </c>
      <c r="G115" s="16">
        <v>3065.36</v>
      </c>
      <c r="H115" s="16">
        <v>3056.07</v>
      </c>
      <c r="I115" s="16">
        <v>733.43</v>
      </c>
      <c r="J115" s="16">
        <v>3382.89</v>
      </c>
      <c r="K115" s="16">
        <v>3781.86</v>
      </c>
      <c r="L115" s="16">
        <v>3747.43</v>
      </c>
      <c r="M115" s="16">
        <v>3542.86</v>
      </c>
      <c r="N115" s="16">
        <v>3688.39</v>
      </c>
      <c r="O115" s="16">
        <v>4059.43</v>
      </c>
      <c r="P115" s="16">
        <v>4572.57</v>
      </c>
      <c r="Q115" s="16">
        <v>1734.69</v>
      </c>
      <c r="R115" s="16">
        <v>4428.57</v>
      </c>
      <c r="S115" s="16">
        <v>3356.51</v>
      </c>
      <c r="T115" s="16">
        <v>3174.11</v>
      </c>
      <c r="U115" s="16">
        <v>655.11</v>
      </c>
      <c r="V115" s="16">
        <v>3182.14</v>
      </c>
      <c r="W115" s="16">
        <v>0</v>
      </c>
    </row>
    <row r="116" spans="1:23" x14ac:dyDescent="0.2">
      <c r="A116" s="6" t="s">
        <v>74</v>
      </c>
      <c r="B116" s="16">
        <v>2864.55</v>
      </c>
      <c r="C116" s="16">
        <v>152.84</v>
      </c>
      <c r="D116" s="16">
        <v>134.06</v>
      </c>
      <c r="E116" s="16">
        <v>278.14</v>
      </c>
      <c r="F116" s="16">
        <v>5.07</v>
      </c>
      <c r="G116" s="16">
        <v>115.71</v>
      </c>
      <c r="H116" s="16">
        <v>0</v>
      </c>
      <c r="I116" s="16">
        <v>3.65</v>
      </c>
      <c r="J116" s="16">
        <v>91.93</v>
      </c>
      <c r="K116" s="16">
        <v>4.93</v>
      </c>
      <c r="L116" s="16">
        <v>0</v>
      </c>
      <c r="M116" s="16">
        <v>1187.67</v>
      </c>
      <c r="N116" s="16">
        <v>0</v>
      </c>
      <c r="O116" s="16">
        <v>0</v>
      </c>
      <c r="P116" s="16">
        <v>567.88</v>
      </c>
      <c r="Q116" s="16">
        <v>0</v>
      </c>
      <c r="R116" s="16">
        <v>0</v>
      </c>
      <c r="S116" s="16">
        <v>141.68</v>
      </c>
      <c r="T116" s="16">
        <v>108.51</v>
      </c>
      <c r="U116" s="16">
        <v>0</v>
      </c>
      <c r="V116" s="16">
        <v>72.48</v>
      </c>
      <c r="W116" s="16">
        <v>0</v>
      </c>
    </row>
    <row r="117" spans="1:23" x14ac:dyDescent="0.2">
      <c r="A117" s="6" t="s">
        <v>77</v>
      </c>
      <c r="B117" s="16">
        <v>3375.88</v>
      </c>
      <c r="C117" s="16">
        <v>150.55000000000001</v>
      </c>
      <c r="D117" s="16">
        <v>238.6</v>
      </c>
      <c r="E117" s="16">
        <v>243.62</v>
      </c>
      <c r="F117" s="16">
        <v>0</v>
      </c>
      <c r="G117" s="16">
        <v>62.21</v>
      </c>
      <c r="H117" s="16">
        <v>-18.84</v>
      </c>
      <c r="I117" s="16">
        <v>98.02</v>
      </c>
      <c r="J117" s="16">
        <v>59.77</v>
      </c>
      <c r="K117" s="16">
        <v>351.54</v>
      </c>
      <c r="L117" s="16">
        <v>0</v>
      </c>
      <c r="M117" s="16">
        <v>61.44</v>
      </c>
      <c r="N117" s="16">
        <v>249.23</v>
      </c>
      <c r="O117" s="16">
        <v>487.39</v>
      </c>
      <c r="P117" s="16">
        <v>-54.65</v>
      </c>
      <c r="Q117" s="16">
        <v>0</v>
      </c>
      <c r="R117" s="16">
        <v>153.84</v>
      </c>
      <c r="S117" s="16">
        <v>272.98</v>
      </c>
      <c r="T117" s="16">
        <v>209.29</v>
      </c>
      <c r="U117" s="16">
        <v>218.63</v>
      </c>
      <c r="V117" s="16">
        <v>592.26</v>
      </c>
      <c r="W117" s="16">
        <v>0</v>
      </c>
    </row>
    <row r="118" spans="1:23" x14ac:dyDescent="0.2">
      <c r="A118" s="6" t="s">
        <v>312</v>
      </c>
      <c r="B118" s="21">
        <v>70146.55</v>
      </c>
      <c r="C118" s="21">
        <v>3413.86</v>
      </c>
      <c r="D118" s="21">
        <v>3718.89</v>
      </c>
      <c r="E118" s="21">
        <v>4173.76</v>
      </c>
      <c r="F118" s="21">
        <v>3641.07</v>
      </c>
      <c r="G118" s="21">
        <v>3243.28</v>
      </c>
      <c r="H118" s="21">
        <v>3037.23</v>
      </c>
      <c r="I118" s="21">
        <v>835.1</v>
      </c>
      <c r="J118" s="21">
        <v>3534.59</v>
      </c>
      <c r="K118" s="21">
        <v>4138.33</v>
      </c>
      <c r="L118" s="21">
        <v>3747.43</v>
      </c>
      <c r="M118" s="21">
        <v>4791.97</v>
      </c>
      <c r="N118" s="21">
        <v>3937.62</v>
      </c>
      <c r="O118" s="21">
        <v>4546.82</v>
      </c>
      <c r="P118" s="21">
        <v>5085.8</v>
      </c>
      <c r="Q118" s="21">
        <v>1734.69</v>
      </c>
      <c r="R118" s="21">
        <v>4582.41</v>
      </c>
      <c r="S118" s="21">
        <v>3771.17</v>
      </c>
      <c r="T118" s="21">
        <v>3491.91</v>
      </c>
      <c r="U118" s="21">
        <v>873.74</v>
      </c>
      <c r="V118" s="21">
        <v>3846.88</v>
      </c>
      <c r="W118" s="21">
        <v>0</v>
      </c>
    </row>
    <row r="119" spans="1:23" x14ac:dyDescent="0.2">
      <c r="A119" s="6" t="s">
        <v>313</v>
      </c>
      <c r="B119" s="15" t="s">
        <v>72</v>
      </c>
      <c r="C119" s="15" t="s">
        <v>72</v>
      </c>
      <c r="D119" s="15" t="s">
        <v>72</v>
      </c>
      <c r="E119" s="15" t="s">
        <v>72</v>
      </c>
      <c r="F119" s="15" t="s">
        <v>72</v>
      </c>
      <c r="G119" s="15" t="s">
        <v>72</v>
      </c>
      <c r="H119" s="15" t="s">
        <v>72</v>
      </c>
      <c r="I119" s="15" t="s">
        <v>72</v>
      </c>
      <c r="J119" s="15" t="s">
        <v>72</v>
      </c>
      <c r="K119" s="15" t="s">
        <v>72</v>
      </c>
      <c r="L119" s="15" t="s">
        <v>72</v>
      </c>
      <c r="M119" s="15" t="s">
        <v>72</v>
      </c>
      <c r="N119" s="15" t="s">
        <v>72</v>
      </c>
      <c r="O119" s="15" t="s">
        <v>72</v>
      </c>
      <c r="P119" s="15" t="s">
        <v>72</v>
      </c>
      <c r="Q119" s="15" t="s">
        <v>72</v>
      </c>
      <c r="R119" s="15" t="s">
        <v>72</v>
      </c>
      <c r="S119" s="15" t="s">
        <v>72</v>
      </c>
      <c r="T119" s="15" t="s">
        <v>72</v>
      </c>
      <c r="U119" s="15" t="s">
        <v>72</v>
      </c>
      <c r="V119" s="15" t="s">
        <v>72</v>
      </c>
      <c r="W119" s="15" t="s">
        <v>72</v>
      </c>
    </row>
    <row r="120" spans="1:23" x14ac:dyDescent="0.2">
      <c r="A120" s="6" t="s">
        <v>73</v>
      </c>
      <c r="B120" s="16">
        <v>12766.11</v>
      </c>
      <c r="C120" s="16">
        <v>0</v>
      </c>
      <c r="D120" s="16">
        <v>0</v>
      </c>
      <c r="E120" s="16">
        <v>0</v>
      </c>
      <c r="F120" s="16">
        <v>112.5</v>
      </c>
      <c r="G120" s="16">
        <v>0</v>
      </c>
      <c r="H120" s="16">
        <v>0</v>
      </c>
      <c r="I120" s="16">
        <v>0</v>
      </c>
      <c r="J120" s="16">
        <v>17.14</v>
      </c>
      <c r="K120" s="16">
        <v>0</v>
      </c>
      <c r="L120" s="16">
        <v>0</v>
      </c>
      <c r="M120" s="16">
        <v>0</v>
      </c>
      <c r="N120" s="16">
        <v>3237.05</v>
      </c>
      <c r="O120" s="16">
        <v>2825.21</v>
      </c>
      <c r="P120" s="16">
        <v>3233.39</v>
      </c>
      <c r="Q120" s="16">
        <v>1635.43</v>
      </c>
      <c r="R120" s="16">
        <v>0</v>
      </c>
      <c r="S120" s="16">
        <v>0</v>
      </c>
      <c r="T120" s="16">
        <v>0</v>
      </c>
      <c r="U120" s="16">
        <v>1705.39</v>
      </c>
      <c r="V120" s="16">
        <v>0</v>
      </c>
      <c r="W120" s="16">
        <v>0</v>
      </c>
    </row>
    <row r="121" spans="1:23" x14ac:dyDescent="0.2">
      <c r="A121" s="6" t="s">
        <v>74</v>
      </c>
      <c r="B121" s="16">
        <v>376.81</v>
      </c>
      <c r="C121" s="16">
        <v>0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36.67</v>
      </c>
      <c r="P121" s="16">
        <v>324.70999999999998</v>
      </c>
      <c r="Q121" s="16">
        <v>15.43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</row>
    <row r="122" spans="1:23" x14ac:dyDescent="0.2">
      <c r="A122" s="6" t="s">
        <v>76</v>
      </c>
      <c r="B122" s="16">
        <v>150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150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</row>
    <row r="123" spans="1:23" x14ac:dyDescent="0.2">
      <c r="A123" s="6" t="s">
        <v>77</v>
      </c>
      <c r="B123" s="16">
        <v>789.4</v>
      </c>
      <c r="C123" s="16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391.83</v>
      </c>
      <c r="O123" s="16">
        <v>392.7</v>
      </c>
      <c r="P123" s="16">
        <v>4.87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</row>
    <row r="124" spans="1:23" x14ac:dyDescent="0.2">
      <c r="A124" s="6" t="s">
        <v>314</v>
      </c>
      <c r="B124" s="21">
        <v>14082.32</v>
      </c>
      <c r="C124" s="21">
        <v>0</v>
      </c>
      <c r="D124" s="21">
        <v>0</v>
      </c>
      <c r="E124" s="21">
        <v>0</v>
      </c>
      <c r="F124" s="21">
        <v>112.5</v>
      </c>
      <c r="G124" s="21">
        <v>0</v>
      </c>
      <c r="H124" s="21">
        <v>0</v>
      </c>
      <c r="I124" s="21">
        <v>0</v>
      </c>
      <c r="J124" s="21">
        <v>17.14</v>
      </c>
      <c r="K124" s="21">
        <v>0</v>
      </c>
      <c r="L124" s="21">
        <v>0</v>
      </c>
      <c r="M124" s="21">
        <v>0</v>
      </c>
      <c r="N124" s="21">
        <v>3628.88</v>
      </c>
      <c r="O124" s="21">
        <v>3254.58</v>
      </c>
      <c r="P124" s="21">
        <v>3712.97</v>
      </c>
      <c r="Q124" s="21">
        <v>1650.86</v>
      </c>
      <c r="R124" s="21">
        <v>0</v>
      </c>
      <c r="S124" s="21">
        <v>0</v>
      </c>
      <c r="T124" s="21">
        <v>0</v>
      </c>
      <c r="U124" s="21">
        <v>1705.39</v>
      </c>
      <c r="V124" s="21">
        <v>0</v>
      </c>
      <c r="W124" s="21">
        <v>0</v>
      </c>
    </row>
    <row r="125" spans="1:23" x14ac:dyDescent="0.2">
      <c r="A125" s="6" t="s">
        <v>315</v>
      </c>
      <c r="B125" s="15" t="s">
        <v>72</v>
      </c>
      <c r="C125" s="15" t="s">
        <v>72</v>
      </c>
      <c r="D125" s="15" t="s">
        <v>72</v>
      </c>
      <c r="E125" s="15" t="s">
        <v>72</v>
      </c>
      <c r="F125" s="15" t="s">
        <v>72</v>
      </c>
      <c r="G125" s="15" t="s">
        <v>72</v>
      </c>
      <c r="H125" s="15" t="s">
        <v>72</v>
      </c>
      <c r="I125" s="15" t="s">
        <v>72</v>
      </c>
      <c r="J125" s="15" t="s">
        <v>72</v>
      </c>
      <c r="K125" s="15" t="s">
        <v>72</v>
      </c>
      <c r="L125" s="15" t="s">
        <v>72</v>
      </c>
      <c r="M125" s="15" t="s">
        <v>72</v>
      </c>
      <c r="N125" s="15" t="s">
        <v>72</v>
      </c>
      <c r="O125" s="15" t="s">
        <v>72</v>
      </c>
      <c r="P125" s="15" t="s">
        <v>72</v>
      </c>
      <c r="Q125" s="15" t="s">
        <v>72</v>
      </c>
      <c r="R125" s="15" t="s">
        <v>72</v>
      </c>
      <c r="S125" s="15" t="s">
        <v>72</v>
      </c>
      <c r="T125" s="15" t="s">
        <v>72</v>
      </c>
      <c r="U125" s="15" t="s">
        <v>72</v>
      </c>
      <c r="V125" s="15" t="s">
        <v>72</v>
      </c>
      <c r="W125" s="15" t="s">
        <v>72</v>
      </c>
    </row>
    <row r="126" spans="1:23" x14ac:dyDescent="0.2">
      <c r="A126" s="6" t="s">
        <v>73</v>
      </c>
      <c r="B126" s="16">
        <v>60446.85</v>
      </c>
      <c r="C126" s="16">
        <v>3728.21</v>
      </c>
      <c r="D126" s="16">
        <v>3038.14</v>
      </c>
      <c r="E126" s="16">
        <v>1306.5</v>
      </c>
      <c r="F126" s="16">
        <v>2673</v>
      </c>
      <c r="G126" s="16">
        <v>3043.22</v>
      </c>
      <c r="H126" s="16">
        <v>2951.93</v>
      </c>
      <c r="I126" s="16">
        <v>3072.86</v>
      </c>
      <c r="J126" s="16">
        <v>2716.97</v>
      </c>
      <c r="K126" s="16">
        <v>2147.25</v>
      </c>
      <c r="L126" s="16">
        <v>4074.29</v>
      </c>
      <c r="M126" s="16">
        <v>3188.57</v>
      </c>
      <c r="N126" s="16">
        <v>3545.41</v>
      </c>
      <c r="O126" s="16">
        <v>4115.03</v>
      </c>
      <c r="P126" s="16">
        <v>3835.36</v>
      </c>
      <c r="Q126" s="16">
        <v>3565.71</v>
      </c>
      <c r="R126" s="16">
        <v>3526</v>
      </c>
      <c r="S126" s="16">
        <v>0</v>
      </c>
      <c r="T126" s="16">
        <v>3056.14</v>
      </c>
      <c r="U126" s="16">
        <v>2046.19</v>
      </c>
      <c r="V126" s="16">
        <v>2749.21</v>
      </c>
      <c r="W126" s="16">
        <v>2066.86</v>
      </c>
    </row>
    <row r="127" spans="1:23" x14ac:dyDescent="0.2">
      <c r="A127" s="6" t="s">
        <v>74</v>
      </c>
      <c r="B127" s="16">
        <v>5136.01</v>
      </c>
      <c r="C127" s="16">
        <v>243.96</v>
      </c>
      <c r="D127" s="16">
        <v>486.96</v>
      </c>
      <c r="E127" s="16">
        <v>22.5</v>
      </c>
      <c r="F127" s="16">
        <v>0</v>
      </c>
      <c r="G127" s="16">
        <v>157.5</v>
      </c>
      <c r="H127" s="16">
        <v>26.88</v>
      </c>
      <c r="I127" s="16">
        <v>348.59</v>
      </c>
      <c r="J127" s="16">
        <v>122.95</v>
      </c>
      <c r="K127" s="16">
        <v>52.88</v>
      </c>
      <c r="L127" s="16">
        <v>0</v>
      </c>
      <c r="M127" s="16">
        <v>2168.1999999999998</v>
      </c>
      <c r="N127" s="16">
        <v>410.75</v>
      </c>
      <c r="O127" s="16">
        <v>0</v>
      </c>
      <c r="P127" s="16">
        <v>30.86</v>
      </c>
      <c r="Q127" s="16">
        <v>0</v>
      </c>
      <c r="R127" s="16">
        <v>0</v>
      </c>
      <c r="S127" s="16">
        <v>0</v>
      </c>
      <c r="T127" s="16">
        <v>786.86</v>
      </c>
      <c r="U127" s="16">
        <v>0</v>
      </c>
      <c r="V127" s="16">
        <v>277.12</v>
      </c>
      <c r="W127" s="16">
        <v>0</v>
      </c>
    </row>
    <row r="128" spans="1:23" x14ac:dyDescent="0.2">
      <c r="A128" s="6" t="s">
        <v>77</v>
      </c>
      <c r="B128" s="16">
        <v>2836.89</v>
      </c>
      <c r="C128" s="16">
        <v>-109.26</v>
      </c>
      <c r="D128" s="16">
        <v>219.74</v>
      </c>
      <c r="E128" s="16">
        <v>0</v>
      </c>
      <c r="F128" s="16">
        <v>91.76</v>
      </c>
      <c r="G128" s="16">
        <v>-361.9</v>
      </c>
      <c r="H128" s="16">
        <v>205.9</v>
      </c>
      <c r="I128" s="16">
        <v>221.99</v>
      </c>
      <c r="J128" s="16">
        <v>91.39</v>
      </c>
      <c r="K128" s="16">
        <v>-35.74</v>
      </c>
      <c r="L128" s="16">
        <v>0</v>
      </c>
      <c r="M128" s="16">
        <v>55.3</v>
      </c>
      <c r="N128" s="16">
        <v>125.95</v>
      </c>
      <c r="O128" s="16">
        <v>285.91000000000003</v>
      </c>
      <c r="P128" s="16">
        <v>485.4</v>
      </c>
      <c r="Q128" s="16">
        <v>295.38</v>
      </c>
      <c r="R128" s="16">
        <v>357.74</v>
      </c>
      <c r="S128" s="16">
        <v>0</v>
      </c>
      <c r="T128" s="16">
        <v>152.06</v>
      </c>
      <c r="U128" s="16">
        <v>36.58</v>
      </c>
      <c r="V128" s="16">
        <v>647.88</v>
      </c>
      <c r="W128" s="16">
        <v>70.81</v>
      </c>
    </row>
    <row r="129" spans="1:23" x14ac:dyDescent="0.2">
      <c r="A129" s="6" t="s">
        <v>316</v>
      </c>
      <c r="B129" s="21">
        <v>68419.75</v>
      </c>
      <c r="C129" s="21">
        <v>3862.91</v>
      </c>
      <c r="D129" s="21">
        <v>3744.84</v>
      </c>
      <c r="E129" s="21">
        <v>1329</v>
      </c>
      <c r="F129" s="21">
        <v>2764.76</v>
      </c>
      <c r="G129" s="21">
        <v>2838.82</v>
      </c>
      <c r="H129" s="21">
        <v>3184.71</v>
      </c>
      <c r="I129" s="21">
        <v>3643.44</v>
      </c>
      <c r="J129" s="21">
        <v>2931.31</v>
      </c>
      <c r="K129" s="21">
        <v>2164.39</v>
      </c>
      <c r="L129" s="21">
        <v>4074.29</v>
      </c>
      <c r="M129" s="21">
        <v>5412.07</v>
      </c>
      <c r="N129" s="21">
        <v>4082.11</v>
      </c>
      <c r="O129" s="21">
        <v>4400.9399999999996</v>
      </c>
      <c r="P129" s="21">
        <v>4351.62</v>
      </c>
      <c r="Q129" s="21">
        <v>3861.09</v>
      </c>
      <c r="R129" s="21">
        <v>3883.74</v>
      </c>
      <c r="S129" s="21">
        <v>0</v>
      </c>
      <c r="T129" s="21">
        <v>3995.06</v>
      </c>
      <c r="U129" s="21">
        <v>2082.77</v>
      </c>
      <c r="V129" s="21">
        <v>3674.21</v>
      </c>
      <c r="W129" s="21">
        <v>2137.67</v>
      </c>
    </row>
    <row r="130" spans="1:23" x14ac:dyDescent="0.2">
      <c r="A130" s="6" t="s">
        <v>317</v>
      </c>
      <c r="B130" s="15" t="s">
        <v>72</v>
      </c>
      <c r="C130" s="15" t="s">
        <v>72</v>
      </c>
      <c r="D130" s="15" t="s">
        <v>72</v>
      </c>
      <c r="E130" s="15" t="s">
        <v>72</v>
      </c>
      <c r="F130" s="15" t="s">
        <v>72</v>
      </c>
      <c r="G130" s="15" t="s">
        <v>72</v>
      </c>
      <c r="H130" s="15" t="s">
        <v>72</v>
      </c>
      <c r="I130" s="15" t="s">
        <v>72</v>
      </c>
      <c r="J130" s="15" t="s">
        <v>72</v>
      </c>
      <c r="K130" s="15" t="s">
        <v>72</v>
      </c>
      <c r="L130" s="15" t="s">
        <v>72</v>
      </c>
      <c r="M130" s="15" t="s">
        <v>72</v>
      </c>
      <c r="N130" s="15" t="s">
        <v>72</v>
      </c>
      <c r="O130" s="15" t="s">
        <v>72</v>
      </c>
      <c r="P130" s="15" t="s">
        <v>72</v>
      </c>
      <c r="Q130" s="15" t="s">
        <v>72</v>
      </c>
      <c r="R130" s="15" t="s">
        <v>72</v>
      </c>
      <c r="S130" s="15" t="s">
        <v>72</v>
      </c>
      <c r="T130" s="15" t="s">
        <v>72</v>
      </c>
      <c r="U130" s="15" t="s">
        <v>72</v>
      </c>
      <c r="V130" s="15" t="s">
        <v>72</v>
      </c>
      <c r="W130" s="15" t="s">
        <v>72</v>
      </c>
    </row>
    <row r="131" spans="1:23" x14ac:dyDescent="0.2">
      <c r="A131" s="6" t="s">
        <v>73</v>
      </c>
      <c r="B131" s="16">
        <v>3150.53</v>
      </c>
      <c r="C131" s="16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2921.78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228.75</v>
      </c>
      <c r="V131" s="16">
        <v>0</v>
      </c>
      <c r="W131" s="16">
        <v>0</v>
      </c>
    </row>
    <row r="132" spans="1:23" x14ac:dyDescent="0.2">
      <c r="A132" s="6" t="s">
        <v>74</v>
      </c>
      <c r="B132" s="16">
        <v>182.73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182.73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</row>
    <row r="133" spans="1:23" x14ac:dyDescent="0.2">
      <c r="A133" s="6" t="s">
        <v>77</v>
      </c>
      <c r="B133" s="16">
        <v>-43.7</v>
      </c>
      <c r="C133" s="16">
        <v>0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102.47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-146.16999999999999</v>
      </c>
      <c r="V133" s="16">
        <v>0</v>
      </c>
      <c r="W133" s="16">
        <v>0</v>
      </c>
    </row>
    <row r="134" spans="1:23" x14ac:dyDescent="0.2">
      <c r="A134" s="6" t="s">
        <v>318</v>
      </c>
      <c r="B134" s="21">
        <v>3289.56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3206.98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82.58</v>
      </c>
      <c r="V134" s="21">
        <v>0</v>
      </c>
      <c r="W134" s="21">
        <v>0</v>
      </c>
    </row>
    <row r="135" spans="1:23" x14ac:dyDescent="0.2">
      <c r="A135" s="6" t="s">
        <v>319</v>
      </c>
      <c r="B135" s="15" t="s">
        <v>72</v>
      </c>
      <c r="C135" s="15" t="s">
        <v>72</v>
      </c>
      <c r="D135" s="15" t="s">
        <v>72</v>
      </c>
      <c r="E135" s="15" t="s">
        <v>72</v>
      </c>
      <c r="F135" s="15" t="s">
        <v>72</v>
      </c>
      <c r="G135" s="15" t="s">
        <v>72</v>
      </c>
      <c r="H135" s="15" t="s">
        <v>72</v>
      </c>
      <c r="I135" s="15" t="s">
        <v>72</v>
      </c>
      <c r="J135" s="15" t="s">
        <v>72</v>
      </c>
      <c r="K135" s="15" t="s">
        <v>72</v>
      </c>
      <c r="L135" s="15" t="s">
        <v>72</v>
      </c>
      <c r="M135" s="15" t="s">
        <v>72</v>
      </c>
      <c r="N135" s="15" t="s">
        <v>72</v>
      </c>
      <c r="O135" s="15" t="s">
        <v>72</v>
      </c>
      <c r="P135" s="15" t="s">
        <v>72</v>
      </c>
      <c r="Q135" s="15" t="s">
        <v>72</v>
      </c>
      <c r="R135" s="15" t="s">
        <v>72</v>
      </c>
      <c r="S135" s="15" t="s">
        <v>72</v>
      </c>
      <c r="T135" s="15" t="s">
        <v>72</v>
      </c>
      <c r="U135" s="15" t="s">
        <v>72</v>
      </c>
      <c r="V135" s="15" t="s">
        <v>72</v>
      </c>
      <c r="W135" s="15" t="s">
        <v>72</v>
      </c>
    </row>
    <row r="136" spans="1:23" x14ac:dyDescent="0.2">
      <c r="A136" s="6" t="s">
        <v>73</v>
      </c>
      <c r="B136" s="16">
        <v>134561.16</v>
      </c>
      <c r="C136" s="16">
        <v>6007.34</v>
      </c>
      <c r="D136" s="16">
        <v>11445.95</v>
      </c>
      <c r="E136" s="16">
        <v>6794.68</v>
      </c>
      <c r="F136" s="16">
        <v>11456.92</v>
      </c>
      <c r="G136" s="16">
        <v>4359.92</v>
      </c>
      <c r="H136" s="16">
        <v>8381.7000000000007</v>
      </c>
      <c r="I136" s="16">
        <v>4720.72</v>
      </c>
      <c r="J136" s="16">
        <v>4085.63</v>
      </c>
      <c r="K136" s="16">
        <v>2725.72</v>
      </c>
      <c r="L136" s="16">
        <v>10115.200000000001</v>
      </c>
      <c r="M136" s="16">
        <v>11046.16</v>
      </c>
      <c r="N136" s="16">
        <v>20608.93</v>
      </c>
      <c r="O136" s="16">
        <v>9090.5400000000009</v>
      </c>
      <c r="P136" s="16">
        <v>8610.43</v>
      </c>
      <c r="Q136" s="16">
        <v>2851.87</v>
      </c>
      <c r="R136" s="16">
        <v>6590.25</v>
      </c>
      <c r="S136" s="16">
        <v>0</v>
      </c>
      <c r="T136" s="16">
        <v>1425.54</v>
      </c>
      <c r="U136" s="16">
        <v>443.57</v>
      </c>
      <c r="V136" s="16">
        <v>3800.09</v>
      </c>
      <c r="W136" s="16">
        <v>0</v>
      </c>
    </row>
    <row r="137" spans="1:23" x14ac:dyDescent="0.2">
      <c r="A137" s="6" t="s">
        <v>74</v>
      </c>
      <c r="B137" s="16">
        <v>1073.6300000000001</v>
      </c>
      <c r="C137" s="16">
        <v>50.22</v>
      </c>
      <c r="D137" s="16">
        <v>0</v>
      </c>
      <c r="E137" s="16">
        <v>211.29</v>
      </c>
      <c r="F137" s="16">
        <v>73.17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211.39</v>
      </c>
      <c r="O137" s="16">
        <v>17.28</v>
      </c>
      <c r="P137" s="16">
        <v>505.46</v>
      </c>
      <c r="Q137" s="16">
        <v>4.82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</row>
    <row r="138" spans="1:23" x14ac:dyDescent="0.2">
      <c r="A138" s="6" t="s">
        <v>76</v>
      </c>
      <c r="B138" s="16">
        <v>100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50</v>
      </c>
      <c r="N138" s="16">
        <v>0</v>
      </c>
      <c r="O138" s="16">
        <v>0</v>
      </c>
      <c r="P138" s="16">
        <v>50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</row>
    <row r="139" spans="1:23" x14ac:dyDescent="0.2">
      <c r="A139" s="6" t="s">
        <v>77</v>
      </c>
      <c r="B139" s="16">
        <v>3526.67</v>
      </c>
      <c r="C139" s="16">
        <v>179.62</v>
      </c>
      <c r="D139" s="16">
        <v>362.94</v>
      </c>
      <c r="E139" s="16">
        <v>-7.12</v>
      </c>
      <c r="F139" s="16">
        <v>226.87</v>
      </c>
      <c r="G139" s="16">
        <v>69.41</v>
      </c>
      <c r="H139" s="16">
        <v>71.78</v>
      </c>
      <c r="I139" s="16">
        <v>162.57</v>
      </c>
      <c r="J139" s="16">
        <v>29.46</v>
      </c>
      <c r="K139" s="16">
        <v>266.3</v>
      </c>
      <c r="L139" s="16">
        <v>551.79999999999995</v>
      </c>
      <c r="M139" s="16">
        <v>45.87</v>
      </c>
      <c r="N139" s="16">
        <v>705.47</v>
      </c>
      <c r="O139" s="16">
        <v>301.8</v>
      </c>
      <c r="P139" s="16">
        <v>208.62</v>
      </c>
      <c r="Q139" s="16">
        <v>108.64</v>
      </c>
      <c r="R139" s="16">
        <v>107.71</v>
      </c>
      <c r="S139" s="16">
        <v>0</v>
      </c>
      <c r="T139" s="16">
        <v>26.21</v>
      </c>
      <c r="U139" s="16">
        <v>0</v>
      </c>
      <c r="V139" s="16">
        <v>108.72</v>
      </c>
      <c r="W139" s="16">
        <v>0</v>
      </c>
    </row>
    <row r="140" spans="1:23" x14ac:dyDescent="0.2">
      <c r="A140" s="6" t="s">
        <v>320</v>
      </c>
      <c r="B140" s="21">
        <v>139261.46</v>
      </c>
      <c r="C140" s="21">
        <v>6237.18</v>
      </c>
      <c r="D140" s="21">
        <v>11808.89</v>
      </c>
      <c r="E140" s="21">
        <v>6998.85</v>
      </c>
      <c r="F140" s="21">
        <v>11756.96</v>
      </c>
      <c r="G140" s="21">
        <v>4429.33</v>
      </c>
      <c r="H140" s="21">
        <v>8453.48</v>
      </c>
      <c r="I140" s="21">
        <v>4883.29</v>
      </c>
      <c r="J140" s="21">
        <v>4115.09</v>
      </c>
      <c r="K140" s="21">
        <v>2992.02</v>
      </c>
      <c r="L140" s="21">
        <v>10667</v>
      </c>
      <c r="M140" s="21">
        <v>11142.03</v>
      </c>
      <c r="N140" s="21">
        <v>21525.79</v>
      </c>
      <c r="O140" s="21">
        <v>9409.6200000000008</v>
      </c>
      <c r="P140" s="21">
        <v>9374.51</v>
      </c>
      <c r="Q140" s="21">
        <v>2965.33</v>
      </c>
      <c r="R140" s="21">
        <v>6697.96</v>
      </c>
      <c r="S140" s="21">
        <v>0</v>
      </c>
      <c r="T140" s="21">
        <v>1451.75</v>
      </c>
      <c r="U140" s="21">
        <v>443.57</v>
      </c>
      <c r="V140" s="21">
        <v>3908.81</v>
      </c>
      <c r="W140" s="21">
        <v>0</v>
      </c>
    </row>
    <row r="141" spans="1:23" x14ac:dyDescent="0.2">
      <c r="A141" s="6" t="s">
        <v>321</v>
      </c>
      <c r="B141" s="15" t="s">
        <v>72</v>
      </c>
      <c r="C141" s="15" t="s">
        <v>72</v>
      </c>
      <c r="D141" s="15" t="s">
        <v>72</v>
      </c>
      <c r="E141" s="15" t="s">
        <v>72</v>
      </c>
      <c r="F141" s="15" t="s">
        <v>72</v>
      </c>
      <c r="G141" s="15" t="s">
        <v>72</v>
      </c>
      <c r="H141" s="15" t="s">
        <v>72</v>
      </c>
      <c r="I141" s="15" t="s">
        <v>72</v>
      </c>
      <c r="J141" s="15" t="s">
        <v>72</v>
      </c>
      <c r="K141" s="15" t="s">
        <v>72</v>
      </c>
      <c r="L141" s="15" t="s">
        <v>72</v>
      </c>
      <c r="M141" s="15" t="s">
        <v>72</v>
      </c>
      <c r="N141" s="15" t="s">
        <v>72</v>
      </c>
      <c r="O141" s="15" t="s">
        <v>72</v>
      </c>
      <c r="P141" s="15" t="s">
        <v>72</v>
      </c>
      <c r="Q141" s="15" t="s">
        <v>72</v>
      </c>
      <c r="R141" s="15" t="s">
        <v>72</v>
      </c>
      <c r="S141" s="15" t="s">
        <v>72</v>
      </c>
      <c r="T141" s="15" t="s">
        <v>72</v>
      </c>
      <c r="U141" s="15" t="s">
        <v>72</v>
      </c>
      <c r="V141" s="15" t="s">
        <v>72</v>
      </c>
      <c r="W141" s="15" t="s">
        <v>72</v>
      </c>
    </row>
    <row r="142" spans="1:23" x14ac:dyDescent="0.2">
      <c r="A142" s="6" t="s">
        <v>73</v>
      </c>
      <c r="B142" s="16">
        <v>114002.63</v>
      </c>
      <c r="C142" s="16">
        <v>6902.82</v>
      </c>
      <c r="D142" s="16">
        <v>1523.57</v>
      </c>
      <c r="E142" s="16">
        <v>6131.88</v>
      </c>
      <c r="F142" s="16">
        <v>1926.77</v>
      </c>
      <c r="G142" s="16">
        <v>7715.82</v>
      </c>
      <c r="H142" s="16">
        <v>3080.85</v>
      </c>
      <c r="I142" s="16">
        <v>4777.41</v>
      </c>
      <c r="J142" s="16">
        <v>9899.44</v>
      </c>
      <c r="K142" s="16">
        <v>7328.24</v>
      </c>
      <c r="L142" s="16">
        <v>4929.71</v>
      </c>
      <c r="M142" s="16">
        <v>5086.59</v>
      </c>
      <c r="N142" s="16">
        <v>5727.13</v>
      </c>
      <c r="O142" s="16">
        <v>6971.52</v>
      </c>
      <c r="P142" s="16">
        <v>5821.14</v>
      </c>
      <c r="Q142" s="16">
        <v>10411.200000000001</v>
      </c>
      <c r="R142" s="16">
        <v>8574.8799999999992</v>
      </c>
      <c r="S142" s="16">
        <v>0</v>
      </c>
      <c r="T142" s="16">
        <v>6018.75</v>
      </c>
      <c r="U142" s="16">
        <v>3472.77</v>
      </c>
      <c r="V142" s="16">
        <v>3490.09</v>
      </c>
      <c r="W142" s="16">
        <v>4212.05</v>
      </c>
    </row>
    <row r="143" spans="1:23" x14ac:dyDescent="0.2">
      <c r="A143" s="6" t="s">
        <v>74</v>
      </c>
      <c r="B143" s="16">
        <v>4044.42</v>
      </c>
      <c r="C143" s="16">
        <v>57.86</v>
      </c>
      <c r="D143" s="16">
        <v>0</v>
      </c>
      <c r="E143" s="16">
        <v>439.26</v>
      </c>
      <c r="F143" s="16">
        <v>32.549999999999997</v>
      </c>
      <c r="G143" s="16">
        <v>174.78</v>
      </c>
      <c r="H143" s="16">
        <v>0</v>
      </c>
      <c r="I143" s="16">
        <v>112.5</v>
      </c>
      <c r="J143" s="16">
        <v>0</v>
      </c>
      <c r="K143" s="16">
        <v>841.48</v>
      </c>
      <c r="L143" s="16">
        <v>0</v>
      </c>
      <c r="M143" s="16">
        <v>0</v>
      </c>
      <c r="N143" s="16">
        <v>68.569999999999993</v>
      </c>
      <c r="O143" s="16">
        <v>16.88</v>
      </c>
      <c r="P143" s="16">
        <v>980.57</v>
      </c>
      <c r="Q143" s="16">
        <v>870.36</v>
      </c>
      <c r="R143" s="16">
        <v>0</v>
      </c>
      <c r="S143" s="16">
        <v>0</v>
      </c>
      <c r="T143" s="16">
        <v>449.61</v>
      </c>
      <c r="U143" s="16">
        <v>0</v>
      </c>
      <c r="V143" s="16">
        <v>0</v>
      </c>
      <c r="W143" s="16">
        <v>0</v>
      </c>
    </row>
    <row r="144" spans="1:23" x14ac:dyDescent="0.2">
      <c r="A144" s="6" t="s">
        <v>76</v>
      </c>
      <c r="B144" s="16">
        <v>392.86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392.86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</row>
    <row r="145" spans="1:23" x14ac:dyDescent="0.2">
      <c r="A145" s="6" t="s">
        <v>77</v>
      </c>
      <c r="B145" s="16">
        <v>4123.95</v>
      </c>
      <c r="C145" s="16">
        <v>90.16</v>
      </c>
      <c r="D145" s="16">
        <v>0</v>
      </c>
      <c r="E145" s="16">
        <v>57.35</v>
      </c>
      <c r="F145" s="16">
        <v>0</v>
      </c>
      <c r="G145" s="16">
        <v>0</v>
      </c>
      <c r="H145" s="16">
        <v>87.67</v>
      </c>
      <c r="I145" s="16">
        <v>41.27</v>
      </c>
      <c r="J145" s="16">
        <v>824.9</v>
      </c>
      <c r="K145" s="16">
        <v>522.87</v>
      </c>
      <c r="L145" s="16">
        <v>59.44</v>
      </c>
      <c r="M145" s="16">
        <v>447.74</v>
      </c>
      <c r="N145" s="16">
        <v>333.75</v>
      </c>
      <c r="O145" s="16">
        <v>487.02</v>
      </c>
      <c r="P145" s="16">
        <v>148.22999999999999</v>
      </c>
      <c r="Q145" s="16">
        <v>-86.9</v>
      </c>
      <c r="R145" s="16">
        <v>897.14</v>
      </c>
      <c r="S145" s="16">
        <v>0</v>
      </c>
      <c r="T145" s="16">
        <v>103.25</v>
      </c>
      <c r="U145" s="16">
        <v>-82.91</v>
      </c>
      <c r="V145" s="16">
        <v>13.06</v>
      </c>
      <c r="W145" s="16">
        <v>179.91</v>
      </c>
    </row>
    <row r="146" spans="1:23" x14ac:dyDescent="0.2">
      <c r="A146" s="6" t="s">
        <v>322</v>
      </c>
      <c r="B146" s="21">
        <v>122563.86</v>
      </c>
      <c r="C146" s="21">
        <v>7050.84</v>
      </c>
      <c r="D146" s="21">
        <v>1523.57</v>
      </c>
      <c r="E146" s="21">
        <v>6628.49</v>
      </c>
      <c r="F146" s="21">
        <v>1959.32</v>
      </c>
      <c r="G146" s="21">
        <v>7890.6</v>
      </c>
      <c r="H146" s="21">
        <v>3168.52</v>
      </c>
      <c r="I146" s="21">
        <v>4931.18</v>
      </c>
      <c r="J146" s="21">
        <v>10724.34</v>
      </c>
      <c r="K146" s="21">
        <v>9085.4500000000007</v>
      </c>
      <c r="L146" s="21">
        <v>4989.1499999999996</v>
      </c>
      <c r="M146" s="21">
        <v>5534.33</v>
      </c>
      <c r="N146" s="21">
        <v>6129.45</v>
      </c>
      <c r="O146" s="21">
        <v>7475.42</v>
      </c>
      <c r="P146" s="21">
        <v>6949.94</v>
      </c>
      <c r="Q146" s="21">
        <v>11194.66</v>
      </c>
      <c r="R146" s="21">
        <v>9472.02</v>
      </c>
      <c r="S146" s="21">
        <v>0</v>
      </c>
      <c r="T146" s="21">
        <v>6571.61</v>
      </c>
      <c r="U146" s="21">
        <v>3389.86</v>
      </c>
      <c r="V146" s="21">
        <v>3503.15</v>
      </c>
      <c r="W146" s="21">
        <v>4391.96</v>
      </c>
    </row>
    <row r="147" spans="1:23" x14ac:dyDescent="0.2">
      <c r="A147" s="6" t="s">
        <v>323</v>
      </c>
      <c r="B147" s="15" t="s">
        <v>72</v>
      </c>
      <c r="C147" s="15" t="s">
        <v>72</v>
      </c>
      <c r="D147" s="15" t="s">
        <v>72</v>
      </c>
      <c r="E147" s="15" t="s">
        <v>72</v>
      </c>
      <c r="F147" s="15" t="s">
        <v>72</v>
      </c>
      <c r="G147" s="15" t="s">
        <v>72</v>
      </c>
      <c r="H147" s="15" t="s">
        <v>72</v>
      </c>
      <c r="I147" s="15" t="s">
        <v>72</v>
      </c>
      <c r="J147" s="15" t="s">
        <v>72</v>
      </c>
      <c r="K147" s="15" t="s">
        <v>72</v>
      </c>
      <c r="L147" s="15" t="s">
        <v>72</v>
      </c>
      <c r="M147" s="15" t="s">
        <v>72</v>
      </c>
      <c r="N147" s="15" t="s">
        <v>72</v>
      </c>
      <c r="O147" s="15" t="s">
        <v>72</v>
      </c>
      <c r="P147" s="15" t="s">
        <v>72</v>
      </c>
      <c r="Q147" s="15" t="s">
        <v>72</v>
      </c>
      <c r="R147" s="15" t="s">
        <v>72</v>
      </c>
      <c r="S147" s="15" t="s">
        <v>72</v>
      </c>
      <c r="T147" s="15" t="s">
        <v>72</v>
      </c>
      <c r="U147" s="15" t="s">
        <v>72</v>
      </c>
      <c r="V147" s="15" t="s">
        <v>72</v>
      </c>
      <c r="W147" s="15" t="s">
        <v>72</v>
      </c>
    </row>
    <row r="148" spans="1:23" x14ac:dyDescent="0.2">
      <c r="A148" s="6" t="s">
        <v>73</v>
      </c>
      <c r="B148" s="16">
        <v>44030.51</v>
      </c>
      <c r="C148" s="16">
        <v>0</v>
      </c>
      <c r="D148" s="16">
        <v>0</v>
      </c>
      <c r="E148" s="16">
        <v>3458.84</v>
      </c>
      <c r="F148" s="16">
        <v>0</v>
      </c>
      <c r="G148" s="16">
        <v>3523.66</v>
      </c>
      <c r="H148" s="16">
        <v>1315.71</v>
      </c>
      <c r="I148" s="16">
        <v>0</v>
      </c>
      <c r="J148" s="16">
        <v>5303.3</v>
      </c>
      <c r="K148" s="16">
        <v>2164.8200000000002</v>
      </c>
      <c r="L148" s="16">
        <v>4216.08</v>
      </c>
      <c r="M148" s="16">
        <v>4472.9399999999996</v>
      </c>
      <c r="N148" s="16">
        <v>5476.61</v>
      </c>
      <c r="O148" s="16">
        <v>7519.55</v>
      </c>
      <c r="P148" s="16">
        <v>1711.61</v>
      </c>
      <c r="Q148" s="16">
        <v>4867.3900000000003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</row>
    <row r="149" spans="1:23" x14ac:dyDescent="0.2">
      <c r="A149" s="6" t="s">
        <v>74</v>
      </c>
      <c r="B149" s="16">
        <v>610.44000000000005</v>
      </c>
      <c r="C149" s="16">
        <v>0</v>
      </c>
      <c r="D149" s="16">
        <v>0</v>
      </c>
      <c r="E149" s="16">
        <v>0</v>
      </c>
      <c r="F149" s="16">
        <v>0</v>
      </c>
      <c r="G149" s="16">
        <v>11.25</v>
      </c>
      <c r="H149" s="16">
        <v>0</v>
      </c>
      <c r="I149" s="16">
        <v>0</v>
      </c>
      <c r="J149" s="16">
        <v>74.44</v>
      </c>
      <c r="K149" s="16">
        <v>0</v>
      </c>
      <c r="L149" s="16">
        <v>163.53</v>
      </c>
      <c r="M149" s="16">
        <v>47.01</v>
      </c>
      <c r="N149" s="16">
        <v>0</v>
      </c>
      <c r="O149" s="16">
        <v>314.20999999999998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</row>
    <row r="150" spans="1:23" x14ac:dyDescent="0.2">
      <c r="A150" s="6" t="s">
        <v>76</v>
      </c>
      <c r="B150" s="16">
        <v>50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50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</row>
    <row r="151" spans="1:23" x14ac:dyDescent="0.2">
      <c r="A151" s="6" t="s">
        <v>77</v>
      </c>
      <c r="B151" s="16">
        <v>966.73</v>
      </c>
      <c r="C151" s="16">
        <v>0</v>
      </c>
      <c r="D151" s="16">
        <v>0</v>
      </c>
      <c r="E151" s="16">
        <v>78.84</v>
      </c>
      <c r="F151" s="16">
        <v>0</v>
      </c>
      <c r="G151" s="16">
        <v>-106.07</v>
      </c>
      <c r="H151" s="16">
        <v>47.81</v>
      </c>
      <c r="I151" s="16">
        <v>0</v>
      </c>
      <c r="J151" s="16">
        <v>256.19</v>
      </c>
      <c r="K151" s="16">
        <v>47.74</v>
      </c>
      <c r="L151" s="16">
        <v>194.77</v>
      </c>
      <c r="M151" s="16">
        <v>358.55</v>
      </c>
      <c r="N151" s="16">
        <v>-405.98</v>
      </c>
      <c r="O151" s="16">
        <v>254.62</v>
      </c>
      <c r="P151" s="16">
        <v>-2.11</v>
      </c>
      <c r="Q151" s="16">
        <v>242.37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</row>
    <row r="152" spans="1:23" x14ac:dyDescent="0.2">
      <c r="A152" s="6" t="s">
        <v>324</v>
      </c>
      <c r="B152" s="21">
        <v>45657.68</v>
      </c>
      <c r="C152" s="21">
        <v>0</v>
      </c>
      <c r="D152" s="21">
        <v>0</v>
      </c>
      <c r="E152" s="21">
        <v>3537.68</v>
      </c>
      <c r="F152" s="21">
        <v>0</v>
      </c>
      <c r="G152" s="21">
        <v>3428.84</v>
      </c>
      <c r="H152" s="21">
        <v>1363.52</v>
      </c>
      <c r="I152" s="21">
        <v>0</v>
      </c>
      <c r="J152" s="21">
        <v>5633.93</v>
      </c>
      <c r="K152" s="21">
        <v>2212.56</v>
      </c>
      <c r="L152" s="21">
        <v>4574.38</v>
      </c>
      <c r="M152" s="21">
        <v>4878.5</v>
      </c>
      <c r="N152" s="21">
        <v>5070.63</v>
      </c>
      <c r="O152" s="21">
        <v>8088.38</v>
      </c>
      <c r="P152" s="21">
        <v>1759.5</v>
      </c>
      <c r="Q152" s="21">
        <v>5109.76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</row>
    <row r="153" spans="1:23" x14ac:dyDescent="0.2">
      <c r="A153" s="6" t="s">
        <v>325</v>
      </c>
      <c r="B153" s="15" t="s">
        <v>72</v>
      </c>
      <c r="C153" s="15" t="s">
        <v>72</v>
      </c>
      <c r="D153" s="15" t="s">
        <v>72</v>
      </c>
      <c r="E153" s="15" t="s">
        <v>72</v>
      </c>
      <c r="F153" s="15" t="s">
        <v>72</v>
      </c>
      <c r="G153" s="15" t="s">
        <v>72</v>
      </c>
      <c r="H153" s="15" t="s">
        <v>72</v>
      </c>
      <c r="I153" s="15" t="s">
        <v>72</v>
      </c>
      <c r="J153" s="15" t="s">
        <v>72</v>
      </c>
      <c r="K153" s="15" t="s">
        <v>72</v>
      </c>
      <c r="L153" s="15" t="s">
        <v>72</v>
      </c>
      <c r="M153" s="15" t="s">
        <v>72</v>
      </c>
      <c r="N153" s="15" t="s">
        <v>72</v>
      </c>
      <c r="O153" s="15" t="s">
        <v>72</v>
      </c>
      <c r="P153" s="15" t="s">
        <v>72</v>
      </c>
      <c r="Q153" s="15" t="s">
        <v>72</v>
      </c>
      <c r="R153" s="15" t="s">
        <v>72</v>
      </c>
      <c r="S153" s="15" t="s">
        <v>72</v>
      </c>
      <c r="T153" s="15" t="s">
        <v>72</v>
      </c>
      <c r="U153" s="15" t="s">
        <v>72</v>
      </c>
      <c r="V153" s="15" t="s">
        <v>72</v>
      </c>
      <c r="W153" s="15" t="s">
        <v>72</v>
      </c>
    </row>
    <row r="154" spans="1:23" x14ac:dyDescent="0.2">
      <c r="A154" s="6" t="s">
        <v>73</v>
      </c>
      <c r="B154" s="16">
        <v>12096.13</v>
      </c>
      <c r="C154" s="16">
        <v>0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3324.17</v>
      </c>
      <c r="M154" s="16">
        <v>0</v>
      </c>
      <c r="N154" s="16">
        <v>0</v>
      </c>
      <c r="O154" s="16">
        <v>0</v>
      </c>
      <c r="P154" s="16">
        <v>4684.0600000000004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4087.9</v>
      </c>
      <c r="W154" s="16">
        <v>0</v>
      </c>
    </row>
    <row r="155" spans="1:23" x14ac:dyDescent="0.2">
      <c r="A155" s="6" t="s">
        <v>77</v>
      </c>
      <c r="B155" s="16">
        <v>549.20000000000005</v>
      </c>
      <c r="C155" s="16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326.19</v>
      </c>
      <c r="M155" s="16">
        <v>0</v>
      </c>
      <c r="N155" s="16">
        <v>0</v>
      </c>
      <c r="O155" s="16">
        <v>0</v>
      </c>
      <c r="P155" s="16">
        <v>81.23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141.78</v>
      </c>
      <c r="W155" s="16">
        <v>0</v>
      </c>
    </row>
    <row r="156" spans="1:23" x14ac:dyDescent="0.2">
      <c r="A156" s="6" t="s">
        <v>326</v>
      </c>
      <c r="B156" s="21">
        <v>12645.33</v>
      </c>
      <c r="C156" s="21">
        <v>0</v>
      </c>
      <c r="D156" s="21">
        <v>0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3650.36</v>
      </c>
      <c r="M156" s="21">
        <v>0</v>
      </c>
      <c r="N156" s="21">
        <v>0</v>
      </c>
      <c r="O156" s="21">
        <v>0</v>
      </c>
      <c r="P156" s="21">
        <v>4765.29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4229.68</v>
      </c>
      <c r="W156" s="21">
        <v>0</v>
      </c>
    </row>
    <row r="157" spans="1:23" x14ac:dyDescent="0.2">
      <c r="A157" s="6" t="s">
        <v>327</v>
      </c>
      <c r="B157" s="15" t="s">
        <v>72</v>
      </c>
      <c r="C157" s="15" t="s">
        <v>72</v>
      </c>
      <c r="D157" s="15" t="s">
        <v>72</v>
      </c>
      <c r="E157" s="15" t="s">
        <v>72</v>
      </c>
      <c r="F157" s="15" t="s">
        <v>72</v>
      </c>
      <c r="G157" s="15" t="s">
        <v>72</v>
      </c>
      <c r="H157" s="15" t="s">
        <v>72</v>
      </c>
      <c r="I157" s="15" t="s">
        <v>72</v>
      </c>
      <c r="J157" s="15" t="s">
        <v>72</v>
      </c>
      <c r="K157" s="15" t="s">
        <v>72</v>
      </c>
      <c r="L157" s="15" t="s">
        <v>72</v>
      </c>
      <c r="M157" s="15" t="s">
        <v>72</v>
      </c>
      <c r="N157" s="15" t="s">
        <v>72</v>
      </c>
      <c r="O157" s="15" t="s">
        <v>72</v>
      </c>
      <c r="P157" s="15" t="s">
        <v>72</v>
      </c>
      <c r="Q157" s="15" t="s">
        <v>72</v>
      </c>
      <c r="R157" s="15" t="s">
        <v>72</v>
      </c>
      <c r="S157" s="15" t="s">
        <v>72</v>
      </c>
      <c r="T157" s="15" t="s">
        <v>72</v>
      </c>
      <c r="U157" s="15" t="s">
        <v>72</v>
      </c>
      <c r="V157" s="15" t="s">
        <v>72</v>
      </c>
      <c r="W157" s="15" t="s">
        <v>72</v>
      </c>
    </row>
    <row r="158" spans="1:23" x14ac:dyDescent="0.2">
      <c r="A158" s="6" t="s">
        <v>73</v>
      </c>
      <c r="B158" s="16">
        <v>15154.61</v>
      </c>
      <c r="C158" s="16">
        <v>5072.6400000000003</v>
      </c>
      <c r="D158" s="16">
        <v>0</v>
      </c>
      <c r="E158" s="16">
        <v>496.61</v>
      </c>
      <c r="F158" s="16">
        <v>0</v>
      </c>
      <c r="G158" s="16">
        <v>3959.37</v>
      </c>
      <c r="H158" s="16">
        <v>2651.7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848.31</v>
      </c>
      <c r="Q158" s="16">
        <v>1149.9100000000001</v>
      </c>
      <c r="R158" s="16">
        <v>976.07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</row>
    <row r="159" spans="1:23" x14ac:dyDescent="0.2">
      <c r="A159" s="6" t="s">
        <v>74</v>
      </c>
      <c r="B159" s="16">
        <v>311.18</v>
      </c>
      <c r="C159" s="16">
        <v>287.95</v>
      </c>
      <c r="D159" s="16">
        <v>0</v>
      </c>
      <c r="E159" s="16">
        <v>0</v>
      </c>
      <c r="F159" s="16">
        <v>0</v>
      </c>
      <c r="G159" s="16">
        <v>0</v>
      </c>
      <c r="H159" s="16">
        <v>23.23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</row>
    <row r="160" spans="1:23" x14ac:dyDescent="0.2">
      <c r="A160" s="6" t="s">
        <v>76</v>
      </c>
      <c r="B160" s="16">
        <v>200</v>
      </c>
      <c r="C160" s="16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200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</row>
    <row r="161" spans="1:23" x14ac:dyDescent="0.2">
      <c r="A161" s="6" t="s">
        <v>77</v>
      </c>
      <c r="B161" s="16">
        <v>242.34</v>
      </c>
      <c r="C161" s="16">
        <v>123.19</v>
      </c>
      <c r="D161" s="16">
        <v>0</v>
      </c>
      <c r="E161" s="16">
        <v>16.41</v>
      </c>
      <c r="F161" s="16">
        <v>0</v>
      </c>
      <c r="G161" s="16">
        <v>0</v>
      </c>
      <c r="H161" s="16">
        <v>43.41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59.33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</row>
    <row r="162" spans="1:23" x14ac:dyDescent="0.2">
      <c r="A162" s="6" t="s">
        <v>328</v>
      </c>
      <c r="B162" s="21">
        <v>15908.13</v>
      </c>
      <c r="C162" s="21">
        <v>5483.78</v>
      </c>
      <c r="D162" s="21">
        <v>0</v>
      </c>
      <c r="E162" s="21">
        <v>513.02</v>
      </c>
      <c r="F162" s="21">
        <v>0</v>
      </c>
      <c r="G162" s="21">
        <v>3959.37</v>
      </c>
      <c r="H162" s="21">
        <v>2718.34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1048.31</v>
      </c>
      <c r="Q162" s="21">
        <v>1209.24</v>
      </c>
      <c r="R162" s="21">
        <v>976.07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</row>
    <row r="163" spans="1:23" x14ac:dyDescent="0.2">
      <c r="A163" s="6" t="s">
        <v>329</v>
      </c>
      <c r="B163" s="15" t="s">
        <v>72</v>
      </c>
      <c r="C163" s="15" t="s">
        <v>72</v>
      </c>
      <c r="D163" s="15" t="s">
        <v>72</v>
      </c>
      <c r="E163" s="15" t="s">
        <v>72</v>
      </c>
      <c r="F163" s="15" t="s">
        <v>72</v>
      </c>
      <c r="G163" s="15" t="s">
        <v>72</v>
      </c>
      <c r="H163" s="15" t="s">
        <v>72</v>
      </c>
      <c r="I163" s="15" t="s">
        <v>72</v>
      </c>
      <c r="J163" s="15" t="s">
        <v>72</v>
      </c>
      <c r="K163" s="15" t="s">
        <v>72</v>
      </c>
      <c r="L163" s="15" t="s">
        <v>72</v>
      </c>
      <c r="M163" s="15" t="s">
        <v>72</v>
      </c>
      <c r="N163" s="15" t="s">
        <v>72</v>
      </c>
      <c r="O163" s="15" t="s">
        <v>72</v>
      </c>
      <c r="P163" s="15" t="s">
        <v>72</v>
      </c>
      <c r="Q163" s="15" t="s">
        <v>72</v>
      </c>
      <c r="R163" s="15" t="s">
        <v>72</v>
      </c>
      <c r="S163" s="15" t="s">
        <v>72</v>
      </c>
      <c r="T163" s="15" t="s">
        <v>72</v>
      </c>
      <c r="U163" s="15" t="s">
        <v>72</v>
      </c>
      <c r="V163" s="15" t="s">
        <v>72</v>
      </c>
      <c r="W163" s="15" t="s">
        <v>72</v>
      </c>
    </row>
    <row r="164" spans="1:23" x14ac:dyDescent="0.2">
      <c r="A164" s="6" t="s">
        <v>73</v>
      </c>
      <c r="B164" s="16">
        <v>104178.52</v>
      </c>
      <c r="C164" s="16">
        <v>6600.17</v>
      </c>
      <c r="D164" s="16">
        <v>5692.29</v>
      </c>
      <c r="E164" s="16">
        <v>5961.52</v>
      </c>
      <c r="F164" s="16">
        <v>2324.1799999999998</v>
      </c>
      <c r="G164" s="16">
        <v>6387.37</v>
      </c>
      <c r="H164" s="16">
        <v>1607.15</v>
      </c>
      <c r="I164" s="16">
        <v>6615.38</v>
      </c>
      <c r="J164" s="16">
        <v>1978.02</v>
      </c>
      <c r="K164" s="16">
        <v>0</v>
      </c>
      <c r="L164" s="16">
        <v>1112.6400000000001</v>
      </c>
      <c r="M164" s="16">
        <v>6387.37</v>
      </c>
      <c r="N164" s="16">
        <v>10508.24</v>
      </c>
      <c r="O164" s="16">
        <v>3214.29</v>
      </c>
      <c r="P164" s="16">
        <v>10920.38</v>
      </c>
      <c r="Q164" s="16">
        <v>9308.64</v>
      </c>
      <c r="R164" s="16">
        <v>5882.98</v>
      </c>
      <c r="S164" s="16">
        <v>5107.1400000000003</v>
      </c>
      <c r="T164" s="16">
        <v>3931.31</v>
      </c>
      <c r="U164" s="16">
        <v>3863.74</v>
      </c>
      <c r="V164" s="16">
        <v>6775.71</v>
      </c>
      <c r="W164" s="16">
        <v>0</v>
      </c>
    </row>
    <row r="165" spans="1:23" x14ac:dyDescent="0.2">
      <c r="A165" s="6" t="s">
        <v>77</v>
      </c>
      <c r="B165" s="16">
        <v>5337.48</v>
      </c>
      <c r="C165" s="16">
        <v>343.38</v>
      </c>
      <c r="D165" s="16">
        <v>294.64999999999998</v>
      </c>
      <c r="E165" s="16">
        <v>103.39</v>
      </c>
      <c r="F165" s="16">
        <v>0</v>
      </c>
      <c r="G165" s="16">
        <v>443.65</v>
      </c>
      <c r="H165" s="16">
        <v>40.4</v>
      </c>
      <c r="I165" s="16">
        <v>671.03</v>
      </c>
      <c r="J165" s="16">
        <v>0</v>
      </c>
      <c r="K165" s="16">
        <v>0</v>
      </c>
      <c r="L165" s="16">
        <v>0</v>
      </c>
      <c r="M165" s="16">
        <v>641.74</v>
      </c>
      <c r="N165" s="16">
        <v>0</v>
      </c>
      <c r="O165" s="16">
        <v>0</v>
      </c>
      <c r="P165" s="16">
        <v>166.15</v>
      </c>
      <c r="Q165" s="16">
        <v>313.13</v>
      </c>
      <c r="R165" s="16">
        <v>1271.6600000000001</v>
      </c>
      <c r="S165" s="16">
        <v>26.39</v>
      </c>
      <c r="T165" s="16">
        <v>747.34</v>
      </c>
      <c r="U165" s="16">
        <v>39.56</v>
      </c>
      <c r="V165" s="16">
        <v>235.01</v>
      </c>
      <c r="W165" s="16">
        <v>0</v>
      </c>
    </row>
    <row r="166" spans="1:23" x14ac:dyDescent="0.2">
      <c r="A166" s="6" t="s">
        <v>330</v>
      </c>
      <c r="B166" s="21">
        <v>109516</v>
      </c>
      <c r="C166" s="21">
        <v>6943.55</v>
      </c>
      <c r="D166" s="21">
        <v>5986.94</v>
      </c>
      <c r="E166" s="21">
        <v>6064.91</v>
      </c>
      <c r="F166" s="21">
        <v>2324.1799999999998</v>
      </c>
      <c r="G166" s="21">
        <v>6831.02</v>
      </c>
      <c r="H166" s="21">
        <v>1647.55</v>
      </c>
      <c r="I166" s="21">
        <v>7286.41</v>
      </c>
      <c r="J166" s="21">
        <v>1978.02</v>
      </c>
      <c r="K166" s="21">
        <v>0</v>
      </c>
      <c r="L166" s="21">
        <v>1112.6400000000001</v>
      </c>
      <c r="M166" s="21">
        <v>7029.11</v>
      </c>
      <c r="N166" s="21">
        <v>10508.24</v>
      </c>
      <c r="O166" s="21">
        <v>3214.29</v>
      </c>
      <c r="P166" s="21">
        <v>11086.53</v>
      </c>
      <c r="Q166" s="21">
        <v>9621.77</v>
      </c>
      <c r="R166" s="21">
        <v>7154.64</v>
      </c>
      <c r="S166" s="21">
        <v>5133.53</v>
      </c>
      <c r="T166" s="21">
        <v>4678.6499999999996</v>
      </c>
      <c r="U166" s="21">
        <v>3903.3</v>
      </c>
      <c r="V166" s="21">
        <v>7010.72</v>
      </c>
      <c r="W166" s="21">
        <v>0</v>
      </c>
    </row>
    <row r="167" spans="1:23" x14ac:dyDescent="0.2">
      <c r="A167" s="6" t="s">
        <v>331</v>
      </c>
      <c r="B167" s="15" t="s">
        <v>72</v>
      </c>
      <c r="C167" s="15" t="s">
        <v>72</v>
      </c>
      <c r="D167" s="15" t="s">
        <v>72</v>
      </c>
      <c r="E167" s="15" t="s">
        <v>72</v>
      </c>
      <c r="F167" s="15" t="s">
        <v>72</v>
      </c>
      <c r="G167" s="15" t="s">
        <v>72</v>
      </c>
      <c r="H167" s="15" t="s">
        <v>72</v>
      </c>
      <c r="I167" s="15" t="s">
        <v>72</v>
      </c>
      <c r="J167" s="15" t="s">
        <v>72</v>
      </c>
      <c r="K167" s="15" t="s">
        <v>72</v>
      </c>
      <c r="L167" s="15" t="s">
        <v>72</v>
      </c>
      <c r="M167" s="15" t="s">
        <v>72</v>
      </c>
      <c r="N167" s="15" t="s">
        <v>72</v>
      </c>
      <c r="O167" s="15" t="s">
        <v>72</v>
      </c>
      <c r="P167" s="15" t="s">
        <v>72</v>
      </c>
      <c r="Q167" s="15" t="s">
        <v>72</v>
      </c>
      <c r="R167" s="15" t="s">
        <v>72</v>
      </c>
      <c r="S167" s="15" t="s">
        <v>72</v>
      </c>
      <c r="T167" s="15" t="s">
        <v>72</v>
      </c>
      <c r="U167" s="15" t="s">
        <v>72</v>
      </c>
      <c r="V167" s="15" t="s">
        <v>72</v>
      </c>
      <c r="W167" s="15" t="s">
        <v>72</v>
      </c>
    </row>
    <row r="168" spans="1:23" x14ac:dyDescent="0.2">
      <c r="A168" s="6" t="s">
        <v>73</v>
      </c>
      <c r="B168" s="16">
        <v>32330.85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3521.06</v>
      </c>
      <c r="K168" s="16">
        <v>3487.93</v>
      </c>
      <c r="L168" s="16">
        <v>4683.66</v>
      </c>
      <c r="M168" s="16">
        <v>3422.86</v>
      </c>
      <c r="N168" s="16">
        <v>3542.86</v>
      </c>
      <c r="O168" s="16">
        <v>3485.71</v>
      </c>
      <c r="P168" s="16">
        <v>5263.18</v>
      </c>
      <c r="Q168" s="16">
        <v>0</v>
      </c>
      <c r="R168" s="16">
        <v>0</v>
      </c>
      <c r="S168" s="16">
        <v>3212.49</v>
      </c>
      <c r="T168" s="16">
        <v>0</v>
      </c>
      <c r="U168" s="16">
        <v>0</v>
      </c>
      <c r="V168" s="16">
        <v>1711.1</v>
      </c>
      <c r="W168" s="16">
        <v>0</v>
      </c>
    </row>
    <row r="169" spans="1:23" x14ac:dyDescent="0.2">
      <c r="A169" s="6" t="s">
        <v>74</v>
      </c>
      <c r="B169" s="16">
        <v>1210.1400000000001</v>
      </c>
      <c r="C169" s="16">
        <v>0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597.03</v>
      </c>
      <c r="K169" s="16">
        <v>24.13</v>
      </c>
      <c r="L169" s="16">
        <v>0</v>
      </c>
      <c r="M169" s="16">
        <v>0</v>
      </c>
      <c r="N169" s="16">
        <v>367.5</v>
      </c>
      <c r="O169" s="16">
        <v>0</v>
      </c>
      <c r="P169" s="16">
        <v>0</v>
      </c>
      <c r="Q169" s="16">
        <v>0</v>
      </c>
      <c r="R169" s="16">
        <v>0</v>
      </c>
      <c r="S169" s="16">
        <v>221.48</v>
      </c>
      <c r="T169" s="16">
        <v>0</v>
      </c>
      <c r="U169" s="16">
        <v>0</v>
      </c>
      <c r="V169" s="16">
        <v>0</v>
      </c>
      <c r="W169" s="16">
        <v>0</v>
      </c>
    </row>
    <row r="170" spans="1:23" x14ac:dyDescent="0.2">
      <c r="A170" s="6" t="s">
        <v>76</v>
      </c>
      <c r="B170" s="16">
        <v>250</v>
      </c>
      <c r="C170" s="16">
        <v>0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250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</row>
    <row r="171" spans="1:23" x14ac:dyDescent="0.2">
      <c r="A171" s="6" t="s">
        <v>77</v>
      </c>
      <c r="B171" s="16">
        <v>1804.57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162.61000000000001</v>
      </c>
      <c r="K171" s="16">
        <v>748.25</v>
      </c>
      <c r="L171" s="16">
        <v>81.23</v>
      </c>
      <c r="M171" s="16">
        <v>59.14</v>
      </c>
      <c r="N171" s="16">
        <v>184.62</v>
      </c>
      <c r="O171" s="16">
        <v>232.68</v>
      </c>
      <c r="P171" s="16">
        <v>182.55</v>
      </c>
      <c r="Q171" s="16">
        <v>0</v>
      </c>
      <c r="R171" s="16">
        <v>0</v>
      </c>
      <c r="S171" s="16">
        <v>349.36</v>
      </c>
      <c r="T171" s="16">
        <v>-117.56</v>
      </c>
      <c r="U171" s="16">
        <v>-468.4</v>
      </c>
      <c r="V171" s="16">
        <v>390.09</v>
      </c>
      <c r="W171" s="16">
        <v>0</v>
      </c>
    </row>
    <row r="172" spans="1:23" x14ac:dyDescent="0.2">
      <c r="A172" s="6" t="s">
        <v>332</v>
      </c>
      <c r="B172" s="21">
        <v>35595.56</v>
      </c>
      <c r="C172" s="21">
        <v>0</v>
      </c>
      <c r="D172" s="21">
        <v>0</v>
      </c>
      <c r="E172" s="21">
        <v>0</v>
      </c>
      <c r="F172" s="21">
        <v>0</v>
      </c>
      <c r="G172" s="21">
        <v>0</v>
      </c>
      <c r="H172" s="21">
        <v>0</v>
      </c>
      <c r="I172" s="21">
        <v>0</v>
      </c>
      <c r="J172" s="21">
        <v>4280.7</v>
      </c>
      <c r="K172" s="21">
        <v>4260.3100000000004</v>
      </c>
      <c r="L172" s="21">
        <v>4764.8900000000003</v>
      </c>
      <c r="M172" s="21">
        <v>3482</v>
      </c>
      <c r="N172" s="21">
        <v>4094.98</v>
      </c>
      <c r="O172" s="21">
        <v>3718.39</v>
      </c>
      <c r="P172" s="21">
        <v>5695.73</v>
      </c>
      <c r="Q172" s="21">
        <v>0</v>
      </c>
      <c r="R172" s="21">
        <v>0</v>
      </c>
      <c r="S172" s="21">
        <v>3783.33</v>
      </c>
      <c r="T172" s="21">
        <v>-117.56</v>
      </c>
      <c r="U172" s="21">
        <v>-468.4</v>
      </c>
      <c r="V172" s="21">
        <v>2101.19</v>
      </c>
      <c r="W172" s="21">
        <v>0</v>
      </c>
    </row>
    <row r="173" spans="1:23" x14ac:dyDescent="0.2">
      <c r="A173" s="6" t="s">
        <v>333</v>
      </c>
      <c r="B173" s="15" t="s">
        <v>72</v>
      </c>
      <c r="C173" s="15" t="s">
        <v>72</v>
      </c>
      <c r="D173" s="15" t="s">
        <v>72</v>
      </c>
      <c r="E173" s="15" t="s">
        <v>72</v>
      </c>
      <c r="F173" s="15" t="s">
        <v>72</v>
      </c>
      <c r="G173" s="15" t="s">
        <v>72</v>
      </c>
      <c r="H173" s="15" t="s">
        <v>72</v>
      </c>
      <c r="I173" s="15" t="s">
        <v>72</v>
      </c>
      <c r="J173" s="15" t="s">
        <v>72</v>
      </c>
      <c r="K173" s="15" t="s">
        <v>72</v>
      </c>
      <c r="L173" s="15" t="s">
        <v>72</v>
      </c>
      <c r="M173" s="15" t="s">
        <v>72</v>
      </c>
      <c r="N173" s="15" t="s">
        <v>72</v>
      </c>
      <c r="O173" s="15" t="s">
        <v>72</v>
      </c>
      <c r="P173" s="15" t="s">
        <v>72</v>
      </c>
      <c r="Q173" s="15" t="s">
        <v>72</v>
      </c>
      <c r="R173" s="15" t="s">
        <v>72</v>
      </c>
      <c r="S173" s="15" t="s">
        <v>72</v>
      </c>
      <c r="T173" s="15" t="s">
        <v>72</v>
      </c>
      <c r="U173" s="15" t="s">
        <v>72</v>
      </c>
      <c r="V173" s="15" t="s">
        <v>72</v>
      </c>
      <c r="W173" s="15" t="s">
        <v>72</v>
      </c>
    </row>
    <row r="174" spans="1:23" x14ac:dyDescent="0.2">
      <c r="A174" s="6" t="s">
        <v>73</v>
      </c>
      <c r="B174" s="16">
        <v>2984.72</v>
      </c>
      <c r="C174" s="16">
        <v>0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2984.72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</row>
    <row r="175" spans="1:23" x14ac:dyDescent="0.2">
      <c r="A175" s="6" t="s">
        <v>74</v>
      </c>
      <c r="B175" s="16">
        <v>36.43</v>
      </c>
      <c r="C175" s="16">
        <v>0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36.43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</row>
    <row r="176" spans="1:23" x14ac:dyDescent="0.2">
      <c r="A176" s="6" t="s">
        <v>77</v>
      </c>
      <c r="B176" s="16">
        <v>-219.63</v>
      </c>
      <c r="C176" s="16">
        <v>0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-219.63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</row>
    <row r="177" spans="1:23" x14ac:dyDescent="0.2">
      <c r="A177" s="6" t="s">
        <v>334</v>
      </c>
      <c r="B177" s="21">
        <v>2801.52</v>
      </c>
      <c r="C177" s="21">
        <v>0</v>
      </c>
      <c r="D177" s="21">
        <v>0</v>
      </c>
      <c r="E177" s="21">
        <v>0</v>
      </c>
      <c r="F177" s="21">
        <v>0</v>
      </c>
      <c r="G177" s="21">
        <v>0</v>
      </c>
      <c r="H177" s="21">
        <v>0</v>
      </c>
      <c r="I177" s="21">
        <v>0</v>
      </c>
      <c r="J177" s="21">
        <v>0</v>
      </c>
      <c r="K177" s="21">
        <v>0</v>
      </c>
      <c r="L177" s="21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2801.52</v>
      </c>
      <c r="R177" s="21">
        <v>0</v>
      </c>
      <c r="S177" s="21">
        <v>0</v>
      </c>
      <c r="T177" s="21">
        <v>0</v>
      </c>
      <c r="U177" s="21">
        <v>0</v>
      </c>
      <c r="V177" s="21">
        <v>0</v>
      </c>
      <c r="W177" s="21">
        <v>0</v>
      </c>
    </row>
    <row r="178" spans="1:23" x14ac:dyDescent="0.2">
      <c r="A178" s="6" t="s">
        <v>335</v>
      </c>
      <c r="B178" s="15" t="s">
        <v>72</v>
      </c>
      <c r="C178" s="15" t="s">
        <v>72</v>
      </c>
      <c r="D178" s="15" t="s">
        <v>72</v>
      </c>
      <c r="E178" s="15" t="s">
        <v>72</v>
      </c>
      <c r="F178" s="15" t="s">
        <v>72</v>
      </c>
      <c r="G178" s="15" t="s">
        <v>72</v>
      </c>
      <c r="H178" s="15" t="s">
        <v>72</v>
      </c>
      <c r="I178" s="15" t="s">
        <v>72</v>
      </c>
      <c r="J178" s="15" t="s">
        <v>72</v>
      </c>
      <c r="K178" s="15" t="s">
        <v>72</v>
      </c>
      <c r="L178" s="15" t="s">
        <v>72</v>
      </c>
      <c r="M178" s="15" t="s">
        <v>72</v>
      </c>
      <c r="N178" s="15" t="s">
        <v>72</v>
      </c>
      <c r="O178" s="15" t="s">
        <v>72</v>
      </c>
      <c r="P178" s="15" t="s">
        <v>72</v>
      </c>
      <c r="Q178" s="15" t="s">
        <v>72</v>
      </c>
      <c r="R178" s="15" t="s">
        <v>72</v>
      </c>
      <c r="S178" s="15" t="s">
        <v>72</v>
      </c>
      <c r="T178" s="15" t="s">
        <v>72</v>
      </c>
      <c r="U178" s="15" t="s">
        <v>72</v>
      </c>
      <c r="V178" s="15" t="s">
        <v>72</v>
      </c>
      <c r="W178" s="15" t="s">
        <v>72</v>
      </c>
    </row>
    <row r="179" spans="1:23" x14ac:dyDescent="0.2">
      <c r="A179" s="6" t="s">
        <v>73</v>
      </c>
      <c r="B179" s="16">
        <v>25610.84</v>
      </c>
      <c r="C179" s="16">
        <v>2777.14</v>
      </c>
      <c r="D179" s="16">
        <v>2624.68</v>
      </c>
      <c r="E179" s="16">
        <v>2074.2800000000002</v>
      </c>
      <c r="F179" s="16">
        <v>3414.38</v>
      </c>
      <c r="G179" s="16">
        <v>3710.54</v>
      </c>
      <c r="H179" s="16">
        <v>2739.53</v>
      </c>
      <c r="I179" s="16">
        <v>3502.86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4767.43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</row>
    <row r="180" spans="1:23" x14ac:dyDescent="0.2">
      <c r="A180" s="6" t="s">
        <v>74</v>
      </c>
      <c r="B180" s="16">
        <v>845.64</v>
      </c>
      <c r="C180" s="16">
        <v>708.27</v>
      </c>
      <c r="D180" s="16">
        <v>19.13</v>
      </c>
      <c r="E180" s="16">
        <v>0</v>
      </c>
      <c r="F180" s="16">
        <v>7.88</v>
      </c>
      <c r="G180" s="16">
        <v>0</v>
      </c>
      <c r="H180" s="16">
        <v>0</v>
      </c>
      <c r="I180" s="16">
        <v>110.36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</row>
    <row r="181" spans="1:23" x14ac:dyDescent="0.2">
      <c r="A181" s="6" t="s">
        <v>77</v>
      </c>
      <c r="B181" s="16">
        <v>985.5</v>
      </c>
      <c r="C181" s="16">
        <v>192.56</v>
      </c>
      <c r="D181" s="16">
        <v>92.53</v>
      </c>
      <c r="E181" s="16">
        <v>224.83</v>
      </c>
      <c r="F181" s="16">
        <v>337.45</v>
      </c>
      <c r="G181" s="16">
        <v>0</v>
      </c>
      <c r="H181" s="16">
        <v>111.78</v>
      </c>
      <c r="I181" s="16">
        <v>60.77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-34.42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</row>
    <row r="182" spans="1:23" x14ac:dyDescent="0.2">
      <c r="A182" s="6" t="s">
        <v>336</v>
      </c>
      <c r="B182" s="21">
        <v>27441.98</v>
      </c>
      <c r="C182" s="21">
        <v>3677.97</v>
      </c>
      <c r="D182" s="21">
        <v>2736.34</v>
      </c>
      <c r="E182" s="21">
        <v>2299.11</v>
      </c>
      <c r="F182" s="21">
        <v>3759.71</v>
      </c>
      <c r="G182" s="21">
        <v>3710.54</v>
      </c>
      <c r="H182" s="21">
        <v>2851.31</v>
      </c>
      <c r="I182" s="21">
        <v>3673.99</v>
      </c>
      <c r="J182" s="21">
        <v>0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4733.01</v>
      </c>
      <c r="R182" s="21">
        <v>0</v>
      </c>
      <c r="S182" s="21">
        <v>0</v>
      </c>
      <c r="T182" s="21">
        <v>0</v>
      </c>
      <c r="U182" s="21">
        <v>0</v>
      </c>
      <c r="V182" s="21">
        <v>0</v>
      </c>
      <c r="W182" s="21">
        <v>0</v>
      </c>
    </row>
    <row r="183" spans="1:23" x14ac:dyDescent="0.2">
      <c r="A183" s="6" t="s">
        <v>337</v>
      </c>
      <c r="B183" s="15" t="s">
        <v>72</v>
      </c>
      <c r="C183" s="15" t="s">
        <v>72</v>
      </c>
      <c r="D183" s="15" t="s">
        <v>72</v>
      </c>
      <c r="E183" s="15" t="s">
        <v>72</v>
      </c>
      <c r="F183" s="15" t="s">
        <v>72</v>
      </c>
      <c r="G183" s="15" t="s">
        <v>72</v>
      </c>
      <c r="H183" s="15" t="s">
        <v>72</v>
      </c>
      <c r="I183" s="15" t="s">
        <v>72</v>
      </c>
      <c r="J183" s="15" t="s">
        <v>72</v>
      </c>
      <c r="K183" s="15" t="s">
        <v>72</v>
      </c>
      <c r="L183" s="15" t="s">
        <v>72</v>
      </c>
      <c r="M183" s="15" t="s">
        <v>72</v>
      </c>
      <c r="N183" s="15" t="s">
        <v>72</v>
      </c>
      <c r="O183" s="15" t="s">
        <v>72</v>
      </c>
      <c r="P183" s="15" t="s">
        <v>72</v>
      </c>
      <c r="Q183" s="15" t="s">
        <v>72</v>
      </c>
      <c r="R183" s="15" t="s">
        <v>72</v>
      </c>
      <c r="S183" s="15" t="s">
        <v>72</v>
      </c>
      <c r="T183" s="15" t="s">
        <v>72</v>
      </c>
      <c r="U183" s="15" t="s">
        <v>72</v>
      </c>
      <c r="V183" s="15" t="s">
        <v>72</v>
      </c>
      <c r="W183" s="15" t="s">
        <v>72</v>
      </c>
    </row>
    <row r="184" spans="1:23" x14ac:dyDescent="0.2">
      <c r="A184" s="6" t="s">
        <v>73</v>
      </c>
      <c r="B184" s="16">
        <v>12106.26</v>
      </c>
      <c r="C184" s="16">
        <v>0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3539.18</v>
      </c>
      <c r="O184" s="16">
        <v>0</v>
      </c>
      <c r="P184" s="16">
        <v>0</v>
      </c>
      <c r="Q184" s="16">
        <v>3890.29</v>
      </c>
      <c r="R184" s="16">
        <v>4676.79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</row>
    <row r="185" spans="1:23" x14ac:dyDescent="0.2">
      <c r="A185" s="6" t="s">
        <v>74</v>
      </c>
      <c r="B185" s="16">
        <v>493.66</v>
      </c>
      <c r="C185" s="16">
        <v>0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493.66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</row>
    <row r="186" spans="1:23" x14ac:dyDescent="0.2">
      <c r="A186" s="6" t="s">
        <v>77</v>
      </c>
      <c r="B186" s="16">
        <v>572.04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252.31</v>
      </c>
      <c r="O186" s="16">
        <v>0</v>
      </c>
      <c r="P186" s="16">
        <v>0</v>
      </c>
      <c r="Q186" s="16">
        <v>141.54</v>
      </c>
      <c r="R186" s="16">
        <v>178.19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</row>
    <row r="187" spans="1:23" x14ac:dyDescent="0.2">
      <c r="A187" s="6" t="s">
        <v>338</v>
      </c>
      <c r="B187" s="21">
        <v>13171.96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  <c r="H187" s="21">
        <v>0</v>
      </c>
      <c r="I187" s="21">
        <v>0</v>
      </c>
      <c r="J187" s="21">
        <v>0</v>
      </c>
      <c r="K187" s="21">
        <v>0</v>
      </c>
      <c r="L187" s="21">
        <v>0</v>
      </c>
      <c r="M187" s="21">
        <v>0</v>
      </c>
      <c r="N187" s="21">
        <v>4285.1499999999996</v>
      </c>
      <c r="O187" s="21">
        <v>0</v>
      </c>
      <c r="P187" s="21">
        <v>0</v>
      </c>
      <c r="Q187" s="21">
        <v>4031.83</v>
      </c>
      <c r="R187" s="21">
        <v>4854.9799999999996</v>
      </c>
      <c r="S187" s="21">
        <v>0</v>
      </c>
      <c r="T187" s="21">
        <v>0</v>
      </c>
      <c r="U187" s="21">
        <v>0</v>
      </c>
      <c r="V187" s="21">
        <v>0</v>
      </c>
      <c r="W187" s="21">
        <v>0</v>
      </c>
    </row>
    <row r="188" spans="1:23" x14ac:dyDescent="0.2">
      <c r="A188" s="6" t="s">
        <v>339</v>
      </c>
      <c r="B188" s="17">
        <v>3366124.75</v>
      </c>
      <c r="C188" s="17">
        <v>172344.15</v>
      </c>
      <c r="D188" s="17">
        <v>170625.04</v>
      </c>
      <c r="E188" s="17">
        <v>160545</v>
      </c>
      <c r="F188" s="17">
        <v>165681.68</v>
      </c>
      <c r="G188" s="17">
        <v>159746.88</v>
      </c>
      <c r="H188" s="17">
        <v>147259.34</v>
      </c>
      <c r="I188" s="17">
        <v>112920.07</v>
      </c>
      <c r="J188" s="17">
        <v>165670.94</v>
      </c>
      <c r="K188" s="17">
        <v>121310.65</v>
      </c>
      <c r="L188" s="17">
        <v>195675.58</v>
      </c>
      <c r="M188" s="17">
        <v>210564.13</v>
      </c>
      <c r="N188" s="17">
        <v>415853.29</v>
      </c>
      <c r="O188" s="17">
        <v>214207.01</v>
      </c>
      <c r="P188" s="17">
        <v>248213.61</v>
      </c>
      <c r="Q188" s="17">
        <v>227113.82</v>
      </c>
      <c r="R188" s="17">
        <v>215323.14</v>
      </c>
      <c r="S188" s="17">
        <v>71006.13</v>
      </c>
      <c r="T188" s="17">
        <v>61641.99</v>
      </c>
      <c r="U188" s="17">
        <v>39478.06</v>
      </c>
      <c r="V188" s="17">
        <v>70699.89</v>
      </c>
      <c r="W188" s="17">
        <v>20244.349999999999</v>
      </c>
    </row>
    <row r="189" spans="1:23" x14ac:dyDescent="0.2">
      <c r="A189" s="4" t="s">
        <v>6</v>
      </c>
    </row>
    <row r="190" spans="1:23" x14ac:dyDescent="0.2">
      <c r="A190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Balance Sheet</vt:lpstr>
      <vt:lpstr>AC - Statement of Operations</vt:lpstr>
      <vt:lpstr>Operating Expenses by Departmen</vt:lpstr>
      <vt:lpstr>G&amp;A Expenses by Department</vt:lpstr>
      <vt:lpstr>Monthly Census by Payor</vt:lpstr>
      <vt:lpstr>Schedule of Resident Income</vt:lpstr>
      <vt:lpstr>Ancillary Expenses by Payor Sum</vt:lpstr>
      <vt:lpstr>Ancillary Expenses by Payor Det</vt:lpstr>
      <vt:lpstr>Payroll and Related Costs</vt:lpstr>
      <vt:lpstr>Salaries by Position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Goldfarb</dc:creator>
  <cp:keywords/>
  <dc:description/>
  <cp:lastModifiedBy>Brian Goldfarb</cp:lastModifiedBy>
  <dcterms:created xsi:type="dcterms:W3CDTF">2025-05-09T15:54:19Z</dcterms:created>
  <dcterms:modified xsi:type="dcterms:W3CDTF">2025-05-09T16:00:37Z</dcterms:modified>
  <cp:category/>
  <cp:contentStatus/>
</cp:coreProperties>
</file>