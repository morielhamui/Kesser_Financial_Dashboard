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Petlin/"/>
    </mc:Choice>
  </mc:AlternateContent>
  <xr:revisionPtr revIDLastSave="1" documentId="8_{A074459F-BA19-424A-90E7-9173EC10B79E}" xr6:coauthVersionLast="47" xr6:coauthVersionMax="47" xr10:uidLastSave="{624CA5AC-C98A-40FC-83AD-30D71065360E}"/>
  <bookViews>
    <workbookView xWindow="-28920" yWindow="-1095" windowWidth="29040" windowHeight="15720" activeTab="1" xr2:uid="{915D60FD-BC6A-4367-AECE-E0E177724BFF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Sheet1!$20:$20,Sheet1!$21:$21,Sheet1!$22:$22,Sheet1!$23:$23,Sheet1!$24:$24,Sheet1!$25:$25,Sheet1!$26:$26,Sheet1!$31:$31,Sheet1!$32:$32,Sheet1!$33:$33,Sheet1!$34:$34,Sheet1!$35:$35,Sheet1!$36:$36,Sheet1!$37:$37,Sheet1!$38:$38,Sheet1!$39:$39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Sheet1!$40:$40,Sheet1!$41:$41,Sheet1!$42:$42,Sheet1!$43:$43,Sheet1!$44:$44,Sheet1!$45:$45,Sheet1!$46:$46,Sheet1!$47:$47,Sheet1!$48:$48,Sheet1!$49:$49,Sheet1!$50:$50,Sheet1!$51:$51,Sheet1!$52:$52,Sheet1!$55:$55,Sheet1!$56:$56,Sheet1!$57:$57</definedName>
    <definedName name="QB_DATA_3" localSheetId="1" hidden="1">Sheet1!$58:$58,Sheet1!$59:$59,Sheet1!$60:$60,Sheet1!$61:$61,Sheet1!$62:$62,Sheet1!$63:$63,Sheet1!$66:$66,Sheet1!$67:$67,Sheet1!$68:$68,Sheet1!$69:$69,Sheet1!$70:$70,Sheet1!$71:$71,Sheet1!$72:$72,Sheet1!$73:$73,Sheet1!$74:$74,Sheet1!$77:$77</definedName>
    <definedName name="QB_DATA_4" localSheetId="1" hidden="1">Sheet1!$78:$78,Sheet1!$79:$79,Sheet1!$80:$80,Sheet1!$81:$81,Sheet1!$82:$82,Sheet1!$83:$83,Sheet1!$84:$84,Sheet1!$87:$87,Sheet1!$88:$88,Sheet1!$89:$89,Sheet1!$90:$90,Sheet1!$91:$91,Sheet1!$92:$92,Sheet1!$93:$93,Sheet1!$96:$96,Sheet1!$97:$97</definedName>
    <definedName name="QB_DATA_5" localSheetId="1" hidden="1">Sheet1!$98:$98,Sheet1!$99:$99,Sheet1!$100:$100,Sheet1!$101:$101,Sheet1!$104:$104,Sheet1!$105:$105,Sheet1!$106:$106,Sheet1!$107:$107,Sheet1!$108:$108,Sheet1!$109:$109,Sheet1!$110:$110,Sheet1!$111:$111,Sheet1!$112:$112,Sheet1!$113:$113,Sheet1!$114:$114,Sheet1!$115:$115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Sheet1!$116:$116,Sheet1!$117:$117,Sheet1!$118:$118,Sheet1!$119:$119,Sheet1!$120:$120,Sheet1!$121:$121,Sheet1!$122:$122,Sheet1!$123:$123,Sheet1!$124:$124,Sheet1!$125:$125,Sheet1!$126:$126,Sheet1!$127:$127,Sheet1!$128:$128,Sheet1!$129:$129,Sheet1!$130:$130,Sheet1!$131:$131</definedName>
    <definedName name="QB_DATA_7" localSheetId="1" hidden="1">Sheet1!$138:$138,Sheet1!$139:$139</definedName>
    <definedName name="QB_FORMULA_0" localSheetId="1" hidden="1">Sheet1!$AE$4,Sheet1!$AE$5,Sheet1!$AE$6,Sheet1!$AE$7,Sheet1!$AE$8,Sheet1!$AE$9,Sheet1!$AE$10,Sheet1!$AE$11,Sheet1!$AE$12,Sheet1!$AE$13,Sheet1!$AE$14,Sheet1!$AE$15,Sheet1!$AE$16,Sheet1!$AE$17,Sheet1!$AE$18,Sheet1!$AE$19</definedName>
    <definedName name="QB_FORMULA_1" localSheetId="1" hidden="1">Sheet1!$AE$20,Sheet1!$AE$21,Sheet1!$AE$22,Sheet1!$AE$23,Sheet1!$AE$24,Sheet1!$AE$25,Sheet1!$AE$26,Sheet1!$G$27,Sheet1!$I$27,Sheet1!$K$27,Sheet1!$M$27,Sheet1!$O$27,Sheet1!$Q$27,Sheet1!$S$27,Sheet1!$U$27,Sheet1!$W$27</definedName>
    <definedName name="QB_FORMULA_10" localSheetId="1" hidden="1">Sheet1!$O$94,Sheet1!$Q$94,Sheet1!$S$94,Sheet1!$U$94,Sheet1!$W$94,Sheet1!$Y$94,Sheet1!$AA$94,Sheet1!$AC$94,Sheet1!$AE$94,Sheet1!$AE$96,Sheet1!$AE$97,Sheet1!$AE$98,Sheet1!$AE$99,Sheet1!$AE$100,Sheet1!$AE$101,Sheet1!$G$102</definedName>
    <definedName name="QB_FORMULA_11" localSheetId="1" hidden="1">Sheet1!$I$102,Sheet1!$K$102,Sheet1!$M$102,Sheet1!$O$102,Sheet1!$Q$102,Sheet1!$S$102,Sheet1!$U$102,Sheet1!$W$102,Sheet1!$Y$102,Sheet1!$AA$102,Sheet1!$AC$102,Sheet1!$AE$102,Sheet1!$AE$104,Sheet1!$AE$105,Sheet1!$AE$106,Sheet1!$AE$107</definedName>
    <definedName name="QB_FORMULA_12" localSheetId="1" hidden="1">Sheet1!$AE$108,Sheet1!$AE$109,Sheet1!$AE$110,Sheet1!$AE$111,Sheet1!$AE$112,Sheet1!$AE$113,Sheet1!$AE$114,Sheet1!$AE$115,Sheet1!$AE$116,Sheet1!$AE$117,Sheet1!$AE$118,Sheet1!$AE$119,Sheet1!$AE$120,Sheet1!$AE$121,Sheet1!$AE$122,Sheet1!$AE$123</definedName>
    <definedName name="QB_FORMULA_13" localSheetId="1" hidden="1">Sheet1!$AE$124,Sheet1!$AE$125,Sheet1!$AE$126,Sheet1!$AE$127,Sheet1!$AE$128,Sheet1!$AE$129,Sheet1!$AE$130,Sheet1!$AE$131,Sheet1!$G$132,Sheet1!$I$132,Sheet1!$K$132,Sheet1!$M$132,Sheet1!$O$132,Sheet1!$Q$132,Sheet1!$S$132,Sheet1!$U$132</definedName>
    <definedName name="QB_FORMULA_14" localSheetId="1" hidden="1">Sheet1!$W$132,Sheet1!$Y$132,Sheet1!$AA$132,Sheet1!$AC$132,Sheet1!$AE$132,Sheet1!$G$133,Sheet1!$I$133,Sheet1!$K$133,Sheet1!$M$133,Sheet1!$O$133,Sheet1!$Q$133,Sheet1!$S$133,Sheet1!$U$133,Sheet1!$W$133,Sheet1!$Y$133,Sheet1!$AA$133</definedName>
    <definedName name="QB_FORMULA_15" localSheetId="1" hidden="1">Sheet1!$AC$133,Sheet1!$AE$133,Sheet1!$G$134,Sheet1!$I$134,Sheet1!$K$134,Sheet1!$M$134,Sheet1!$O$134,Sheet1!$Q$134,Sheet1!$S$134,Sheet1!$U$134,Sheet1!$W$134,Sheet1!$Y$134,Sheet1!$AA$134,Sheet1!$AC$134,Sheet1!$AE$134,Sheet1!$AE$138</definedName>
    <definedName name="QB_FORMULA_16" localSheetId="1" hidden="1">Sheet1!$AE$139,Sheet1!$G$140,Sheet1!$I$140,Sheet1!$K$140,Sheet1!$M$140,Sheet1!$O$140,Sheet1!$Q$140,Sheet1!$S$140,Sheet1!$U$140,Sheet1!$W$140,Sheet1!$Y$140,Sheet1!$AA$140,Sheet1!$AC$140,Sheet1!$AE$140,Sheet1!$G$141,Sheet1!$I$141</definedName>
    <definedName name="QB_FORMULA_17" localSheetId="1" hidden="1">Sheet1!$K$141,Sheet1!$M$141,Sheet1!$O$141,Sheet1!$Q$141,Sheet1!$S$141,Sheet1!$U$141,Sheet1!$W$141,Sheet1!$Y$141,Sheet1!$AA$141,Sheet1!$AC$141,Sheet1!$AE$141,Sheet1!$G$142,Sheet1!$I$142,Sheet1!$K$142,Sheet1!$M$142,Sheet1!$O$142</definedName>
    <definedName name="QB_FORMULA_18" localSheetId="1" hidden="1">Sheet1!$Q$142,Sheet1!$S$142,Sheet1!$U$142,Sheet1!$W$142,Sheet1!$Y$142,Sheet1!$AA$142,Sheet1!$AC$142,Sheet1!$AE$142,Sheet1!$G$143,Sheet1!$I$143,Sheet1!$K$143,Sheet1!$M$143,Sheet1!$O$143,Sheet1!$Q$143,Sheet1!$S$143,Sheet1!$U$143</definedName>
    <definedName name="QB_FORMULA_19" localSheetId="1" hidden="1">Sheet1!$W$143,Sheet1!$Y$143,Sheet1!$AA$143,Sheet1!$AC$143,Sheet1!$AE$143</definedName>
    <definedName name="QB_FORMULA_2" localSheetId="1" hidden="1">Sheet1!$Y$27,Sheet1!$AA$27,Sheet1!$AC$27,Sheet1!$AE$27,Sheet1!$G$28,Sheet1!$I$28,Sheet1!$K$28,Sheet1!$M$28,Sheet1!$O$28,Sheet1!$Q$28,Sheet1!$S$28,Sheet1!$U$28,Sheet1!$W$28,Sheet1!$Y$28,Sheet1!$AA$28,Sheet1!$AC$28</definedName>
    <definedName name="QB_FORMULA_3" localSheetId="1" hidden="1">Sheet1!$AE$28,Sheet1!$AE$31,Sheet1!$AE$32,Sheet1!$AE$33,Sheet1!$AE$34,Sheet1!$AE$35,Sheet1!$AE$36,Sheet1!$AE$37,Sheet1!$AE$38,Sheet1!$AE$39,Sheet1!$AE$40,Sheet1!$AE$41,Sheet1!$AE$42,Sheet1!$AE$43,Sheet1!$AE$44,Sheet1!$AE$45</definedName>
    <definedName name="QB_FORMULA_4" localSheetId="1" hidden="1">Sheet1!$AE$46,Sheet1!$AE$47,Sheet1!$AE$48,Sheet1!$AE$49,Sheet1!$AE$50,Sheet1!$AE$51,Sheet1!$AE$52,Sheet1!$G$53,Sheet1!$I$53,Sheet1!$K$53,Sheet1!$M$53,Sheet1!$O$53,Sheet1!$Q$53,Sheet1!$S$53,Sheet1!$U$53,Sheet1!$W$53</definedName>
    <definedName name="QB_FORMULA_5" localSheetId="1" hidden="1">Sheet1!$Y$53,Sheet1!$AA$53,Sheet1!$AC$53,Sheet1!$AE$53,Sheet1!$AE$55,Sheet1!$AE$56,Sheet1!$AE$57,Sheet1!$AE$58,Sheet1!$AE$59,Sheet1!$AE$60,Sheet1!$AE$61,Sheet1!$AE$62,Sheet1!$AE$63,Sheet1!$G$64,Sheet1!$I$64,Sheet1!$K$64</definedName>
    <definedName name="QB_FORMULA_6" localSheetId="1" hidden="1">Sheet1!$M$64,Sheet1!$O$64,Sheet1!$Q$64,Sheet1!$S$64,Sheet1!$U$64,Sheet1!$W$64,Sheet1!$Y$64,Sheet1!$AA$64,Sheet1!$AC$64,Sheet1!$AE$64,Sheet1!$AE$66,Sheet1!$AE$67,Sheet1!$AE$68,Sheet1!$AE$69,Sheet1!$AE$70,Sheet1!$AE$71</definedName>
    <definedName name="QB_FORMULA_7" localSheetId="1" hidden="1">Sheet1!$AE$72,Sheet1!$AE$73,Sheet1!$AE$74,Sheet1!$G$75,Sheet1!$I$75,Sheet1!$K$75,Sheet1!$M$75,Sheet1!$O$75,Sheet1!$Q$75,Sheet1!$S$75,Sheet1!$U$75,Sheet1!$W$75,Sheet1!$Y$75,Sheet1!$AA$75,Sheet1!$AC$75,Sheet1!$AE$75</definedName>
    <definedName name="QB_FORMULA_8" localSheetId="1" hidden="1">Sheet1!$AE$77,Sheet1!$AE$78,Sheet1!$AE$79,Sheet1!$AE$80,Sheet1!$AE$81,Sheet1!$AE$82,Sheet1!$AE$83,Sheet1!$AE$84,Sheet1!$G$85,Sheet1!$I$85,Sheet1!$K$85,Sheet1!$M$85,Sheet1!$O$85,Sheet1!$Q$85,Sheet1!$S$85,Sheet1!$U$85</definedName>
    <definedName name="QB_FORMULA_9" localSheetId="1" hidden="1">Sheet1!$W$85,Sheet1!$Y$85,Sheet1!$AA$85,Sheet1!$AC$85,Sheet1!$AE$85,Sheet1!$AE$87,Sheet1!$AE$88,Sheet1!$AE$89,Sheet1!$AE$90,Sheet1!$AE$91,Sheet1!$AE$92,Sheet1!$AE$93,Sheet1!$G$94,Sheet1!$I$94,Sheet1!$K$94,Sheet1!$M$94</definedName>
    <definedName name="QB_ROW_100240" localSheetId="1" hidden="1">Sheet1!$E$20</definedName>
    <definedName name="QB_ROW_101240" localSheetId="1" hidden="1">Sheet1!$E$21</definedName>
    <definedName name="QB_ROW_102240" localSheetId="1" hidden="1">Sheet1!$E$22</definedName>
    <definedName name="QB_ROW_103240" localSheetId="1" hidden="1">Sheet1!$E$24</definedName>
    <definedName name="QB_ROW_104240" localSheetId="1" hidden="1">Sheet1!$E$25</definedName>
    <definedName name="QB_ROW_105240" localSheetId="1" hidden="1">Sheet1!$E$26</definedName>
    <definedName name="QB_ROW_112040" localSheetId="1" hidden="1">Sheet1!$E$30</definedName>
    <definedName name="QB_ROW_112340" localSheetId="1" hidden="1">Sheet1!$E$53</definedName>
    <definedName name="QB_ROW_113250" localSheetId="1" hidden="1">Sheet1!$F$31</definedName>
    <definedName name="QB_ROW_114250" localSheetId="1" hidden="1">Sheet1!$F$32</definedName>
    <definedName name="QB_ROW_115250" localSheetId="1" hidden="1">Sheet1!$F$33</definedName>
    <definedName name="QB_ROW_119250" localSheetId="1" hidden="1">Sheet1!$F$34</definedName>
    <definedName name="QB_ROW_121250" localSheetId="1" hidden="1">Sheet1!$F$35</definedName>
    <definedName name="QB_ROW_122250" localSheetId="1" hidden="1">Sheet1!$F$36</definedName>
    <definedName name="QB_ROW_125250" localSheetId="1" hidden="1">Sheet1!$F$37</definedName>
    <definedName name="QB_ROW_126250" localSheetId="1" hidden="1">Sheet1!$F$38</definedName>
    <definedName name="QB_ROW_129250" localSheetId="1" hidden="1">Sheet1!$F$39</definedName>
    <definedName name="QB_ROW_130250" localSheetId="1" hidden="1">Sheet1!$F$40</definedName>
    <definedName name="QB_ROW_132250" localSheetId="1" hidden="1">Sheet1!$F$41</definedName>
    <definedName name="QB_ROW_136250" localSheetId="1" hidden="1">Sheet1!$F$42</definedName>
    <definedName name="QB_ROW_139250" localSheetId="1" hidden="1">Sheet1!$F$43</definedName>
    <definedName name="QB_ROW_140250" localSheetId="1" hidden="1">Sheet1!$F$44</definedName>
    <definedName name="QB_ROW_141250" localSheetId="1" hidden="1">Sheet1!$F$45</definedName>
    <definedName name="QB_ROW_143250" localSheetId="1" hidden="1">Sheet1!$F$46</definedName>
    <definedName name="QB_ROW_144250" localSheetId="1" hidden="1">Sheet1!$F$47</definedName>
    <definedName name="QB_ROW_145250" localSheetId="1" hidden="1">Sheet1!$F$48</definedName>
    <definedName name="QB_ROW_146250" localSheetId="1" hidden="1">Sheet1!$F$49</definedName>
    <definedName name="QB_ROW_148250" localSheetId="1" hidden="1">Sheet1!$F$50</definedName>
    <definedName name="QB_ROW_150250" localSheetId="1" hidden="1">Sheet1!$F$51</definedName>
    <definedName name="QB_ROW_154250" localSheetId="1" hidden="1">Sheet1!$F$52</definedName>
    <definedName name="QB_ROW_157040" localSheetId="1" hidden="1">Sheet1!$E$54</definedName>
    <definedName name="QB_ROW_157340" localSheetId="1" hidden="1">Sheet1!$E$64</definedName>
    <definedName name="QB_ROW_158250" localSheetId="1" hidden="1">Sheet1!$F$55</definedName>
    <definedName name="QB_ROW_159250" localSheetId="1" hidden="1">Sheet1!$F$56</definedName>
    <definedName name="QB_ROW_161250" localSheetId="1" hidden="1">Sheet1!$F$57</definedName>
    <definedName name="QB_ROW_163250" localSheetId="1" hidden="1">Sheet1!$F$58</definedName>
    <definedName name="QB_ROW_165250" localSheetId="1" hidden="1">Sheet1!$F$59</definedName>
    <definedName name="QB_ROW_167250" localSheetId="1" hidden="1">Sheet1!$F$60</definedName>
    <definedName name="QB_ROW_168250" localSheetId="1" hidden="1">Sheet1!$F$61</definedName>
    <definedName name="QB_ROW_171040" localSheetId="1" hidden="1">Sheet1!$E$65</definedName>
    <definedName name="QB_ROW_171340" localSheetId="1" hidden="1">Sheet1!$E$75</definedName>
    <definedName name="QB_ROW_172250" localSheetId="1" hidden="1">Sheet1!$F$66</definedName>
    <definedName name="QB_ROW_173250" localSheetId="1" hidden="1">Sheet1!$F$67</definedName>
    <definedName name="QB_ROW_174250" localSheetId="1" hidden="1">Sheet1!$F$68</definedName>
    <definedName name="QB_ROW_175250" localSheetId="1" hidden="1">Sheet1!$F$69</definedName>
    <definedName name="QB_ROW_176250" localSheetId="1" hidden="1">Sheet1!$F$70</definedName>
    <definedName name="QB_ROW_177250" localSheetId="1" hidden="1">Sheet1!$F$71</definedName>
    <definedName name="QB_ROW_178250" localSheetId="1" hidden="1">Sheet1!$F$72</definedName>
    <definedName name="QB_ROW_179250" localSheetId="1" hidden="1">Sheet1!$F$73</definedName>
    <definedName name="QB_ROW_180250" localSheetId="1" hidden="1">Sheet1!$F$74</definedName>
    <definedName name="QB_ROW_182040" localSheetId="1" hidden="1">Sheet1!$E$76</definedName>
    <definedName name="QB_ROW_182340" localSheetId="1" hidden="1">Sheet1!$E$85</definedName>
    <definedName name="QB_ROW_18301" localSheetId="1" hidden="1">Sheet1!$A$143</definedName>
    <definedName name="QB_ROW_183250" localSheetId="1" hidden="1">Sheet1!$F$77</definedName>
    <definedName name="QB_ROW_184250" localSheetId="1" hidden="1">Sheet1!$F$78</definedName>
    <definedName name="QB_ROW_186250" localSheetId="1" hidden="1">Sheet1!$F$79</definedName>
    <definedName name="QB_ROW_187250" localSheetId="1" hidden="1">Sheet1!$F$80</definedName>
    <definedName name="QB_ROW_188250" localSheetId="1" hidden="1">Sheet1!$F$81</definedName>
    <definedName name="QB_ROW_19011" localSheetId="1" hidden="1">Sheet1!$B$2</definedName>
    <definedName name="QB_ROW_190250" localSheetId="1" hidden="1">Sheet1!$F$82</definedName>
    <definedName name="QB_ROW_192250" localSheetId="1" hidden="1">Sheet1!$F$83</definedName>
    <definedName name="QB_ROW_19311" localSheetId="1" hidden="1">Sheet1!$B$134</definedName>
    <definedName name="QB_ROW_194250" localSheetId="1" hidden="1">Sheet1!$F$84</definedName>
    <definedName name="QB_ROW_197040" localSheetId="1" hidden="1">Sheet1!$E$86</definedName>
    <definedName name="QB_ROW_197340" localSheetId="1" hidden="1">Sheet1!$E$94</definedName>
    <definedName name="QB_ROW_198250" localSheetId="1" hidden="1">Sheet1!$F$87</definedName>
    <definedName name="QB_ROW_199250" localSheetId="1" hidden="1">Sheet1!$F$88</definedName>
    <definedName name="QB_ROW_200250" localSheetId="1" hidden="1">Sheet1!$F$89</definedName>
    <definedName name="QB_ROW_20031" localSheetId="1" hidden="1">Sheet1!$D$3</definedName>
    <definedName name="QB_ROW_202250" localSheetId="1" hidden="1">Sheet1!$F$90</definedName>
    <definedName name="QB_ROW_203250" localSheetId="1" hidden="1">Sheet1!$F$91</definedName>
    <definedName name="QB_ROW_20331" localSheetId="1" hidden="1">Sheet1!$D$27</definedName>
    <definedName name="QB_ROW_204250" localSheetId="1" hidden="1">Sheet1!$F$92</definedName>
    <definedName name="QB_ROW_205250" localSheetId="1" hidden="1">Sheet1!$F$93</definedName>
    <definedName name="QB_ROW_206040" localSheetId="1" hidden="1">Sheet1!$E$95</definedName>
    <definedName name="QB_ROW_206250" localSheetId="1" hidden="1">Sheet1!$F$101</definedName>
    <definedName name="QB_ROW_206340" localSheetId="1" hidden="1">Sheet1!$E$102</definedName>
    <definedName name="QB_ROW_207250" localSheetId="1" hidden="1">Sheet1!$F$96</definedName>
    <definedName name="QB_ROW_208250" localSheetId="1" hidden="1">Sheet1!$F$97</definedName>
    <definedName name="QB_ROW_21031" localSheetId="1" hidden="1">Sheet1!$D$29</definedName>
    <definedName name="QB_ROW_211250" localSheetId="1" hidden="1">Sheet1!$F$98</definedName>
    <definedName name="QB_ROW_212250" localSheetId="1" hidden="1">Sheet1!$F$99</definedName>
    <definedName name="QB_ROW_213250" localSheetId="1" hidden="1">Sheet1!$F$100</definedName>
    <definedName name="QB_ROW_21331" localSheetId="1" hidden="1">Sheet1!$D$133</definedName>
    <definedName name="QB_ROW_215040" localSheetId="1" hidden="1">Sheet1!$E$103</definedName>
    <definedName name="QB_ROW_215340" localSheetId="1" hidden="1">Sheet1!$E$132</definedName>
    <definedName name="QB_ROW_216250" localSheetId="1" hidden="1">Sheet1!$F$104</definedName>
    <definedName name="QB_ROW_217250" localSheetId="1" hidden="1">Sheet1!$F$105</definedName>
    <definedName name="QB_ROW_218250" localSheetId="1" hidden="1">Sheet1!$F$106</definedName>
    <definedName name="QB_ROW_219250" localSheetId="1" hidden="1">Sheet1!$F$107</definedName>
    <definedName name="QB_ROW_22011" localSheetId="1" hidden="1">Sheet1!$B$135</definedName>
    <definedName name="QB_ROW_220250" localSheetId="1" hidden="1">Sheet1!$F$108</definedName>
    <definedName name="QB_ROW_222250" localSheetId="1" hidden="1">Sheet1!$F$109</definedName>
    <definedName name="QB_ROW_22311" localSheetId="1" hidden="1">Sheet1!$B$142</definedName>
    <definedName name="QB_ROW_224250" localSheetId="1" hidden="1">Sheet1!$F$110</definedName>
    <definedName name="QB_ROW_226250" localSheetId="1" hidden="1">Sheet1!$F$111</definedName>
    <definedName name="QB_ROW_227250" localSheetId="1" hidden="1">Sheet1!$F$112</definedName>
    <definedName name="QB_ROW_228250" localSheetId="1" hidden="1">Sheet1!$F$113</definedName>
    <definedName name="QB_ROW_229250" localSheetId="1" hidden="1">Sheet1!$F$114</definedName>
    <definedName name="QB_ROW_230250" localSheetId="1" hidden="1">Sheet1!$F$115</definedName>
    <definedName name="QB_ROW_232250" localSheetId="1" hidden="1">Sheet1!$F$116</definedName>
    <definedName name="QB_ROW_233250" localSheetId="1" hidden="1">Sheet1!$F$117</definedName>
    <definedName name="QB_ROW_234250" localSheetId="1" hidden="1">Sheet1!$F$118</definedName>
    <definedName name="QB_ROW_236250" localSheetId="1" hidden="1">Sheet1!$F$119</definedName>
    <definedName name="QB_ROW_237250" localSheetId="1" hidden="1">Sheet1!$F$120</definedName>
    <definedName name="QB_ROW_238250" localSheetId="1" hidden="1">Sheet1!$F$121</definedName>
    <definedName name="QB_ROW_24021" localSheetId="1" hidden="1">Sheet1!$C$136</definedName>
    <definedName name="QB_ROW_240250" localSheetId="1" hidden="1">Sheet1!$F$122</definedName>
    <definedName name="QB_ROW_24321" localSheetId="1" hidden="1">Sheet1!$C$141</definedName>
    <definedName name="QB_ROW_243250" localSheetId="1" hidden="1">Sheet1!$F$123</definedName>
    <definedName name="QB_ROW_246250" localSheetId="1" hidden="1">Sheet1!$F$124</definedName>
    <definedName name="QB_ROW_247250" localSheetId="1" hidden="1">Sheet1!$F$125</definedName>
    <definedName name="QB_ROW_250250" localSheetId="1" hidden="1">Sheet1!$F$126</definedName>
    <definedName name="QB_ROW_256250" localSheetId="1" hidden="1">Sheet1!$F$127</definedName>
    <definedName name="QB_ROW_258250" localSheetId="1" hidden="1">Sheet1!$F$128</definedName>
    <definedName name="QB_ROW_264250" localSheetId="1" hidden="1">Sheet1!$F$129</definedName>
    <definedName name="QB_ROW_265250" localSheetId="1" hidden="1">Sheet1!$F$130</definedName>
    <definedName name="QB_ROW_266250" localSheetId="1" hidden="1">Sheet1!$F$131</definedName>
    <definedName name="QB_ROW_272030" localSheetId="1" hidden="1">Sheet1!$D$137</definedName>
    <definedName name="QB_ROW_272330" localSheetId="1" hidden="1">Sheet1!$D$140</definedName>
    <definedName name="QB_ROW_273240" localSheetId="1" hidden="1">Sheet1!$E$138</definedName>
    <definedName name="QB_ROW_274240" localSheetId="1" hidden="1">Sheet1!$E$139</definedName>
    <definedName name="QB_ROW_275240" localSheetId="1" hidden="1">Sheet1!$E$19</definedName>
    <definedName name="QB_ROW_276240" localSheetId="1" hidden="1">Sheet1!$E$23</definedName>
    <definedName name="QB_ROW_380250" localSheetId="1" hidden="1">Sheet1!$F$62</definedName>
    <definedName name="QB_ROW_382250" localSheetId="1" hidden="1">Sheet1!$F$63</definedName>
    <definedName name="QB_ROW_383240" localSheetId="1" hidden="1">Sheet1!$E$12</definedName>
    <definedName name="QB_ROW_52240" localSheetId="1" hidden="1">Sheet1!$E$4</definedName>
    <definedName name="QB_ROW_53240" localSheetId="1" hidden="1">Sheet1!$E$5</definedName>
    <definedName name="QB_ROW_57240" localSheetId="1" hidden="1">Sheet1!$E$6</definedName>
    <definedName name="QB_ROW_59240" localSheetId="1" hidden="1">Sheet1!$E$7</definedName>
    <definedName name="QB_ROW_60240" localSheetId="1" hidden="1">Sheet1!$E$8</definedName>
    <definedName name="QB_ROW_63240" localSheetId="1" hidden="1">Sheet1!$E$9</definedName>
    <definedName name="QB_ROW_68240" localSheetId="1" hidden="1">Sheet1!$E$10</definedName>
    <definedName name="QB_ROW_83240" localSheetId="1" hidden="1">Sheet1!$E$11</definedName>
    <definedName name="QB_ROW_86240" localSheetId="1" hidden="1">Sheet1!$E$13</definedName>
    <definedName name="QB_ROW_86321" localSheetId="1" hidden="1">Sheet1!$C$28</definedName>
    <definedName name="QB_ROW_89240" localSheetId="1" hidden="1">Sheet1!$E$14</definedName>
    <definedName name="QB_ROW_90240" localSheetId="1" hidden="1">Sheet1!$E$15</definedName>
    <definedName name="QB_ROW_91240" localSheetId="1" hidden="1">Sheet1!$E$16</definedName>
    <definedName name="QB_ROW_92240" localSheetId="1" hidden="1">Sheet1!$E$17</definedName>
    <definedName name="QB_ROW_99240" localSheetId="1" hidden="1">Sheet1!$E$18</definedName>
    <definedName name="QBCANSUPPORTUPDATE" localSheetId="1">TRUE</definedName>
    <definedName name="QBCOMPANYFILENAME" localSheetId="1">"S:\Quickbooks\Sandwich Living and Rehab Center LLC.qbw"</definedName>
    <definedName name="QBENDDATE" localSheetId="1">20260831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"d3726a9f636f43b6963ba6ed872b5453"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20250901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43" i="1" l="1"/>
  <c r="AC143" i="1"/>
  <c r="AA143" i="1"/>
  <c r="Y143" i="1"/>
  <c r="W143" i="1"/>
  <c r="U143" i="1"/>
  <c r="S143" i="1"/>
  <c r="Q143" i="1"/>
  <c r="O143" i="1"/>
  <c r="M143" i="1"/>
  <c r="K143" i="1"/>
  <c r="I143" i="1"/>
  <c r="G143" i="1"/>
  <c r="AE142" i="1"/>
  <c r="AC142" i="1"/>
  <c r="AA142" i="1"/>
  <c r="Y142" i="1"/>
  <c r="W142" i="1"/>
  <c r="U142" i="1"/>
  <c r="S142" i="1"/>
  <c r="Q142" i="1"/>
  <c r="O142" i="1"/>
  <c r="M142" i="1"/>
  <c r="K142" i="1"/>
  <c r="I142" i="1"/>
  <c r="G142" i="1"/>
  <c r="AE141" i="1"/>
  <c r="AC141" i="1"/>
  <c r="AA141" i="1"/>
  <c r="Y141" i="1"/>
  <c r="W141" i="1"/>
  <c r="U141" i="1"/>
  <c r="S141" i="1"/>
  <c r="Q141" i="1"/>
  <c r="O141" i="1"/>
  <c r="M141" i="1"/>
  <c r="K141" i="1"/>
  <c r="I141" i="1"/>
  <c r="G141" i="1"/>
  <c r="AE140" i="1"/>
  <c r="AC140" i="1"/>
  <c r="AA140" i="1"/>
  <c r="Y140" i="1"/>
  <c r="W140" i="1"/>
  <c r="U140" i="1"/>
  <c r="S140" i="1"/>
  <c r="Q140" i="1"/>
  <c r="O140" i="1"/>
  <c r="M140" i="1"/>
  <c r="K140" i="1"/>
  <c r="I140" i="1"/>
  <c r="G140" i="1"/>
  <c r="AE139" i="1"/>
  <c r="AE138" i="1"/>
  <c r="AE134" i="1"/>
  <c r="AC134" i="1"/>
  <c r="AA134" i="1"/>
  <c r="Y134" i="1"/>
  <c r="W134" i="1"/>
  <c r="U134" i="1"/>
  <c r="S134" i="1"/>
  <c r="Q134" i="1"/>
  <c r="O134" i="1"/>
  <c r="M134" i="1"/>
  <c r="K134" i="1"/>
  <c r="I134" i="1"/>
  <c r="G134" i="1"/>
  <c r="AE133" i="1"/>
  <c r="AC133" i="1"/>
  <c r="AA133" i="1"/>
  <c r="Y133" i="1"/>
  <c r="W133" i="1"/>
  <c r="U133" i="1"/>
  <c r="S133" i="1"/>
  <c r="Q133" i="1"/>
  <c r="O133" i="1"/>
  <c r="M133" i="1"/>
  <c r="K133" i="1"/>
  <c r="I133" i="1"/>
  <c r="G133" i="1"/>
  <c r="AE132" i="1"/>
  <c r="AC132" i="1"/>
  <c r="AA132" i="1"/>
  <c r="Y132" i="1"/>
  <c r="W132" i="1"/>
  <c r="U132" i="1"/>
  <c r="S132" i="1"/>
  <c r="Q132" i="1"/>
  <c r="O132" i="1"/>
  <c r="M132" i="1"/>
  <c r="K132" i="1"/>
  <c r="I132" i="1"/>
  <c r="G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2" i="1"/>
  <c r="AC102" i="1"/>
  <c r="AA102" i="1"/>
  <c r="Y102" i="1"/>
  <c r="W102" i="1"/>
  <c r="U102" i="1"/>
  <c r="S102" i="1"/>
  <c r="Q102" i="1"/>
  <c r="O102" i="1"/>
  <c r="M102" i="1"/>
  <c r="K102" i="1"/>
  <c r="I102" i="1"/>
  <c r="G102" i="1"/>
  <c r="AE101" i="1"/>
  <c r="AE100" i="1"/>
  <c r="AE99" i="1"/>
  <c r="AE98" i="1"/>
  <c r="AE97" i="1"/>
  <c r="AE96" i="1"/>
  <c r="AE94" i="1"/>
  <c r="AC94" i="1"/>
  <c r="AA94" i="1"/>
  <c r="Y94" i="1"/>
  <c r="W94" i="1"/>
  <c r="U94" i="1"/>
  <c r="S94" i="1"/>
  <c r="Q94" i="1"/>
  <c r="O94" i="1"/>
  <c r="M94" i="1"/>
  <c r="K94" i="1"/>
  <c r="I94" i="1"/>
  <c r="G94" i="1"/>
  <c r="AE93" i="1"/>
  <c r="AE92" i="1"/>
  <c r="AE91" i="1"/>
  <c r="AE90" i="1"/>
  <c r="AE89" i="1"/>
  <c r="AE88" i="1"/>
  <c r="AE87" i="1"/>
  <c r="AE85" i="1"/>
  <c r="AC85" i="1"/>
  <c r="AA85" i="1"/>
  <c r="Y85" i="1"/>
  <c r="W85" i="1"/>
  <c r="U85" i="1"/>
  <c r="S85" i="1"/>
  <c r="Q85" i="1"/>
  <c r="O85" i="1"/>
  <c r="M85" i="1"/>
  <c r="K85" i="1"/>
  <c r="I85" i="1"/>
  <c r="G85" i="1"/>
  <c r="AE84" i="1"/>
  <c r="AE83" i="1"/>
  <c r="AE82" i="1"/>
  <c r="AE81" i="1"/>
  <c r="AE80" i="1"/>
  <c r="AE79" i="1"/>
  <c r="AE78" i="1"/>
  <c r="AE77" i="1"/>
  <c r="AE75" i="1"/>
  <c r="AC75" i="1"/>
  <c r="AA75" i="1"/>
  <c r="Y75" i="1"/>
  <c r="W75" i="1"/>
  <c r="U75" i="1"/>
  <c r="S75" i="1"/>
  <c r="Q75" i="1"/>
  <c r="O75" i="1"/>
  <c r="M75" i="1"/>
  <c r="K75" i="1"/>
  <c r="I75" i="1"/>
  <c r="G75" i="1"/>
  <c r="AE74" i="1"/>
  <c r="AE73" i="1"/>
  <c r="AE72" i="1"/>
  <c r="AE71" i="1"/>
  <c r="AE70" i="1"/>
  <c r="AE69" i="1"/>
  <c r="AE68" i="1"/>
  <c r="AE67" i="1"/>
  <c r="AE66" i="1"/>
  <c r="AE64" i="1"/>
  <c r="AC64" i="1"/>
  <c r="AA64" i="1"/>
  <c r="Y64" i="1"/>
  <c r="W64" i="1"/>
  <c r="U64" i="1"/>
  <c r="S64" i="1"/>
  <c r="Q64" i="1"/>
  <c r="O64" i="1"/>
  <c r="M64" i="1"/>
  <c r="K64" i="1"/>
  <c r="I64" i="1"/>
  <c r="G64" i="1"/>
  <c r="AE63" i="1"/>
  <c r="AE62" i="1"/>
  <c r="AE61" i="1"/>
  <c r="AE60" i="1"/>
  <c r="AE59" i="1"/>
  <c r="AE58" i="1"/>
  <c r="AE57" i="1"/>
  <c r="AE56" i="1"/>
  <c r="AE55" i="1"/>
  <c r="AE53" i="1"/>
  <c r="AC53" i="1"/>
  <c r="AA53" i="1"/>
  <c r="Y53" i="1"/>
  <c r="W53" i="1"/>
  <c r="U53" i="1"/>
  <c r="S53" i="1"/>
  <c r="Q53" i="1"/>
  <c r="O53" i="1"/>
  <c r="M53" i="1"/>
  <c r="K53" i="1"/>
  <c r="I53" i="1"/>
  <c r="G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28" i="1"/>
  <c r="AC28" i="1"/>
  <c r="AA28" i="1"/>
  <c r="Y28" i="1"/>
  <c r="W28" i="1"/>
  <c r="U28" i="1"/>
  <c r="S28" i="1"/>
  <c r="Q28" i="1"/>
  <c r="O28" i="1"/>
  <c r="M28" i="1"/>
  <c r="K28" i="1"/>
  <c r="I28" i="1"/>
  <c r="G28" i="1"/>
  <c r="AE27" i="1"/>
  <c r="AC27" i="1"/>
  <c r="AA27" i="1"/>
  <c r="Y27" i="1"/>
  <c r="W27" i="1"/>
  <c r="U27" i="1"/>
  <c r="S27" i="1"/>
  <c r="Q27" i="1"/>
  <c r="O27" i="1"/>
  <c r="M27" i="1"/>
  <c r="K27" i="1"/>
  <c r="I27" i="1"/>
  <c r="G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<sst xmlns="http://schemas.openxmlformats.org/spreadsheetml/2006/main" count="155" uniqueCount="155">
  <si>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</si>
  <si>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</si>
  <si>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</si>
  <si>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</si>
  <si>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</si>
  <si>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</si>
  <si>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</si>
  <si>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</si>
  <si>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</si>
  <si>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</si>
  <si>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313100-MC - A ANC WRITE OFF</t>
  </si>
  <si>
    <t>313500-CONTRACTUAL ADJUSTMENT</t>
  </si>
  <si>
    <t>314000-MISC. INCOME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</si>
  <si>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</si>
  <si>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</si>
  <si>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</si>
  <si>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</si>
  <si>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</si>
  <si>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</si>
  <si>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</si>
  <si>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318120- MEDICARE B MMAI OT</t>
  </si>
  <si>
    <t>318130- MEDICARE B MMAI ST</t>
  </si>
  <si>
    <t>318150- MEDICARE B HMO PT</t>
  </si>
  <si>
    <t>318160- MEDICARE B HMO OT</t>
  </si>
  <si>
    <t>318170- MEDICARE B HMO ST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</si>
  <si>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</si>
  <si>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</si>
  <si>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</si>
  <si>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</si>
  <si>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</si>
  <si>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</si>
  <si>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</si>
  <si>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</si>
  <si>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</si>
  <si>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</si>
  <si>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</si>
  <si>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</si>
  <si>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</si>
  <si>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404050-OXYGEN</t>
  </si>
  <si>
    <t>404100-IV SUPPLIES</t>
  </si>
  <si>
    <t>406000-PHARMACY CONSULTANT</t>
  </si>
  <si>
    <t>407200-LAB &amp; X-RAY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</si>
  <si>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</si>
  <si>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</si>
  <si>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</si>
  <si>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</si>
  <si>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</si>
  <si>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</si>
  <si>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</si>
  <si>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</si>
  <si>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</si>
  <si>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</si>
  <si>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</si>
  <si>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</si>
  <si>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</si>
  <si>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</si>
  <si>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</si>
  <si>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</si>
  <si>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</si>
  <si>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505000-EMPLOYEE BONUS</t>
  </si>
  <si>
    <t>506000-WORKMANS COMP. INS.</t>
  </si>
  <si>
    <t>600148 PTO 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</si>
  <si>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</si>
  <si>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</si>
  <si>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</si>
  <si>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</si>
  <si>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</si>
  <si>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</si>
  <si>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</si>
  <si>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</si>
  <si>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</si>
  <si>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</si>
  <si>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</si>
  <si>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</si>
  <si>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</si>
  <si>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</si>
  <si>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</si>
  <si>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</si>
  <si>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</si>
  <si>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</si>
  <si>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</si>
  <si>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</si>
  <si>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</si>
  <si>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</si>
  <si>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</si>
  <si>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</si>
  <si>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</si>
  <si>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</si>
  <si>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</si>
  <si>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</si>
  <si>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</si>
  <si>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</si>
  <si>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646100-SOCIAL SERVICE CONSULT</t>
  </si>
  <si>
    <t>Total 64-Activity Costs</t>
  </si>
  <si>
    <t>66- Laundry and Linen Costs</t>
  </si>
  <si>
    <t>661009-LAUNDRY SALARIES</t>
  </si>
  <si>
    <t>661020-LAUNDRY EXPENSE</t>
  </si>
  <si>
    <t>662000-LINEN REPLACEMENT</t>
  </si>
  <si>
    <t>662010-MATTRESS REPLACEMENT</t>
  </si>
  <si>
    <t>662020-DIAPER EXPENSE</t>
  </si>
  <si>
    <t>66- Laundry and Linen Costs - Other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</si>
  <si>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</si>
  <si>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</si>
  <si>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</si>
  <si>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</si>
  <si>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</si>
  <si>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</si>
  <si>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</si>
  <si>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</si>
  <si>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</si>
  <si>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</si>
  <si>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</si>
  <si>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</si>
  <si>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</si>
  <si>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</si>
  <si>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803500-BACKGROUND CHECK</t>
  </si>
  <si>
    <t>804000-OFFICE EXPENSE/SUPPLIES</t>
  </si>
  <si>
    <t>804010-OFFICE MISC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</si>
  <si>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</si>
  <si>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</si>
  <si>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</si>
  <si>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</si>
  <si>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</si>
  <si>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</si>
  <si>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</si>
  <si>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810150-MCA Sequester Reduction</t>
  </si>
  <si>
    <t>812000-INTEREST</t>
  </si>
  <si>
    <t>814000-INSURANCE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</si>
  <si>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</si>
  <si>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</si>
  <si>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</si>
  <si>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</si>
  <si>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</si>
  <si>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</si>
  <si>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</si>
  <si>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</si>
  <si>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</si>
  <si>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</si>
  <si>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</si>
  <si>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</si>
  <si>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Total Other Expense</t>
  </si>
  <si>
    <t>Net Other Income</t>
  </si>
  <si>
    <t>Net Income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</si>
  <si>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</si>
  <si>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</si>
  <si>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</si>
  <si>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</si>
  <si>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</si>
  <si>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</si>
  <si>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</si>
  <si>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</si>
  <si>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</si>
  <si>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</si>
  <si>
    <t>Jul 31, 26</t>
  </si>
  <si>
    <t>Aug 31,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</si>
</sst>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A9AA4039-5D10-417A-846D-A82600A871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443D6B9-0B1F-411B-9D47-7D1BC764C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350A-7EC7-4A13-BCB6-D3A6E6456DDD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CD62-259D-4D6A-8978-07217CD81913}">
  <dimension ref="A1:AE144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X8" sqref="X8"/>
    </sheetView>
  </sheetViews>
  <sheetFormatPr defaultRowHeight="15" x14ac:dyDescent="0.25"/>
  <cols>
    <col min="1" max="5" width="3" style="14" customWidth="1"/>
    <col min="6" max="6" width="31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143</v>
      </c>
      <c r="H1" s="12"/>
      <c r="I1" s="11" t="s">
        <v>144</v>
      </c>
      <c r="J1" s="12"/>
      <c r="K1" s="11" t="s">
        <v>145</v>
      </c>
      <c r="L1" s="12"/>
      <c r="M1" s="11" t="s">
        <v>146</v>
      </c>
      <c r="N1" s="12"/>
      <c r="O1" s="11" t="s">
        <v>147</v>
      </c>
      <c r="P1" s="12"/>
      <c r="Q1" s="11" t="s">
        <v>148</v>
      </c>
      <c r="R1" s="12"/>
      <c r="S1" s="11" t="s">
        <v>149</v>
      </c>
      <c r="T1" s="12"/>
      <c r="U1" s="11" t="s">
        <v>150</v>
      </c>
      <c r="V1" s="12"/>
      <c r="W1" s="11" t="s">
        <v>151</v>
      </c>
      <c r="X1" s="12"/>
      <c r="Y1" s="11" t="s">
        <v>152</v>
      </c>
      <c r="Z1" s="12"/>
      <c r="AA1" s="11" t="s">
        <v>153</v>
      </c>
      <c r="AB1" s="12"/>
      <c r="AC1" s="11" t="s">
        <v>154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0</v>
      </c>
      <c r="H4" s="3"/>
      <c r="I4" s="2">
        <v>0</v>
      </c>
      <c r="J4" s="3"/>
      <c r="K4" s="2">
        <v>382.24</v>
      </c>
      <c r="L4" s="3"/>
      <c r="M4" s="2">
        <v>0.05</v>
      </c>
      <c r="N4" s="3"/>
      <c r="O4" s="2">
        <v>14.82</v>
      </c>
      <c r="P4" s="3"/>
      <c r="Q4" s="2">
        <v>5.88</v>
      </c>
      <c r="R4" s="3"/>
      <c r="S4" s="2">
        <v>175.02</v>
      </c>
      <c r="T4" s="3"/>
      <c r="U4" s="2">
        <v>0</v>
      </c>
      <c r="V4" s="3"/>
      <c r="W4" s="2">
        <v>1.53</v>
      </c>
      <c r="X4" s="3"/>
      <c r="Y4" s="2">
        <v>9.64</v>
      </c>
      <c r="Z4" s="3"/>
      <c r="AA4" s="2">
        <v>5.71</v>
      </c>
      <c r="AB4" s="3"/>
      <c r="AC4" s="2">
        <v>57.36</v>
      </c>
      <c r="AD4" s="3"/>
      <c r="AE4" s="2">
        <f t="shared" ref="AE4:AE28" si="0">ROUND(SUM(G4:AC4),5)</f>
        <v>652.25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47980</v>
      </c>
      <c r="H5" s="3"/>
      <c r="I5" s="2">
        <v>60688.23</v>
      </c>
      <c r="J5" s="3"/>
      <c r="K5" s="2">
        <v>50995</v>
      </c>
      <c r="L5" s="3"/>
      <c r="M5" s="2">
        <v>47040</v>
      </c>
      <c r="N5" s="3"/>
      <c r="O5" s="2">
        <v>55425</v>
      </c>
      <c r="P5" s="3"/>
      <c r="Q5" s="2">
        <v>69593.929999999993</v>
      </c>
      <c r="R5" s="3"/>
      <c r="S5" s="2">
        <v>77650</v>
      </c>
      <c r="T5" s="3"/>
      <c r="U5" s="2">
        <v>76090</v>
      </c>
      <c r="V5" s="3"/>
      <c r="W5" s="2">
        <v>142902.96</v>
      </c>
      <c r="X5" s="3"/>
      <c r="Y5" s="2">
        <v>65811.289999999994</v>
      </c>
      <c r="Z5" s="3"/>
      <c r="AA5" s="2">
        <v>81021.61</v>
      </c>
      <c r="AB5" s="3"/>
      <c r="AC5" s="2">
        <v>81396.61</v>
      </c>
      <c r="AD5" s="3"/>
      <c r="AE5" s="2">
        <f t="shared" si="0"/>
        <v>856594.63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27985.1</v>
      </c>
      <c r="H6" s="3"/>
      <c r="I6" s="2">
        <v>19246.45</v>
      </c>
      <c r="J6" s="3"/>
      <c r="K6" s="2">
        <v>22410.25</v>
      </c>
      <c r="L6" s="3"/>
      <c r="M6" s="2">
        <v>39811.15</v>
      </c>
      <c r="N6" s="3"/>
      <c r="O6" s="2">
        <v>40391.120000000003</v>
      </c>
      <c r="P6" s="3"/>
      <c r="Q6" s="2">
        <v>60104.59</v>
      </c>
      <c r="R6" s="3"/>
      <c r="S6" s="2">
        <v>32522.720000000001</v>
      </c>
      <c r="T6" s="3"/>
      <c r="U6" s="2">
        <v>54879.76</v>
      </c>
      <c r="V6" s="3"/>
      <c r="W6" s="2">
        <v>-40637.9</v>
      </c>
      <c r="X6" s="3"/>
      <c r="Y6" s="2">
        <v>42067.35</v>
      </c>
      <c r="Z6" s="3"/>
      <c r="AA6" s="2">
        <v>40382.82</v>
      </c>
      <c r="AB6" s="3"/>
      <c r="AC6" s="2">
        <v>44869.8</v>
      </c>
      <c r="AD6" s="3"/>
      <c r="AE6" s="2">
        <f t="shared" si="0"/>
        <v>384033.21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91587.6</v>
      </c>
      <c r="H7" s="3"/>
      <c r="I7" s="2">
        <v>98077.8</v>
      </c>
      <c r="J7" s="3"/>
      <c r="K7" s="2">
        <v>86740.85</v>
      </c>
      <c r="L7" s="3"/>
      <c r="M7" s="2">
        <v>89904.65</v>
      </c>
      <c r="N7" s="3"/>
      <c r="O7" s="2">
        <v>88912.92</v>
      </c>
      <c r="P7" s="3"/>
      <c r="Q7" s="2">
        <v>85503.28</v>
      </c>
      <c r="R7" s="3"/>
      <c r="S7" s="2">
        <v>105174.28</v>
      </c>
      <c r="T7" s="3"/>
      <c r="U7" s="2">
        <v>90183.6</v>
      </c>
      <c r="V7" s="3"/>
      <c r="W7" s="2">
        <v>84409.65</v>
      </c>
      <c r="X7" s="3"/>
      <c r="Y7" s="2">
        <v>-10882.34</v>
      </c>
      <c r="Z7" s="3"/>
      <c r="AA7" s="2">
        <v>65457.120000000003</v>
      </c>
      <c r="AB7" s="3"/>
      <c r="AC7" s="2">
        <v>78126.240000000005</v>
      </c>
      <c r="AD7" s="3"/>
      <c r="AE7" s="2">
        <f t="shared" si="0"/>
        <v>953195.65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39942.370000000003</v>
      </c>
      <c r="H8" s="3"/>
      <c r="I8" s="2">
        <v>42184</v>
      </c>
      <c r="J8" s="3"/>
      <c r="K8" s="2">
        <v>57025.25</v>
      </c>
      <c r="L8" s="3"/>
      <c r="M8" s="2">
        <v>53872.800000000003</v>
      </c>
      <c r="N8" s="3"/>
      <c r="O8" s="2">
        <v>49178.400000000001</v>
      </c>
      <c r="P8" s="3"/>
      <c r="Q8" s="2">
        <v>15251.53</v>
      </c>
      <c r="R8" s="3"/>
      <c r="S8" s="2">
        <v>35611.24</v>
      </c>
      <c r="T8" s="3"/>
      <c r="U8" s="2">
        <v>46076.44</v>
      </c>
      <c r="V8" s="3"/>
      <c r="W8" s="2">
        <v>89929.1</v>
      </c>
      <c r="X8" s="3"/>
      <c r="Y8" s="2">
        <v>151196.25</v>
      </c>
      <c r="Z8" s="3"/>
      <c r="AA8" s="2">
        <v>64559.98</v>
      </c>
      <c r="AB8" s="3"/>
      <c r="AC8" s="2">
        <v>60336.94</v>
      </c>
      <c r="AD8" s="3"/>
      <c r="AE8" s="2">
        <f t="shared" si="0"/>
        <v>705164.3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8296.3700000000008</v>
      </c>
      <c r="H9" s="3"/>
      <c r="I9" s="2">
        <v>7133.82</v>
      </c>
      <c r="J9" s="3"/>
      <c r="K9" s="2">
        <v>7133.82</v>
      </c>
      <c r="L9" s="3"/>
      <c r="M9" s="2">
        <v>7133.82</v>
      </c>
      <c r="N9" s="3"/>
      <c r="O9" s="2">
        <v>8024.15</v>
      </c>
      <c r="P9" s="3"/>
      <c r="Q9" s="2">
        <v>8024.15</v>
      </c>
      <c r="R9" s="3"/>
      <c r="S9" s="2">
        <v>8024.15</v>
      </c>
      <c r="T9" s="3"/>
      <c r="U9" s="2">
        <v>6259.58</v>
      </c>
      <c r="V9" s="3"/>
      <c r="W9" s="2">
        <v>6259.58</v>
      </c>
      <c r="X9" s="3"/>
      <c r="Y9" s="2">
        <v>6259.58</v>
      </c>
      <c r="Z9" s="3"/>
      <c r="AA9" s="2">
        <v>6654.33</v>
      </c>
      <c r="AB9" s="3"/>
      <c r="AC9" s="2">
        <v>6654.33</v>
      </c>
      <c r="AD9" s="3"/>
      <c r="AE9" s="2">
        <f t="shared" si="0"/>
        <v>85857.68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48866.21</v>
      </c>
      <c r="H10" s="3"/>
      <c r="I10" s="2">
        <v>44136.83</v>
      </c>
      <c r="J10" s="3"/>
      <c r="K10" s="2">
        <v>12187.93</v>
      </c>
      <c r="L10" s="3"/>
      <c r="M10" s="2">
        <v>4970.9799999999996</v>
      </c>
      <c r="N10" s="3"/>
      <c r="O10" s="2">
        <v>15969.54</v>
      </c>
      <c r="P10" s="3"/>
      <c r="Q10" s="2">
        <v>18376.29</v>
      </c>
      <c r="R10" s="3"/>
      <c r="S10" s="2">
        <v>24097.31</v>
      </c>
      <c r="T10" s="3"/>
      <c r="U10" s="2">
        <v>-5968.44</v>
      </c>
      <c r="V10" s="3"/>
      <c r="W10" s="2">
        <v>19064.38</v>
      </c>
      <c r="X10" s="3"/>
      <c r="Y10" s="2">
        <v>-10504.66</v>
      </c>
      <c r="Z10" s="3"/>
      <c r="AA10" s="2">
        <v>11917.54</v>
      </c>
      <c r="AB10" s="3"/>
      <c r="AC10" s="2">
        <v>24157.33</v>
      </c>
      <c r="AD10" s="3"/>
      <c r="AE10" s="2">
        <f t="shared" si="0"/>
        <v>207271.24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f t="shared" si="0"/>
        <v>0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-286.27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-707.41</v>
      </c>
      <c r="V12" s="3"/>
      <c r="W12" s="2">
        <v>0</v>
      </c>
      <c r="X12" s="3"/>
      <c r="Y12" s="2">
        <v>-31.49</v>
      </c>
      <c r="Z12" s="3"/>
      <c r="AA12" s="2">
        <v>-197.92</v>
      </c>
      <c r="AB12" s="3"/>
      <c r="AC12" s="2">
        <v>-31.48</v>
      </c>
      <c r="AD12" s="3"/>
      <c r="AE12" s="2">
        <f t="shared" si="0"/>
        <v>-1254.57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32.49</v>
      </c>
      <c r="H13" s="3"/>
      <c r="I13" s="2">
        <v>0</v>
      </c>
      <c r="J13" s="3"/>
      <c r="K13" s="2">
        <v>0</v>
      </c>
      <c r="L13" s="3"/>
      <c r="M13" s="2">
        <v>0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0</v>
      </c>
      <c r="Z13" s="3"/>
      <c r="AA13" s="2">
        <v>0</v>
      </c>
      <c r="AB13" s="3"/>
      <c r="AC13" s="2">
        <v>0</v>
      </c>
      <c r="AD13" s="3"/>
      <c r="AE13" s="2">
        <f t="shared" si="0"/>
        <v>32.49</v>
      </c>
    </row>
    <row r="14" spans="1:31" x14ac:dyDescent="0.25">
      <c r="A14" s="1"/>
      <c r="B14" s="1"/>
      <c r="C14" s="1"/>
      <c r="D14" s="1"/>
      <c r="E14" s="1" t="s">
        <v>13</v>
      </c>
      <c r="F14" s="1"/>
      <c r="G14" s="2">
        <v>0</v>
      </c>
      <c r="H14" s="3"/>
      <c r="I14" s="2">
        <v>0</v>
      </c>
      <c r="J14" s="3"/>
      <c r="K14" s="2">
        <v>1279.5899999999999</v>
      </c>
      <c r="L14" s="3"/>
      <c r="M14" s="2">
        <v>72.599999999999994</v>
      </c>
      <c r="N14" s="3"/>
      <c r="O14" s="2">
        <v>0</v>
      </c>
      <c r="P14" s="3"/>
      <c r="Q14" s="2">
        <v>451.47</v>
      </c>
      <c r="R14" s="3"/>
      <c r="S14" s="2">
        <v>388.62</v>
      </c>
      <c r="T14" s="3"/>
      <c r="U14" s="2">
        <v>647.70000000000005</v>
      </c>
      <c r="V14" s="3"/>
      <c r="W14" s="2">
        <v>2.31</v>
      </c>
      <c r="X14" s="3"/>
      <c r="Y14" s="2">
        <v>0</v>
      </c>
      <c r="Z14" s="3"/>
      <c r="AA14" s="2">
        <v>567.21</v>
      </c>
      <c r="AB14" s="3"/>
      <c r="AC14" s="2">
        <v>80.959999999999994</v>
      </c>
      <c r="AD14" s="3"/>
      <c r="AE14" s="2">
        <f t="shared" si="0"/>
        <v>3490.46</v>
      </c>
    </row>
    <row r="15" spans="1:31" x14ac:dyDescent="0.25">
      <c r="A15" s="1"/>
      <c r="B15" s="1"/>
      <c r="C15" s="1"/>
      <c r="D15" s="1"/>
      <c r="E15" s="1" t="s">
        <v>14</v>
      </c>
      <c r="F15" s="1"/>
      <c r="G15" s="2">
        <v>1947.25</v>
      </c>
      <c r="H15" s="3"/>
      <c r="I15" s="2">
        <v>3563.15</v>
      </c>
      <c r="J15" s="3"/>
      <c r="K15" s="2">
        <v>3011</v>
      </c>
      <c r="L15" s="3"/>
      <c r="M15" s="2">
        <v>5248.59</v>
      </c>
      <c r="N15" s="3"/>
      <c r="O15" s="2">
        <v>6130.25</v>
      </c>
      <c r="P15" s="3"/>
      <c r="Q15" s="2">
        <v>3016.72</v>
      </c>
      <c r="R15" s="3"/>
      <c r="S15" s="2">
        <v>1664.73</v>
      </c>
      <c r="T15" s="3"/>
      <c r="U15" s="2">
        <v>6415.28</v>
      </c>
      <c r="V15" s="3"/>
      <c r="W15" s="2">
        <v>4792.7</v>
      </c>
      <c r="X15" s="3"/>
      <c r="Y15" s="2">
        <v>0</v>
      </c>
      <c r="Z15" s="3"/>
      <c r="AA15" s="2">
        <v>131.66</v>
      </c>
      <c r="AB15" s="3"/>
      <c r="AC15" s="2">
        <v>983.09</v>
      </c>
      <c r="AD15" s="3"/>
      <c r="AE15" s="2">
        <f t="shared" si="0"/>
        <v>36904.42</v>
      </c>
    </row>
    <row r="16" spans="1:31" x14ac:dyDescent="0.25">
      <c r="A16" s="1"/>
      <c r="B16" s="1"/>
      <c r="C16" s="1"/>
      <c r="D16" s="1"/>
      <c r="E16" s="1" t="s">
        <v>15</v>
      </c>
      <c r="F16" s="1"/>
      <c r="G16" s="2">
        <v>96.45</v>
      </c>
      <c r="H16" s="3"/>
      <c r="I16" s="2">
        <v>945.75</v>
      </c>
      <c r="J16" s="3"/>
      <c r="K16" s="2">
        <v>2038.6</v>
      </c>
      <c r="L16" s="3"/>
      <c r="M16" s="2">
        <v>2877.86</v>
      </c>
      <c r="N16" s="3"/>
      <c r="O16" s="2">
        <v>4591.67</v>
      </c>
      <c r="P16" s="3"/>
      <c r="Q16" s="2">
        <v>3948.17</v>
      </c>
      <c r="R16" s="3"/>
      <c r="S16" s="2">
        <v>3539.05</v>
      </c>
      <c r="T16" s="3"/>
      <c r="U16" s="2">
        <v>4252.2700000000004</v>
      </c>
      <c r="V16" s="3"/>
      <c r="W16" s="2">
        <v>4828.87</v>
      </c>
      <c r="X16" s="3"/>
      <c r="Y16" s="2">
        <v>2248.16</v>
      </c>
      <c r="Z16" s="3"/>
      <c r="AA16" s="2">
        <v>397.08</v>
      </c>
      <c r="AB16" s="3"/>
      <c r="AC16" s="2">
        <v>1022.75</v>
      </c>
      <c r="AD16" s="3"/>
      <c r="AE16" s="2">
        <f t="shared" si="0"/>
        <v>30786.68</v>
      </c>
    </row>
    <row r="17" spans="1:31" x14ac:dyDescent="0.25">
      <c r="A17" s="1"/>
      <c r="B17" s="1"/>
      <c r="C17" s="1"/>
      <c r="D17" s="1"/>
      <c r="E17" s="1" t="s">
        <v>16</v>
      </c>
      <c r="F17" s="1"/>
      <c r="G17" s="2">
        <v>-450.96</v>
      </c>
      <c r="H17" s="3"/>
      <c r="I17" s="2">
        <v>-285.61</v>
      </c>
      <c r="J17" s="3"/>
      <c r="K17" s="2">
        <v>0</v>
      </c>
      <c r="L17" s="3"/>
      <c r="M17" s="2">
        <v>0</v>
      </c>
      <c r="N17" s="3"/>
      <c r="O17" s="2">
        <v>0</v>
      </c>
      <c r="P17" s="3"/>
      <c r="Q17" s="2">
        <v>0</v>
      </c>
      <c r="R17" s="3"/>
      <c r="S17" s="2">
        <v>0</v>
      </c>
      <c r="T17" s="3"/>
      <c r="U17" s="2">
        <v>0</v>
      </c>
      <c r="V17" s="3"/>
      <c r="W17" s="2">
        <v>0</v>
      </c>
      <c r="X17" s="3"/>
      <c r="Y17" s="2">
        <v>0</v>
      </c>
      <c r="Z17" s="3"/>
      <c r="AA17" s="2">
        <v>0</v>
      </c>
      <c r="AB17" s="3"/>
      <c r="AC17" s="2">
        <v>0</v>
      </c>
      <c r="AD17" s="3"/>
      <c r="AE17" s="2">
        <f t="shared" si="0"/>
        <v>-736.57</v>
      </c>
    </row>
    <row r="18" spans="1:31" x14ac:dyDescent="0.25">
      <c r="A18" s="1"/>
      <c r="B18" s="1"/>
      <c r="C18" s="1"/>
      <c r="D18" s="1"/>
      <c r="E18" s="1" t="s">
        <v>17</v>
      </c>
      <c r="F18" s="1"/>
      <c r="G18" s="2">
        <v>1526.46</v>
      </c>
      <c r="H18" s="3"/>
      <c r="I18" s="2">
        <v>8173.15</v>
      </c>
      <c r="J18" s="3"/>
      <c r="K18" s="2">
        <v>7909.5</v>
      </c>
      <c r="L18" s="3"/>
      <c r="M18" s="2">
        <v>8173.15</v>
      </c>
      <c r="N18" s="3"/>
      <c r="O18" s="2">
        <v>14687.68</v>
      </c>
      <c r="P18" s="3"/>
      <c r="Q18" s="2">
        <v>13114</v>
      </c>
      <c r="R18" s="3"/>
      <c r="S18" s="2">
        <v>11802.6</v>
      </c>
      <c r="T18" s="3"/>
      <c r="U18" s="2">
        <v>16497</v>
      </c>
      <c r="V18" s="3"/>
      <c r="W18" s="2">
        <v>17046.900000000001</v>
      </c>
      <c r="X18" s="3"/>
      <c r="Y18" s="2">
        <v>18421.650000000001</v>
      </c>
      <c r="Z18" s="3"/>
      <c r="AA18" s="2">
        <v>24546.42</v>
      </c>
      <c r="AB18" s="3"/>
      <c r="AC18" s="2">
        <v>32728.560000000001</v>
      </c>
      <c r="AD18" s="3"/>
      <c r="AE18" s="2">
        <f t="shared" si="0"/>
        <v>174627.07</v>
      </c>
    </row>
    <row r="19" spans="1:31" x14ac:dyDescent="0.25">
      <c r="A19" s="1"/>
      <c r="B19" s="1"/>
      <c r="C19" s="1"/>
      <c r="D19" s="1"/>
      <c r="E19" s="1" t="s">
        <v>18</v>
      </c>
      <c r="F19" s="1"/>
      <c r="G19" s="2">
        <v>0</v>
      </c>
      <c r="H19" s="3"/>
      <c r="I19" s="2">
        <v>0</v>
      </c>
      <c r="J19" s="3"/>
      <c r="K19" s="2">
        <v>5500</v>
      </c>
      <c r="L19" s="3"/>
      <c r="M19" s="2">
        <v>15500</v>
      </c>
      <c r="N19" s="3"/>
      <c r="O19" s="2">
        <v>2500</v>
      </c>
      <c r="P19" s="3"/>
      <c r="Q19" s="2">
        <v>1500</v>
      </c>
      <c r="R19" s="3"/>
      <c r="S19" s="2">
        <v>0</v>
      </c>
      <c r="T19" s="3"/>
      <c r="U19" s="2">
        <v>7000</v>
      </c>
      <c r="V19" s="3"/>
      <c r="W19" s="2">
        <v>5000</v>
      </c>
      <c r="X19" s="3"/>
      <c r="Y19" s="2">
        <v>0</v>
      </c>
      <c r="Z19" s="3"/>
      <c r="AA19" s="2">
        <v>0</v>
      </c>
      <c r="AB19" s="3"/>
      <c r="AC19" s="2">
        <v>0</v>
      </c>
      <c r="AD19" s="3"/>
      <c r="AE19" s="2">
        <f t="shared" si="0"/>
        <v>37000</v>
      </c>
    </row>
    <row r="20" spans="1:31" x14ac:dyDescent="0.25">
      <c r="A20" s="1"/>
      <c r="B20" s="1"/>
      <c r="C20" s="1"/>
      <c r="D20" s="1"/>
      <c r="E20" s="1" t="s">
        <v>19</v>
      </c>
      <c r="F20" s="1"/>
      <c r="G20" s="2">
        <v>0</v>
      </c>
      <c r="H20" s="3"/>
      <c r="I20" s="2">
        <v>0</v>
      </c>
      <c r="J20" s="3"/>
      <c r="K20" s="2">
        <v>0</v>
      </c>
      <c r="L20" s="3"/>
      <c r="M20" s="2">
        <v>0</v>
      </c>
      <c r="N20" s="3"/>
      <c r="O20" s="2">
        <v>255.99</v>
      </c>
      <c r="P20" s="3"/>
      <c r="Q20" s="2">
        <v>0</v>
      </c>
      <c r="R20" s="3"/>
      <c r="S20" s="2">
        <v>0</v>
      </c>
      <c r="T20" s="3"/>
      <c r="U20" s="2">
        <v>0</v>
      </c>
      <c r="V20" s="3"/>
      <c r="W20" s="2">
        <v>0</v>
      </c>
      <c r="X20" s="3"/>
      <c r="Y20" s="2">
        <v>501.98</v>
      </c>
      <c r="Z20" s="3"/>
      <c r="AA20" s="2">
        <v>315.01</v>
      </c>
      <c r="AB20" s="3"/>
      <c r="AC20" s="2">
        <v>1058.7</v>
      </c>
      <c r="AD20" s="3"/>
      <c r="AE20" s="2">
        <f t="shared" si="0"/>
        <v>2131.6799999999998</v>
      </c>
    </row>
    <row r="21" spans="1:31" x14ac:dyDescent="0.25">
      <c r="A21" s="1"/>
      <c r="B21" s="1"/>
      <c r="C21" s="1"/>
      <c r="D21" s="1"/>
      <c r="E21" s="1" t="s">
        <v>20</v>
      </c>
      <c r="F21" s="1"/>
      <c r="G21" s="2">
        <v>0</v>
      </c>
      <c r="H21" s="3"/>
      <c r="I21" s="2">
        <v>0</v>
      </c>
      <c r="J21" s="3"/>
      <c r="K21" s="2">
        <v>0</v>
      </c>
      <c r="L21" s="3"/>
      <c r="M21" s="2">
        <v>0</v>
      </c>
      <c r="N21" s="3"/>
      <c r="O21" s="2">
        <v>0</v>
      </c>
      <c r="P21" s="3"/>
      <c r="Q21" s="2">
        <v>0</v>
      </c>
      <c r="R21" s="3"/>
      <c r="S21" s="2">
        <v>0</v>
      </c>
      <c r="T21" s="3"/>
      <c r="U21" s="2">
        <v>0</v>
      </c>
      <c r="V21" s="3"/>
      <c r="W21" s="2">
        <v>0</v>
      </c>
      <c r="X21" s="3"/>
      <c r="Y21" s="2">
        <v>189.26</v>
      </c>
      <c r="Z21" s="3"/>
      <c r="AA21" s="2">
        <v>429.98</v>
      </c>
      <c r="AB21" s="3"/>
      <c r="AC21" s="2">
        <v>1162.25</v>
      </c>
      <c r="AD21" s="3"/>
      <c r="AE21" s="2">
        <f t="shared" si="0"/>
        <v>1781.49</v>
      </c>
    </row>
    <row r="22" spans="1:31" x14ac:dyDescent="0.25">
      <c r="A22" s="1"/>
      <c r="B22" s="1"/>
      <c r="C22" s="1"/>
      <c r="D22" s="1"/>
      <c r="E22" s="1" t="s">
        <v>21</v>
      </c>
      <c r="F22" s="1"/>
      <c r="G22" s="2">
        <v>0</v>
      </c>
      <c r="H22" s="3"/>
      <c r="I22" s="2">
        <v>0</v>
      </c>
      <c r="J22" s="3"/>
      <c r="K22" s="2">
        <v>0</v>
      </c>
      <c r="L22" s="3"/>
      <c r="M22" s="2">
        <v>0</v>
      </c>
      <c r="N22" s="3"/>
      <c r="O22" s="2">
        <v>0</v>
      </c>
      <c r="P22" s="3"/>
      <c r="Q22" s="2">
        <v>0</v>
      </c>
      <c r="R22" s="3"/>
      <c r="S22" s="2">
        <v>162.41</v>
      </c>
      <c r="T22" s="3"/>
      <c r="U22" s="2">
        <v>161.91999999999999</v>
      </c>
      <c r="V22" s="3"/>
      <c r="W22" s="2">
        <v>240</v>
      </c>
      <c r="X22" s="3"/>
      <c r="Y22" s="2">
        <v>0</v>
      </c>
      <c r="Z22" s="3"/>
      <c r="AA22" s="2">
        <v>891.05</v>
      </c>
      <c r="AB22" s="3"/>
      <c r="AC22" s="2">
        <v>242.88</v>
      </c>
      <c r="AD22" s="3"/>
      <c r="AE22" s="2">
        <f t="shared" si="0"/>
        <v>1698.26</v>
      </c>
    </row>
    <row r="23" spans="1:31" x14ac:dyDescent="0.25">
      <c r="A23" s="1"/>
      <c r="B23" s="1"/>
      <c r="C23" s="1"/>
      <c r="D23" s="1"/>
      <c r="E23" s="1" t="s">
        <v>22</v>
      </c>
      <c r="F23" s="1"/>
      <c r="G23" s="2">
        <v>682.67</v>
      </c>
      <c r="H23" s="3"/>
      <c r="I23" s="2">
        <v>1319.68</v>
      </c>
      <c r="J23" s="3"/>
      <c r="K23" s="2">
        <v>990.64</v>
      </c>
      <c r="L23" s="3"/>
      <c r="M23" s="2">
        <v>2579.84</v>
      </c>
      <c r="N23" s="3"/>
      <c r="O23" s="2">
        <v>3588.82</v>
      </c>
      <c r="P23" s="3"/>
      <c r="Q23" s="2">
        <v>1702.63</v>
      </c>
      <c r="R23" s="3"/>
      <c r="S23" s="2">
        <v>2313.9699999999998</v>
      </c>
      <c r="T23" s="3"/>
      <c r="U23" s="2">
        <v>3765.03</v>
      </c>
      <c r="V23" s="3"/>
      <c r="W23" s="2">
        <v>-2395.84</v>
      </c>
      <c r="X23" s="3"/>
      <c r="Y23" s="2">
        <v>471.18</v>
      </c>
      <c r="Z23" s="3"/>
      <c r="AA23" s="2">
        <v>856.86</v>
      </c>
      <c r="AB23" s="3"/>
      <c r="AC23" s="2">
        <v>0</v>
      </c>
      <c r="AD23" s="3"/>
      <c r="AE23" s="2">
        <f t="shared" si="0"/>
        <v>15875.48</v>
      </c>
    </row>
    <row r="24" spans="1:31" x14ac:dyDescent="0.25">
      <c r="A24" s="1"/>
      <c r="B24" s="1"/>
      <c r="C24" s="1"/>
      <c r="D24" s="1"/>
      <c r="E24" s="1" t="s">
        <v>23</v>
      </c>
      <c r="F24" s="1"/>
      <c r="G24" s="2">
        <v>0</v>
      </c>
      <c r="H24" s="3"/>
      <c r="I24" s="2">
        <v>0</v>
      </c>
      <c r="J24" s="3"/>
      <c r="K24" s="2">
        <v>750.82</v>
      </c>
      <c r="L24" s="3"/>
      <c r="M24" s="2">
        <v>601.26</v>
      </c>
      <c r="N24" s="3"/>
      <c r="O24" s="2">
        <v>360.71</v>
      </c>
      <c r="P24" s="3"/>
      <c r="Q24" s="2">
        <v>1238.54</v>
      </c>
      <c r="R24" s="3"/>
      <c r="S24" s="2">
        <v>1097.3699999999999</v>
      </c>
      <c r="T24" s="3"/>
      <c r="U24" s="2">
        <v>1400.89</v>
      </c>
      <c r="V24" s="3"/>
      <c r="W24" s="2">
        <v>624.12</v>
      </c>
      <c r="X24" s="3"/>
      <c r="Y24" s="2">
        <v>932.12</v>
      </c>
      <c r="Z24" s="3"/>
      <c r="AA24" s="2">
        <v>838.49</v>
      </c>
      <c r="AB24" s="3"/>
      <c r="AC24" s="2">
        <v>0</v>
      </c>
      <c r="AD24" s="3"/>
      <c r="AE24" s="2">
        <f t="shared" si="0"/>
        <v>7844.32</v>
      </c>
    </row>
    <row r="25" spans="1:31" x14ac:dyDescent="0.25">
      <c r="A25" s="1"/>
      <c r="B25" s="1"/>
      <c r="C25" s="1"/>
      <c r="D25" s="1"/>
      <c r="E25" s="1" t="s">
        <v>24</v>
      </c>
      <c r="F25" s="1"/>
      <c r="G25" s="2">
        <v>0</v>
      </c>
      <c r="H25" s="3"/>
      <c r="I25" s="2">
        <v>0</v>
      </c>
      <c r="J25" s="3"/>
      <c r="K25" s="2">
        <v>0</v>
      </c>
      <c r="L25" s="3"/>
      <c r="M25" s="2">
        <v>0</v>
      </c>
      <c r="N25" s="3"/>
      <c r="O25" s="2">
        <v>0</v>
      </c>
      <c r="P25" s="3"/>
      <c r="Q25" s="2">
        <v>0</v>
      </c>
      <c r="R25" s="3"/>
      <c r="S25" s="2">
        <v>0</v>
      </c>
      <c r="T25" s="3"/>
      <c r="U25" s="2">
        <v>634.64</v>
      </c>
      <c r="V25" s="3"/>
      <c r="W25" s="2">
        <v>294.08</v>
      </c>
      <c r="X25" s="3"/>
      <c r="Y25" s="2">
        <v>0</v>
      </c>
      <c r="Z25" s="3"/>
      <c r="AA25" s="2">
        <v>0</v>
      </c>
      <c r="AB25" s="3"/>
      <c r="AC25" s="2">
        <v>0</v>
      </c>
      <c r="AD25" s="3"/>
      <c r="AE25" s="2">
        <f t="shared" si="0"/>
        <v>928.72</v>
      </c>
    </row>
    <row r="26" spans="1:31" ht="15.75" thickBot="1" x14ac:dyDescent="0.3">
      <c r="A26" s="1"/>
      <c r="B26" s="1"/>
      <c r="C26" s="1"/>
      <c r="D26" s="1"/>
      <c r="E26" s="1" t="s">
        <v>25</v>
      </c>
      <c r="F26" s="1"/>
      <c r="G26" s="4">
        <v>0</v>
      </c>
      <c r="H26" s="3"/>
      <c r="I26" s="4">
        <v>6159</v>
      </c>
      <c r="J26" s="3"/>
      <c r="K26" s="4">
        <v>0</v>
      </c>
      <c r="L26" s="3"/>
      <c r="M26" s="4">
        <v>0</v>
      </c>
      <c r="N26" s="3"/>
      <c r="O26" s="4">
        <v>0</v>
      </c>
      <c r="P26" s="3"/>
      <c r="Q26" s="4">
        <v>0</v>
      </c>
      <c r="R26" s="3"/>
      <c r="S26" s="4">
        <v>0</v>
      </c>
      <c r="T26" s="3"/>
      <c r="U26" s="4">
        <v>0</v>
      </c>
      <c r="V26" s="3"/>
      <c r="W26" s="4">
        <v>0</v>
      </c>
      <c r="X26" s="3"/>
      <c r="Y26" s="4">
        <v>0</v>
      </c>
      <c r="Z26" s="3"/>
      <c r="AA26" s="4">
        <v>0</v>
      </c>
      <c r="AB26" s="3"/>
      <c r="AC26" s="4">
        <v>432.82</v>
      </c>
      <c r="AD26" s="3"/>
      <c r="AE26" s="4">
        <f t="shared" si="0"/>
        <v>6591.82</v>
      </c>
    </row>
    <row r="27" spans="1:31" ht="15.75" thickBot="1" x14ac:dyDescent="0.3">
      <c r="A27" s="1"/>
      <c r="B27" s="1"/>
      <c r="C27" s="1"/>
      <c r="D27" s="1" t="s">
        <v>26</v>
      </c>
      <c r="E27" s="1"/>
      <c r="F27" s="1"/>
      <c r="G27" s="5">
        <f>ROUND(SUM(G3:G26),5)</f>
        <v>268492.01</v>
      </c>
      <c r="H27" s="3"/>
      <c r="I27" s="5">
        <f>ROUND(SUM(I3:I26),5)</f>
        <v>291342.25</v>
      </c>
      <c r="J27" s="3"/>
      <c r="K27" s="5">
        <f>ROUND(SUM(K3:K26),5)</f>
        <v>258355.49</v>
      </c>
      <c r="L27" s="3"/>
      <c r="M27" s="5">
        <f>ROUND(SUM(M3:M26),5)</f>
        <v>277500.48</v>
      </c>
      <c r="N27" s="3"/>
      <c r="O27" s="5">
        <f>ROUND(SUM(O3:O26),5)</f>
        <v>290031.07</v>
      </c>
      <c r="P27" s="3"/>
      <c r="Q27" s="5">
        <f>ROUND(SUM(Q3:Q26),5)</f>
        <v>281831.18</v>
      </c>
      <c r="R27" s="3"/>
      <c r="S27" s="5">
        <f>ROUND(SUM(S3:S26),5)</f>
        <v>304223.46999999997</v>
      </c>
      <c r="T27" s="3"/>
      <c r="U27" s="5">
        <f>ROUND(SUM(U3:U26),5)</f>
        <v>307588.26</v>
      </c>
      <c r="V27" s="3"/>
      <c r="W27" s="5">
        <f>ROUND(SUM(W3:W26),5)</f>
        <v>332362.44</v>
      </c>
      <c r="X27" s="3"/>
      <c r="Y27" s="5">
        <f>ROUND(SUM(Y3:Y26),5)</f>
        <v>266689.96999999997</v>
      </c>
      <c r="Z27" s="3"/>
      <c r="AA27" s="5">
        <f>ROUND(SUM(AA3:AA26),5)</f>
        <v>298774.95</v>
      </c>
      <c r="AB27" s="3"/>
      <c r="AC27" s="5">
        <f>ROUND(SUM(AC3:AC26),5)</f>
        <v>333279.14</v>
      </c>
      <c r="AD27" s="3"/>
      <c r="AE27" s="5">
        <f t="shared" si="0"/>
        <v>3510470.71</v>
      </c>
    </row>
    <row r="28" spans="1:31" x14ac:dyDescent="0.25">
      <c r="A28" s="1"/>
      <c r="B28" s="1"/>
      <c r="C28" s="1" t="s">
        <v>27</v>
      </c>
      <c r="D28" s="1"/>
      <c r="E28" s="1"/>
      <c r="F28" s="1"/>
      <c r="G28" s="2">
        <f>G27</f>
        <v>268492.01</v>
      </c>
      <c r="H28" s="3"/>
      <c r="I28" s="2">
        <f>I27</f>
        <v>291342.25</v>
      </c>
      <c r="J28" s="3"/>
      <c r="K28" s="2">
        <f>K27</f>
        <v>258355.49</v>
      </c>
      <c r="L28" s="3"/>
      <c r="M28" s="2">
        <f>M27</f>
        <v>277500.48</v>
      </c>
      <c r="N28" s="3"/>
      <c r="O28" s="2">
        <f>O27</f>
        <v>290031.07</v>
      </c>
      <c r="P28" s="3"/>
      <c r="Q28" s="2">
        <f>Q27</f>
        <v>281831.18</v>
      </c>
      <c r="R28" s="3"/>
      <c r="S28" s="2">
        <f>S27</f>
        <v>304223.46999999997</v>
      </c>
      <c r="T28" s="3"/>
      <c r="U28" s="2">
        <f>U27</f>
        <v>307588.26</v>
      </c>
      <c r="V28" s="3"/>
      <c r="W28" s="2">
        <f>W27</f>
        <v>332362.44</v>
      </c>
      <c r="X28" s="3"/>
      <c r="Y28" s="2">
        <f>Y27</f>
        <v>266689.96999999997</v>
      </c>
      <c r="Z28" s="3"/>
      <c r="AA28" s="2">
        <f>AA27</f>
        <v>298774.95</v>
      </c>
      <c r="AB28" s="3"/>
      <c r="AC28" s="2">
        <f>AC27</f>
        <v>333279.14</v>
      </c>
      <c r="AD28" s="3"/>
      <c r="AE28" s="2">
        <f t="shared" si="0"/>
        <v>3510470.71</v>
      </c>
    </row>
    <row r="29" spans="1:31" x14ac:dyDescent="0.25">
      <c r="A29" s="1"/>
      <c r="B29" s="1"/>
      <c r="C29" s="1"/>
      <c r="D29" s="1" t="s">
        <v>28</v>
      </c>
      <c r="E29" s="1"/>
      <c r="F29" s="1"/>
      <c r="G29" s="2"/>
      <c r="H29" s="3"/>
      <c r="I29" s="2"/>
      <c r="J29" s="3"/>
      <c r="K29" s="2"/>
      <c r="L29" s="3"/>
      <c r="M29" s="2"/>
      <c r="N29" s="3"/>
      <c r="O29" s="2"/>
      <c r="P29" s="3"/>
      <c r="Q29" s="2"/>
      <c r="R29" s="3"/>
      <c r="S29" s="2"/>
      <c r="T29" s="3"/>
      <c r="U29" s="2"/>
      <c r="V29" s="3"/>
      <c r="W29" s="2"/>
      <c r="X29" s="3"/>
      <c r="Y29" s="2"/>
      <c r="Z29" s="3"/>
      <c r="AA29" s="2"/>
      <c r="AB29" s="3"/>
      <c r="AC29" s="2"/>
      <c r="AD29" s="3"/>
      <c r="AE29" s="2"/>
    </row>
    <row r="30" spans="1:31" x14ac:dyDescent="0.25">
      <c r="A30" s="1"/>
      <c r="B30" s="1"/>
      <c r="C30" s="1"/>
      <c r="D30" s="1"/>
      <c r="E30" s="1" t="s">
        <v>29</v>
      </c>
      <c r="F30" s="1"/>
      <c r="G30" s="2"/>
      <c r="H30" s="3"/>
      <c r="I30" s="2"/>
      <c r="J30" s="3"/>
      <c r="K30" s="2"/>
      <c r="L30" s="3"/>
      <c r="M30" s="2"/>
      <c r="N30" s="3"/>
      <c r="O30" s="2"/>
      <c r="P30" s="3"/>
      <c r="Q30" s="2"/>
      <c r="R30" s="3"/>
      <c r="S30" s="2"/>
      <c r="T30" s="3"/>
      <c r="U30" s="2"/>
      <c r="V30" s="3"/>
      <c r="W30" s="2"/>
      <c r="X30" s="3"/>
      <c r="Y30" s="2"/>
      <c r="Z30" s="3"/>
      <c r="AA30" s="2"/>
      <c r="AB30" s="3"/>
      <c r="AC30" s="2"/>
      <c r="AD30" s="3"/>
      <c r="AE30" s="2"/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14716.09</v>
      </c>
      <c r="H31" s="3"/>
      <c r="I31" s="2">
        <v>14591.57</v>
      </c>
      <c r="J31" s="3"/>
      <c r="K31" s="2">
        <v>16127.43</v>
      </c>
      <c r="L31" s="3"/>
      <c r="M31" s="2">
        <v>13094.72</v>
      </c>
      <c r="N31" s="3"/>
      <c r="O31" s="2">
        <v>14894.28</v>
      </c>
      <c r="P31" s="3"/>
      <c r="Q31" s="2">
        <v>12705</v>
      </c>
      <c r="R31" s="3"/>
      <c r="S31" s="2">
        <v>15982.5</v>
      </c>
      <c r="T31" s="3"/>
      <c r="U31" s="2">
        <v>14059.09</v>
      </c>
      <c r="V31" s="3"/>
      <c r="W31" s="2">
        <v>14687.49</v>
      </c>
      <c r="X31" s="3"/>
      <c r="Y31" s="2">
        <v>16479.830000000002</v>
      </c>
      <c r="Z31" s="3"/>
      <c r="AA31" s="2">
        <v>16911.43</v>
      </c>
      <c r="AB31" s="3"/>
      <c r="AC31" s="2">
        <v>14948.12</v>
      </c>
      <c r="AD31" s="3"/>
      <c r="AE31" s="2">
        <f t="shared" ref="AE31:AE53" si="1">ROUND(SUM(G31:AC31),5)</f>
        <v>179197.55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26659.57</v>
      </c>
      <c r="H32" s="3"/>
      <c r="I32" s="2">
        <v>21632.65</v>
      </c>
      <c r="J32" s="3"/>
      <c r="K32" s="2">
        <v>19900.82</v>
      </c>
      <c r="L32" s="3"/>
      <c r="M32" s="2">
        <v>20771.560000000001</v>
      </c>
      <c r="N32" s="3"/>
      <c r="O32" s="2">
        <v>24337.360000000001</v>
      </c>
      <c r="P32" s="3"/>
      <c r="Q32" s="2">
        <v>21304.89</v>
      </c>
      <c r="R32" s="3"/>
      <c r="S32" s="2">
        <v>21923.96</v>
      </c>
      <c r="T32" s="3"/>
      <c r="U32" s="2">
        <v>21752.31</v>
      </c>
      <c r="V32" s="3"/>
      <c r="W32" s="2">
        <v>23107.13</v>
      </c>
      <c r="X32" s="3"/>
      <c r="Y32" s="2">
        <v>22405.46</v>
      </c>
      <c r="Z32" s="3"/>
      <c r="AA32" s="2">
        <v>23458.63</v>
      </c>
      <c r="AB32" s="3"/>
      <c r="AC32" s="2">
        <v>23186.63</v>
      </c>
      <c r="AD32" s="3"/>
      <c r="AE32" s="2">
        <f t="shared" si="1"/>
        <v>270440.96999999997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37331.53</v>
      </c>
      <c r="H33" s="3"/>
      <c r="I33" s="2">
        <v>40682.54</v>
      </c>
      <c r="J33" s="3"/>
      <c r="K33" s="2">
        <v>40818.03</v>
      </c>
      <c r="L33" s="3"/>
      <c r="M33" s="2">
        <v>37728.730000000003</v>
      </c>
      <c r="N33" s="3"/>
      <c r="O33" s="2">
        <v>40609.699999999997</v>
      </c>
      <c r="P33" s="3"/>
      <c r="Q33" s="2">
        <v>38748.550000000003</v>
      </c>
      <c r="R33" s="3"/>
      <c r="S33" s="2">
        <v>43715.72</v>
      </c>
      <c r="T33" s="3"/>
      <c r="U33" s="2">
        <v>45789.96</v>
      </c>
      <c r="V33" s="3"/>
      <c r="W33" s="2">
        <v>47348.6</v>
      </c>
      <c r="X33" s="3"/>
      <c r="Y33" s="2">
        <v>45020.91</v>
      </c>
      <c r="Z33" s="3"/>
      <c r="AA33" s="2">
        <v>48396</v>
      </c>
      <c r="AB33" s="3"/>
      <c r="AC33" s="2">
        <v>47493.01</v>
      </c>
      <c r="AD33" s="3"/>
      <c r="AE33" s="2">
        <f t="shared" si="1"/>
        <v>513683.28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10879.13</v>
      </c>
      <c r="H34" s="3"/>
      <c r="I34" s="2">
        <v>7664.84</v>
      </c>
      <c r="J34" s="3"/>
      <c r="K34" s="2">
        <v>7417.58</v>
      </c>
      <c r="L34" s="3"/>
      <c r="M34" s="2">
        <v>7664.83</v>
      </c>
      <c r="N34" s="3"/>
      <c r="O34" s="2">
        <v>7664.84</v>
      </c>
      <c r="P34" s="3"/>
      <c r="Q34" s="2">
        <v>6923.08</v>
      </c>
      <c r="R34" s="3"/>
      <c r="S34" s="2">
        <v>7318.68</v>
      </c>
      <c r="T34" s="3"/>
      <c r="U34" s="2">
        <v>7887.15</v>
      </c>
      <c r="V34" s="3"/>
      <c r="W34" s="2">
        <v>7887.27</v>
      </c>
      <c r="X34" s="3"/>
      <c r="Y34" s="2">
        <v>7417.58</v>
      </c>
      <c r="Z34" s="3"/>
      <c r="AA34" s="2">
        <v>7664.83</v>
      </c>
      <c r="AB34" s="3"/>
      <c r="AC34" s="2">
        <v>7664.85</v>
      </c>
      <c r="AD34" s="3"/>
      <c r="AE34" s="2">
        <f t="shared" si="1"/>
        <v>94054.66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3.86</v>
      </c>
      <c r="H35" s="3"/>
      <c r="I35" s="2">
        <v>463.62</v>
      </c>
      <c r="J35" s="3"/>
      <c r="K35" s="2">
        <v>-10.08</v>
      </c>
      <c r="L35" s="3"/>
      <c r="M35" s="2">
        <v>263.68</v>
      </c>
      <c r="N35" s="3"/>
      <c r="O35" s="2">
        <v>317.57</v>
      </c>
      <c r="P35" s="3"/>
      <c r="Q35" s="2">
        <v>-1.85</v>
      </c>
      <c r="R35" s="3"/>
      <c r="S35" s="2">
        <v>225.48</v>
      </c>
      <c r="T35" s="3"/>
      <c r="U35" s="2">
        <v>177.09</v>
      </c>
      <c r="V35" s="3"/>
      <c r="W35" s="2">
        <v>454.32</v>
      </c>
      <c r="X35" s="3"/>
      <c r="Y35" s="2">
        <v>362.08</v>
      </c>
      <c r="Z35" s="3"/>
      <c r="AA35" s="2">
        <v>443.03</v>
      </c>
      <c r="AB35" s="3"/>
      <c r="AC35" s="2">
        <v>222.68</v>
      </c>
      <c r="AD35" s="3"/>
      <c r="AE35" s="2">
        <f t="shared" si="1"/>
        <v>2921.48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409.49</v>
      </c>
      <c r="H36" s="3"/>
      <c r="I36" s="2">
        <v>1096.2</v>
      </c>
      <c r="J36" s="3"/>
      <c r="K36" s="2">
        <v>927.66</v>
      </c>
      <c r="L36" s="3"/>
      <c r="M36" s="2">
        <v>817</v>
      </c>
      <c r="N36" s="3"/>
      <c r="O36" s="2">
        <v>756</v>
      </c>
      <c r="P36" s="3"/>
      <c r="Q36" s="2">
        <v>756</v>
      </c>
      <c r="R36" s="3"/>
      <c r="S36" s="2">
        <v>953.07</v>
      </c>
      <c r="T36" s="3"/>
      <c r="U36" s="2">
        <v>877.08</v>
      </c>
      <c r="V36" s="3"/>
      <c r="W36" s="2">
        <v>369.12</v>
      </c>
      <c r="X36" s="3"/>
      <c r="Y36" s="2">
        <v>96.5</v>
      </c>
      <c r="Z36" s="3"/>
      <c r="AA36" s="2">
        <v>313.5</v>
      </c>
      <c r="AB36" s="3"/>
      <c r="AC36" s="2">
        <v>740.09</v>
      </c>
      <c r="AD36" s="3"/>
      <c r="AE36" s="2">
        <f t="shared" si="1"/>
        <v>8111.71</v>
      </c>
    </row>
    <row r="37" spans="1:31" x14ac:dyDescent="0.25">
      <c r="A37" s="1"/>
      <c r="B37" s="1"/>
      <c r="C37" s="1"/>
      <c r="D37" s="1"/>
      <c r="E37" s="1"/>
      <c r="F37" s="1" t="s">
        <v>36</v>
      </c>
      <c r="G37" s="2">
        <v>166.51</v>
      </c>
      <c r="H37" s="3"/>
      <c r="I37" s="2">
        <v>71.02</v>
      </c>
      <c r="J37" s="3"/>
      <c r="K37" s="2">
        <v>0</v>
      </c>
      <c r="L37" s="3"/>
      <c r="M37" s="2">
        <v>155.84</v>
      </c>
      <c r="N37" s="3"/>
      <c r="O37" s="2">
        <v>132.72999999999999</v>
      </c>
      <c r="P37" s="3"/>
      <c r="Q37" s="2">
        <v>70.569999999999993</v>
      </c>
      <c r="R37" s="3"/>
      <c r="S37" s="2">
        <v>0</v>
      </c>
      <c r="T37" s="3"/>
      <c r="U37" s="2">
        <v>115.47</v>
      </c>
      <c r="V37" s="3"/>
      <c r="W37" s="2">
        <v>0</v>
      </c>
      <c r="X37" s="3"/>
      <c r="Y37" s="2">
        <v>102.18</v>
      </c>
      <c r="Z37" s="3"/>
      <c r="AA37" s="2">
        <v>0</v>
      </c>
      <c r="AB37" s="3"/>
      <c r="AC37" s="2">
        <v>0</v>
      </c>
      <c r="AD37" s="3"/>
      <c r="AE37" s="2">
        <f t="shared" si="1"/>
        <v>814.32</v>
      </c>
    </row>
    <row r="38" spans="1:31" x14ac:dyDescent="0.25">
      <c r="A38" s="1"/>
      <c r="B38" s="1"/>
      <c r="C38" s="1"/>
      <c r="D38" s="1"/>
      <c r="E38" s="1"/>
      <c r="F38" s="1" t="s">
        <v>37</v>
      </c>
      <c r="G38" s="2">
        <v>2689.99</v>
      </c>
      <c r="H38" s="3"/>
      <c r="I38" s="2">
        <v>3072.62</v>
      </c>
      <c r="J38" s="3"/>
      <c r="K38" s="2">
        <v>980.49</v>
      </c>
      <c r="L38" s="3"/>
      <c r="M38" s="2">
        <v>1735.08</v>
      </c>
      <c r="N38" s="3"/>
      <c r="O38" s="2">
        <v>3245.87</v>
      </c>
      <c r="P38" s="3"/>
      <c r="Q38" s="2">
        <v>3368.19</v>
      </c>
      <c r="R38" s="3"/>
      <c r="S38" s="2">
        <v>2561.31</v>
      </c>
      <c r="T38" s="3"/>
      <c r="U38" s="2">
        <v>691.75</v>
      </c>
      <c r="V38" s="3"/>
      <c r="W38" s="2">
        <v>2367.96</v>
      </c>
      <c r="X38" s="3"/>
      <c r="Y38" s="2">
        <v>2673.57</v>
      </c>
      <c r="Z38" s="3"/>
      <c r="AA38" s="2">
        <v>1890.08</v>
      </c>
      <c r="AB38" s="3"/>
      <c r="AC38" s="2">
        <v>4934.91</v>
      </c>
      <c r="AD38" s="3"/>
      <c r="AE38" s="2">
        <f t="shared" si="1"/>
        <v>30211.82</v>
      </c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72.78</v>
      </c>
      <c r="H39" s="3"/>
      <c r="I39" s="2">
        <v>0</v>
      </c>
      <c r="J39" s="3"/>
      <c r="K39" s="2">
        <v>72.78</v>
      </c>
      <c r="L39" s="3"/>
      <c r="M39" s="2">
        <v>72.78</v>
      </c>
      <c r="N39" s="3"/>
      <c r="O39" s="2">
        <v>72.78</v>
      </c>
      <c r="P39" s="3"/>
      <c r="Q39" s="2">
        <v>287.83</v>
      </c>
      <c r="R39" s="3"/>
      <c r="S39" s="2">
        <v>72.78</v>
      </c>
      <c r="T39" s="3"/>
      <c r="U39" s="2">
        <v>72.78</v>
      </c>
      <c r="V39" s="3"/>
      <c r="W39" s="2">
        <v>63.91</v>
      </c>
      <c r="X39" s="3"/>
      <c r="Y39" s="2">
        <v>71.569999999999993</v>
      </c>
      <c r="Z39" s="3"/>
      <c r="AA39" s="2">
        <v>72.78</v>
      </c>
      <c r="AB39" s="3"/>
      <c r="AC39" s="2">
        <v>72.95</v>
      </c>
      <c r="AD39" s="3"/>
      <c r="AE39" s="2">
        <f t="shared" si="1"/>
        <v>1005.72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1446.1</v>
      </c>
      <c r="H40" s="3"/>
      <c r="I40" s="2">
        <v>1233.76</v>
      </c>
      <c r="J40" s="3"/>
      <c r="K40" s="2">
        <v>308.64999999999998</v>
      </c>
      <c r="L40" s="3"/>
      <c r="M40" s="2">
        <v>750</v>
      </c>
      <c r="N40" s="3"/>
      <c r="O40" s="2">
        <v>750</v>
      </c>
      <c r="P40" s="3"/>
      <c r="Q40" s="2">
        <v>750</v>
      </c>
      <c r="R40" s="3"/>
      <c r="S40" s="2">
        <v>0</v>
      </c>
      <c r="T40" s="3"/>
      <c r="U40" s="2">
        <v>0</v>
      </c>
      <c r="V40" s="3"/>
      <c r="W40" s="2">
        <v>0</v>
      </c>
      <c r="X40" s="3"/>
      <c r="Y40" s="2">
        <v>0</v>
      </c>
      <c r="Z40" s="3"/>
      <c r="AA40" s="2">
        <v>0</v>
      </c>
      <c r="AB40" s="3"/>
      <c r="AC40" s="2">
        <v>82.28</v>
      </c>
      <c r="AD40" s="3"/>
      <c r="AE40" s="2">
        <f t="shared" si="1"/>
        <v>5320.79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298</v>
      </c>
      <c r="H41" s="3"/>
      <c r="I41" s="2">
        <v>266</v>
      </c>
      <c r="J41" s="3"/>
      <c r="K41" s="2">
        <v>248</v>
      </c>
      <c r="L41" s="3"/>
      <c r="M41" s="2">
        <v>272</v>
      </c>
      <c r="N41" s="3"/>
      <c r="O41" s="2">
        <v>282</v>
      </c>
      <c r="P41" s="3"/>
      <c r="Q41" s="2">
        <v>278</v>
      </c>
      <c r="R41" s="3"/>
      <c r="S41" s="2">
        <v>278</v>
      </c>
      <c r="T41" s="3"/>
      <c r="U41" s="2">
        <v>336</v>
      </c>
      <c r="V41" s="3"/>
      <c r="W41" s="2">
        <v>294</v>
      </c>
      <c r="X41" s="3"/>
      <c r="Y41" s="2">
        <v>270</v>
      </c>
      <c r="Z41" s="3"/>
      <c r="AA41" s="2">
        <v>298</v>
      </c>
      <c r="AB41" s="3"/>
      <c r="AC41" s="2">
        <v>340</v>
      </c>
      <c r="AD41" s="3"/>
      <c r="AE41" s="2">
        <f t="shared" si="1"/>
        <v>3460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0</v>
      </c>
      <c r="H42" s="3"/>
      <c r="I42" s="2">
        <v>235</v>
      </c>
      <c r="J42" s="3"/>
      <c r="K42" s="2">
        <v>0</v>
      </c>
      <c r="L42" s="3"/>
      <c r="M42" s="2">
        <v>0</v>
      </c>
      <c r="N42" s="3"/>
      <c r="O42" s="2">
        <v>0</v>
      </c>
      <c r="P42" s="3"/>
      <c r="Q42" s="2">
        <v>0</v>
      </c>
      <c r="R42" s="3"/>
      <c r="S42" s="2">
        <v>0</v>
      </c>
      <c r="T42" s="3"/>
      <c r="U42" s="2">
        <v>0</v>
      </c>
      <c r="V42" s="3"/>
      <c r="W42" s="2">
        <v>330</v>
      </c>
      <c r="X42" s="3"/>
      <c r="Y42" s="2">
        <v>0</v>
      </c>
      <c r="Z42" s="3"/>
      <c r="AA42" s="2">
        <v>0</v>
      </c>
      <c r="AB42" s="3"/>
      <c r="AC42" s="2">
        <v>0</v>
      </c>
      <c r="AD42" s="3"/>
      <c r="AE42" s="2">
        <f t="shared" si="1"/>
        <v>565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0</v>
      </c>
      <c r="H43" s="3"/>
      <c r="I43" s="2">
        <v>60</v>
      </c>
      <c r="J43" s="3"/>
      <c r="K43" s="2">
        <v>150</v>
      </c>
      <c r="L43" s="3"/>
      <c r="M43" s="2">
        <v>58</v>
      </c>
      <c r="N43" s="3"/>
      <c r="O43" s="2">
        <v>0</v>
      </c>
      <c r="P43" s="3"/>
      <c r="Q43" s="2">
        <v>0</v>
      </c>
      <c r="R43" s="3"/>
      <c r="S43" s="2">
        <v>180</v>
      </c>
      <c r="T43" s="3"/>
      <c r="U43" s="2">
        <v>0</v>
      </c>
      <c r="V43" s="3"/>
      <c r="W43" s="2">
        <v>0</v>
      </c>
      <c r="X43" s="3"/>
      <c r="Y43" s="2">
        <v>120</v>
      </c>
      <c r="Z43" s="3"/>
      <c r="AA43" s="2">
        <v>0</v>
      </c>
      <c r="AB43" s="3"/>
      <c r="AC43" s="2">
        <v>211</v>
      </c>
      <c r="AD43" s="3"/>
      <c r="AE43" s="2">
        <f t="shared" si="1"/>
        <v>779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0</v>
      </c>
      <c r="H44" s="3"/>
      <c r="I44" s="2">
        <v>0</v>
      </c>
      <c r="J44" s="3"/>
      <c r="K44" s="2">
        <v>969.89</v>
      </c>
      <c r="L44" s="3"/>
      <c r="M44" s="2">
        <v>50.82</v>
      </c>
      <c r="N44" s="3"/>
      <c r="O44" s="2">
        <v>0</v>
      </c>
      <c r="P44" s="3"/>
      <c r="Q44" s="2">
        <v>214.54</v>
      </c>
      <c r="R44" s="3"/>
      <c r="S44" s="2">
        <v>441.22</v>
      </c>
      <c r="T44" s="3"/>
      <c r="U44" s="2">
        <v>113.34</v>
      </c>
      <c r="V44" s="3"/>
      <c r="W44" s="2">
        <v>0</v>
      </c>
      <c r="X44" s="3"/>
      <c r="Y44" s="2">
        <v>0</v>
      </c>
      <c r="Z44" s="3"/>
      <c r="AA44" s="2">
        <v>995.78</v>
      </c>
      <c r="AB44" s="3"/>
      <c r="AC44" s="2">
        <v>226.68</v>
      </c>
      <c r="AD44" s="3"/>
      <c r="AE44" s="2">
        <f t="shared" si="1"/>
        <v>3012.27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0</v>
      </c>
      <c r="H45" s="3"/>
      <c r="I45" s="2">
        <v>0</v>
      </c>
      <c r="J45" s="3"/>
      <c r="K45" s="2">
        <v>0</v>
      </c>
      <c r="L45" s="3"/>
      <c r="M45" s="2">
        <v>0</v>
      </c>
      <c r="N45" s="3"/>
      <c r="O45" s="2">
        <v>0</v>
      </c>
      <c r="P45" s="3"/>
      <c r="Q45" s="2">
        <v>0</v>
      </c>
      <c r="R45" s="3"/>
      <c r="S45" s="2">
        <v>0</v>
      </c>
      <c r="T45" s="3"/>
      <c r="U45" s="2">
        <v>130</v>
      </c>
      <c r="V45" s="3"/>
      <c r="W45" s="2">
        <v>130</v>
      </c>
      <c r="X45" s="3"/>
      <c r="Y45" s="2">
        <v>0</v>
      </c>
      <c r="Z45" s="3"/>
      <c r="AA45" s="2">
        <v>0</v>
      </c>
      <c r="AB45" s="3"/>
      <c r="AC45" s="2">
        <v>0</v>
      </c>
      <c r="AD45" s="3"/>
      <c r="AE45" s="2">
        <f t="shared" si="1"/>
        <v>260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679.1</v>
      </c>
      <c r="H46" s="3"/>
      <c r="I46" s="2">
        <v>735.95</v>
      </c>
      <c r="J46" s="3"/>
      <c r="K46" s="2">
        <v>1547.8</v>
      </c>
      <c r="L46" s="3"/>
      <c r="M46" s="2">
        <v>2160.25</v>
      </c>
      <c r="N46" s="3"/>
      <c r="O46" s="2">
        <v>3844.71</v>
      </c>
      <c r="P46" s="3"/>
      <c r="Q46" s="2">
        <v>4053.55</v>
      </c>
      <c r="R46" s="3"/>
      <c r="S46" s="2">
        <v>4064.25</v>
      </c>
      <c r="T46" s="3"/>
      <c r="U46" s="2">
        <v>3898.99</v>
      </c>
      <c r="V46" s="3"/>
      <c r="W46" s="2">
        <v>3897.94</v>
      </c>
      <c r="X46" s="3"/>
      <c r="Y46" s="2">
        <v>2188.0300000000002</v>
      </c>
      <c r="Z46" s="3"/>
      <c r="AA46" s="2">
        <v>946.75</v>
      </c>
      <c r="AB46" s="3"/>
      <c r="AC46" s="2">
        <v>1856.06</v>
      </c>
      <c r="AD46" s="3"/>
      <c r="AE46" s="2">
        <f t="shared" si="1"/>
        <v>29873.38</v>
      </c>
    </row>
    <row r="47" spans="1:31" x14ac:dyDescent="0.25">
      <c r="A47" s="1"/>
      <c r="B47" s="1"/>
      <c r="C47" s="1"/>
      <c r="D47" s="1"/>
      <c r="E47" s="1"/>
      <c r="F47" s="1" t="s">
        <v>46</v>
      </c>
      <c r="G47" s="2">
        <v>1592.5</v>
      </c>
      <c r="H47" s="3"/>
      <c r="I47" s="2">
        <v>1397.5</v>
      </c>
      <c r="J47" s="3"/>
      <c r="K47" s="2">
        <v>1072.5</v>
      </c>
      <c r="L47" s="3"/>
      <c r="M47" s="2">
        <v>1365</v>
      </c>
      <c r="N47" s="3"/>
      <c r="O47" s="2">
        <v>942.5</v>
      </c>
      <c r="P47" s="3"/>
      <c r="Q47" s="2">
        <v>1007.5</v>
      </c>
      <c r="R47" s="3"/>
      <c r="S47" s="2">
        <v>1105</v>
      </c>
      <c r="T47" s="3"/>
      <c r="U47" s="2">
        <v>1252.5</v>
      </c>
      <c r="V47" s="3"/>
      <c r="W47" s="2">
        <v>1127.5</v>
      </c>
      <c r="X47" s="3"/>
      <c r="Y47" s="2">
        <v>617.5</v>
      </c>
      <c r="Z47" s="3"/>
      <c r="AA47" s="2">
        <v>650</v>
      </c>
      <c r="AB47" s="3"/>
      <c r="AC47" s="2">
        <v>1040</v>
      </c>
      <c r="AD47" s="3"/>
      <c r="AE47" s="2">
        <f t="shared" si="1"/>
        <v>13170</v>
      </c>
    </row>
    <row r="48" spans="1:31" x14ac:dyDescent="0.25">
      <c r="A48" s="1"/>
      <c r="B48" s="1"/>
      <c r="C48" s="1"/>
      <c r="D48" s="1"/>
      <c r="E48" s="1"/>
      <c r="F48" s="1" t="s">
        <v>47</v>
      </c>
      <c r="G48" s="2">
        <v>1592.5</v>
      </c>
      <c r="H48" s="3"/>
      <c r="I48" s="2">
        <v>1397.5</v>
      </c>
      <c r="J48" s="3"/>
      <c r="K48" s="2">
        <v>1072.5</v>
      </c>
      <c r="L48" s="3"/>
      <c r="M48" s="2">
        <v>1365</v>
      </c>
      <c r="N48" s="3"/>
      <c r="O48" s="2">
        <v>942.5</v>
      </c>
      <c r="P48" s="3"/>
      <c r="Q48" s="2">
        <v>1007.5</v>
      </c>
      <c r="R48" s="3"/>
      <c r="S48" s="2">
        <v>1105</v>
      </c>
      <c r="T48" s="3"/>
      <c r="U48" s="2">
        <v>1297.5</v>
      </c>
      <c r="V48" s="3"/>
      <c r="W48" s="2">
        <v>1127.5</v>
      </c>
      <c r="X48" s="3"/>
      <c r="Y48" s="2">
        <v>617.5</v>
      </c>
      <c r="Z48" s="3"/>
      <c r="AA48" s="2">
        <v>650</v>
      </c>
      <c r="AB48" s="3"/>
      <c r="AC48" s="2">
        <v>1040</v>
      </c>
      <c r="AD48" s="3"/>
      <c r="AE48" s="2">
        <f t="shared" si="1"/>
        <v>13215</v>
      </c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2319.1799999999998</v>
      </c>
      <c r="H49" s="3"/>
      <c r="I49" s="2">
        <v>3570.83</v>
      </c>
      <c r="J49" s="3"/>
      <c r="K49" s="2">
        <v>2348.0300000000002</v>
      </c>
      <c r="L49" s="3"/>
      <c r="M49" s="2">
        <v>5221.4799999999996</v>
      </c>
      <c r="N49" s="3"/>
      <c r="O49" s="2">
        <v>7431.48</v>
      </c>
      <c r="P49" s="3"/>
      <c r="Q49" s="2">
        <v>3491.12</v>
      </c>
      <c r="R49" s="3"/>
      <c r="S49" s="2">
        <v>3036.06</v>
      </c>
      <c r="T49" s="3"/>
      <c r="U49" s="2">
        <v>6480.47</v>
      </c>
      <c r="V49" s="3"/>
      <c r="W49" s="2">
        <v>1916.96</v>
      </c>
      <c r="X49" s="3"/>
      <c r="Y49" s="2">
        <v>510.07</v>
      </c>
      <c r="Z49" s="3"/>
      <c r="AA49" s="2">
        <v>860.22</v>
      </c>
      <c r="AB49" s="3"/>
      <c r="AC49" s="2">
        <v>1722.67</v>
      </c>
      <c r="AD49" s="3"/>
      <c r="AE49" s="2">
        <f t="shared" si="1"/>
        <v>38908.57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0</v>
      </c>
      <c r="H50" s="3"/>
      <c r="I50" s="2">
        <v>685</v>
      </c>
      <c r="J50" s="3"/>
      <c r="K50" s="2">
        <v>0</v>
      </c>
      <c r="L50" s="3"/>
      <c r="M50" s="2">
        <v>175</v>
      </c>
      <c r="N50" s="3"/>
      <c r="O50" s="2">
        <v>0</v>
      </c>
      <c r="P50" s="3"/>
      <c r="Q50" s="2">
        <v>50</v>
      </c>
      <c r="R50" s="3"/>
      <c r="S50" s="2">
        <v>0</v>
      </c>
      <c r="T50" s="3"/>
      <c r="U50" s="2">
        <v>0</v>
      </c>
      <c r="V50" s="3"/>
      <c r="W50" s="2">
        <v>0</v>
      </c>
      <c r="X50" s="3"/>
      <c r="Y50" s="2">
        <v>0</v>
      </c>
      <c r="Z50" s="3"/>
      <c r="AA50" s="2">
        <v>0</v>
      </c>
      <c r="AB50" s="3"/>
      <c r="AC50" s="2">
        <v>0</v>
      </c>
      <c r="AD50" s="3"/>
      <c r="AE50" s="2">
        <f t="shared" si="1"/>
        <v>910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4033.45</v>
      </c>
      <c r="H51" s="3"/>
      <c r="I51" s="2">
        <v>4796.2700000000004</v>
      </c>
      <c r="J51" s="3"/>
      <c r="K51" s="2">
        <v>4604.8500000000004</v>
      </c>
      <c r="L51" s="3"/>
      <c r="M51" s="2">
        <v>4265.5600000000004</v>
      </c>
      <c r="N51" s="3"/>
      <c r="O51" s="2">
        <v>4272.66</v>
      </c>
      <c r="P51" s="3"/>
      <c r="Q51" s="2">
        <v>3814.39</v>
      </c>
      <c r="R51" s="3"/>
      <c r="S51" s="2">
        <v>3839.44</v>
      </c>
      <c r="T51" s="3"/>
      <c r="U51" s="2">
        <v>4381.59</v>
      </c>
      <c r="V51" s="3"/>
      <c r="W51" s="2">
        <v>4934.29</v>
      </c>
      <c r="X51" s="3"/>
      <c r="Y51" s="2">
        <v>4840</v>
      </c>
      <c r="Z51" s="3"/>
      <c r="AA51" s="2">
        <v>4902.8599999999997</v>
      </c>
      <c r="AB51" s="3"/>
      <c r="AC51" s="2">
        <v>4668.12</v>
      </c>
      <c r="AD51" s="3"/>
      <c r="AE51" s="2">
        <f t="shared" si="1"/>
        <v>53353.48</v>
      </c>
    </row>
    <row r="52" spans="1:31" ht="15.75" thickBot="1" x14ac:dyDescent="0.3">
      <c r="A52" s="1"/>
      <c r="B52" s="1"/>
      <c r="C52" s="1"/>
      <c r="D52" s="1"/>
      <c r="E52" s="1"/>
      <c r="F52" s="1" t="s">
        <v>51</v>
      </c>
      <c r="G52" s="6">
        <v>400</v>
      </c>
      <c r="H52" s="3"/>
      <c r="I52" s="6">
        <v>400</v>
      </c>
      <c r="J52" s="3"/>
      <c r="K52" s="6">
        <v>490</v>
      </c>
      <c r="L52" s="3"/>
      <c r="M52" s="6">
        <v>520</v>
      </c>
      <c r="N52" s="3"/>
      <c r="O52" s="6">
        <v>655</v>
      </c>
      <c r="P52" s="3"/>
      <c r="Q52" s="6">
        <v>610</v>
      </c>
      <c r="R52" s="3"/>
      <c r="S52" s="6">
        <v>520</v>
      </c>
      <c r="T52" s="3"/>
      <c r="U52" s="6">
        <v>430</v>
      </c>
      <c r="V52" s="3"/>
      <c r="W52" s="6">
        <v>400</v>
      </c>
      <c r="X52" s="3"/>
      <c r="Y52" s="6">
        <v>520</v>
      </c>
      <c r="Z52" s="3"/>
      <c r="AA52" s="6">
        <v>690</v>
      </c>
      <c r="AB52" s="3"/>
      <c r="AC52" s="6">
        <v>700</v>
      </c>
      <c r="AD52" s="3"/>
      <c r="AE52" s="6">
        <f t="shared" si="1"/>
        <v>6335</v>
      </c>
    </row>
    <row r="53" spans="1:31" x14ac:dyDescent="0.25">
      <c r="A53" s="1"/>
      <c r="B53" s="1"/>
      <c r="C53" s="1"/>
      <c r="D53" s="1"/>
      <c r="E53" s="1" t="s">
        <v>52</v>
      </c>
      <c r="F53" s="1"/>
      <c r="G53" s="2">
        <f>ROUND(SUM(G30:G52),5)</f>
        <v>105289.78</v>
      </c>
      <c r="H53" s="3"/>
      <c r="I53" s="2">
        <f>ROUND(SUM(I30:I52),5)</f>
        <v>104052.87</v>
      </c>
      <c r="J53" s="3"/>
      <c r="K53" s="2">
        <f>ROUND(SUM(K30:K52),5)</f>
        <v>99046.93</v>
      </c>
      <c r="L53" s="3"/>
      <c r="M53" s="2">
        <f>ROUND(SUM(M30:M52),5)</f>
        <v>98507.33</v>
      </c>
      <c r="N53" s="3"/>
      <c r="O53" s="2">
        <f>ROUND(SUM(O30:O52),5)</f>
        <v>111151.98</v>
      </c>
      <c r="P53" s="3"/>
      <c r="Q53" s="2">
        <f>ROUND(SUM(Q30:Q52),5)</f>
        <v>99438.86</v>
      </c>
      <c r="R53" s="3"/>
      <c r="S53" s="2">
        <f>ROUND(SUM(S30:S52),5)</f>
        <v>107322.47</v>
      </c>
      <c r="T53" s="3"/>
      <c r="U53" s="2">
        <f>ROUND(SUM(U30:U52),5)</f>
        <v>109743.07</v>
      </c>
      <c r="V53" s="3"/>
      <c r="W53" s="2">
        <f>ROUND(SUM(W30:W52),5)</f>
        <v>110443.99</v>
      </c>
      <c r="X53" s="3"/>
      <c r="Y53" s="2">
        <f>ROUND(SUM(Y30:Y52),5)</f>
        <v>104312.78</v>
      </c>
      <c r="Z53" s="3"/>
      <c r="AA53" s="2">
        <f>ROUND(SUM(AA30:AA52),5)</f>
        <v>109143.89</v>
      </c>
      <c r="AB53" s="3"/>
      <c r="AC53" s="2">
        <f>ROUND(SUM(AC30:AC52),5)</f>
        <v>111150.05</v>
      </c>
      <c r="AD53" s="3"/>
      <c r="AE53" s="2">
        <f t="shared" si="1"/>
        <v>1269604</v>
      </c>
    </row>
    <row r="54" spans="1:31" x14ac:dyDescent="0.25">
      <c r="A54" s="1"/>
      <c r="B54" s="1"/>
      <c r="C54" s="1"/>
      <c r="D54" s="1"/>
      <c r="E54" s="1" t="s">
        <v>53</v>
      </c>
      <c r="F54" s="1"/>
      <c r="G54" s="2"/>
      <c r="H54" s="3"/>
      <c r="I54" s="2"/>
      <c r="J54" s="3"/>
      <c r="K54" s="2"/>
      <c r="L54" s="3"/>
      <c r="M54" s="2"/>
      <c r="N54" s="3"/>
      <c r="O54" s="2"/>
      <c r="P54" s="3"/>
      <c r="Q54" s="2"/>
      <c r="R54" s="3"/>
      <c r="S54" s="2"/>
      <c r="T54" s="3"/>
      <c r="U54" s="2"/>
      <c r="V54" s="3"/>
      <c r="W54" s="2"/>
      <c r="X54" s="3"/>
      <c r="Y54" s="2"/>
      <c r="Z54" s="3"/>
      <c r="AA54" s="2"/>
      <c r="AB54" s="3"/>
      <c r="AC54" s="2"/>
      <c r="AD54" s="3"/>
      <c r="AE54" s="2"/>
    </row>
    <row r="55" spans="1:31" x14ac:dyDescent="0.25">
      <c r="A55" s="1"/>
      <c r="B55" s="1"/>
      <c r="C55" s="1"/>
      <c r="D55" s="1"/>
      <c r="E55" s="1"/>
      <c r="F55" s="1" t="s">
        <v>54</v>
      </c>
      <c r="G55" s="2">
        <v>124.03</v>
      </c>
      <c r="H55" s="3"/>
      <c r="I55" s="2">
        <v>81.62</v>
      </c>
      <c r="J55" s="3"/>
      <c r="K55" s="2">
        <v>62.79</v>
      </c>
      <c r="L55" s="3"/>
      <c r="M55" s="2">
        <v>356.69</v>
      </c>
      <c r="N55" s="3"/>
      <c r="O55" s="2">
        <v>758.89</v>
      </c>
      <c r="P55" s="3"/>
      <c r="Q55" s="2">
        <v>441.88</v>
      </c>
      <c r="R55" s="3"/>
      <c r="S55" s="2">
        <v>259.67</v>
      </c>
      <c r="T55" s="3"/>
      <c r="U55" s="2">
        <v>142.66999999999999</v>
      </c>
      <c r="V55" s="3"/>
      <c r="W55" s="2">
        <v>105.93</v>
      </c>
      <c r="X55" s="3"/>
      <c r="Y55" s="2">
        <v>106.11</v>
      </c>
      <c r="Z55" s="3"/>
      <c r="AA55" s="2">
        <v>125.71</v>
      </c>
      <c r="AB55" s="3"/>
      <c r="AC55" s="2">
        <v>122.19</v>
      </c>
      <c r="AD55" s="3"/>
      <c r="AE55" s="2">
        <f t="shared" ref="AE55:AE64" si="2">ROUND(SUM(G55:AC55),5)</f>
        <v>2688.18</v>
      </c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1880.54</v>
      </c>
      <c r="H56" s="3"/>
      <c r="I56" s="2">
        <v>1585.5</v>
      </c>
      <c r="J56" s="3"/>
      <c r="K56" s="2">
        <v>869.65</v>
      </c>
      <c r="L56" s="3"/>
      <c r="M56" s="2">
        <v>2260.2399999999998</v>
      </c>
      <c r="N56" s="3"/>
      <c r="O56" s="2">
        <v>4978.87</v>
      </c>
      <c r="P56" s="3"/>
      <c r="Q56" s="2">
        <v>3899.75</v>
      </c>
      <c r="R56" s="3"/>
      <c r="S56" s="2">
        <v>3405.5</v>
      </c>
      <c r="T56" s="3"/>
      <c r="U56" s="2">
        <v>2825.92</v>
      </c>
      <c r="V56" s="3"/>
      <c r="W56" s="2">
        <v>2053.0100000000002</v>
      </c>
      <c r="X56" s="3"/>
      <c r="Y56" s="2">
        <v>1494.67</v>
      </c>
      <c r="Z56" s="3"/>
      <c r="AA56" s="2">
        <v>1433.86</v>
      </c>
      <c r="AB56" s="3"/>
      <c r="AC56" s="2">
        <v>1452.88</v>
      </c>
      <c r="AD56" s="3"/>
      <c r="AE56" s="2">
        <f t="shared" si="2"/>
        <v>28140.39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10832.58</v>
      </c>
      <c r="H57" s="3"/>
      <c r="I57" s="2">
        <v>11022.07</v>
      </c>
      <c r="J57" s="3"/>
      <c r="K57" s="2">
        <v>10652.36</v>
      </c>
      <c r="L57" s="3"/>
      <c r="M57" s="2">
        <v>11088.53</v>
      </c>
      <c r="N57" s="3"/>
      <c r="O57" s="2">
        <v>11369.7</v>
      </c>
      <c r="P57" s="3"/>
      <c r="Q57" s="2">
        <v>10221.719999999999</v>
      </c>
      <c r="R57" s="3"/>
      <c r="S57" s="2">
        <v>11890.25</v>
      </c>
      <c r="T57" s="3"/>
      <c r="U57" s="2">
        <v>11773.87</v>
      </c>
      <c r="V57" s="3"/>
      <c r="W57" s="2">
        <v>11921.89</v>
      </c>
      <c r="X57" s="3"/>
      <c r="Y57" s="2">
        <v>11672.06</v>
      </c>
      <c r="Z57" s="3"/>
      <c r="AA57" s="2">
        <v>12232.45</v>
      </c>
      <c r="AB57" s="3"/>
      <c r="AC57" s="2">
        <v>12328.79</v>
      </c>
      <c r="AD57" s="3"/>
      <c r="AE57" s="2">
        <f t="shared" si="2"/>
        <v>137006.26999999999</v>
      </c>
    </row>
    <row r="58" spans="1:31" x14ac:dyDescent="0.25">
      <c r="A58" s="1"/>
      <c r="B58" s="1"/>
      <c r="C58" s="1"/>
      <c r="D58" s="1"/>
      <c r="E58" s="1"/>
      <c r="F58" s="1" t="s">
        <v>57</v>
      </c>
      <c r="G58" s="2">
        <v>5614.58</v>
      </c>
      <c r="H58" s="3"/>
      <c r="I58" s="2">
        <v>3371.15</v>
      </c>
      <c r="J58" s="3"/>
      <c r="K58" s="2">
        <v>-567</v>
      </c>
      <c r="L58" s="3"/>
      <c r="M58" s="2">
        <v>-284.52999999999997</v>
      </c>
      <c r="N58" s="3"/>
      <c r="O58" s="2">
        <v>1764.24</v>
      </c>
      <c r="P58" s="3"/>
      <c r="Q58" s="2">
        <v>1764.24</v>
      </c>
      <c r="R58" s="3"/>
      <c r="S58" s="2">
        <v>1764.24</v>
      </c>
      <c r="T58" s="3"/>
      <c r="U58" s="2">
        <v>1480.74</v>
      </c>
      <c r="V58" s="3"/>
      <c r="W58" s="2">
        <v>1764.24</v>
      </c>
      <c r="X58" s="3"/>
      <c r="Y58" s="2">
        <v>1740.69</v>
      </c>
      <c r="Z58" s="3"/>
      <c r="AA58" s="2">
        <v>1304.02</v>
      </c>
      <c r="AB58" s="3"/>
      <c r="AC58" s="2">
        <v>825.63</v>
      </c>
      <c r="AD58" s="3"/>
      <c r="AE58" s="2">
        <f t="shared" si="2"/>
        <v>20542.240000000002</v>
      </c>
    </row>
    <row r="59" spans="1:31" x14ac:dyDescent="0.25">
      <c r="A59" s="1"/>
      <c r="B59" s="1"/>
      <c r="C59" s="1"/>
      <c r="D59" s="1"/>
      <c r="E59" s="1"/>
      <c r="F59" s="1" t="s">
        <v>58</v>
      </c>
      <c r="G59" s="2">
        <v>118.14</v>
      </c>
      <c r="H59" s="3"/>
      <c r="I59" s="2">
        <v>118.14</v>
      </c>
      <c r="J59" s="3"/>
      <c r="K59" s="2">
        <v>0</v>
      </c>
      <c r="L59" s="3"/>
      <c r="M59" s="2">
        <v>0</v>
      </c>
      <c r="N59" s="3"/>
      <c r="O59" s="2">
        <v>0</v>
      </c>
      <c r="P59" s="3"/>
      <c r="Q59" s="2">
        <v>254.72</v>
      </c>
      <c r="R59" s="3"/>
      <c r="S59" s="2">
        <v>0</v>
      </c>
      <c r="T59" s="3"/>
      <c r="U59" s="2">
        <v>0</v>
      </c>
      <c r="V59" s="3"/>
      <c r="W59" s="2">
        <v>254.72</v>
      </c>
      <c r="X59" s="3"/>
      <c r="Y59" s="2">
        <v>0</v>
      </c>
      <c r="Z59" s="3"/>
      <c r="AA59" s="2">
        <v>254.72</v>
      </c>
      <c r="AB59" s="3"/>
      <c r="AC59" s="2">
        <v>0</v>
      </c>
      <c r="AD59" s="3"/>
      <c r="AE59" s="2">
        <f t="shared" si="2"/>
        <v>1000.44</v>
      </c>
    </row>
    <row r="60" spans="1:31" x14ac:dyDescent="0.25">
      <c r="A60" s="1"/>
      <c r="B60" s="1"/>
      <c r="C60" s="1"/>
      <c r="D60" s="1"/>
      <c r="E60" s="1"/>
      <c r="F60" s="1" t="s">
        <v>59</v>
      </c>
      <c r="G60" s="2">
        <v>0</v>
      </c>
      <c r="H60" s="3"/>
      <c r="I60" s="2">
        <v>0</v>
      </c>
      <c r="J60" s="3"/>
      <c r="K60" s="2">
        <v>0</v>
      </c>
      <c r="L60" s="3"/>
      <c r="M60" s="2">
        <v>0</v>
      </c>
      <c r="N60" s="3"/>
      <c r="O60" s="2">
        <v>0</v>
      </c>
      <c r="P60" s="3"/>
      <c r="Q60" s="2">
        <v>0</v>
      </c>
      <c r="R60" s="3"/>
      <c r="S60" s="2">
        <v>0</v>
      </c>
      <c r="T60" s="3"/>
      <c r="U60" s="2">
        <v>0</v>
      </c>
      <c r="V60" s="3"/>
      <c r="W60" s="2">
        <v>0</v>
      </c>
      <c r="X60" s="3"/>
      <c r="Y60" s="2">
        <v>0</v>
      </c>
      <c r="Z60" s="3"/>
      <c r="AA60" s="2">
        <v>0</v>
      </c>
      <c r="AB60" s="3"/>
      <c r="AC60" s="2">
        <v>0</v>
      </c>
      <c r="AD60" s="3"/>
      <c r="AE60" s="2">
        <f t="shared" si="2"/>
        <v>0</v>
      </c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1149.8399999999999</v>
      </c>
      <c r="H61" s="3"/>
      <c r="I61" s="2">
        <v>1149.8399999999999</v>
      </c>
      <c r="J61" s="3"/>
      <c r="K61" s="2">
        <v>1149.8399999999999</v>
      </c>
      <c r="L61" s="3"/>
      <c r="M61" s="2">
        <v>0</v>
      </c>
      <c r="N61" s="3"/>
      <c r="O61" s="2">
        <v>0</v>
      </c>
      <c r="P61" s="3"/>
      <c r="Q61" s="2">
        <v>0</v>
      </c>
      <c r="R61" s="3"/>
      <c r="S61" s="2">
        <v>0</v>
      </c>
      <c r="T61" s="3"/>
      <c r="U61" s="2">
        <v>0</v>
      </c>
      <c r="V61" s="3"/>
      <c r="W61" s="2">
        <v>0</v>
      </c>
      <c r="X61" s="3"/>
      <c r="Y61" s="2">
        <v>0</v>
      </c>
      <c r="Z61" s="3"/>
      <c r="AA61" s="2">
        <v>0</v>
      </c>
      <c r="AB61" s="3"/>
      <c r="AC61" s="2">
        <v>0</v>
      </c>
      <c r="AD61" s="3"/>
      <c r="AE61" s="2">
        <f t="shared" si="2"/>
        <v>3449.52</v>
      </c>
    </row>
    <row r="62" spans="1:31" x14ac:dyDescent="0.25">
      <c r="A62" s="1"/>
      <c r="B62" s="1"/>
      <c r="C62" s="1"/>
      <c r="D62" s="1"/>
      <c r="E62" s="1"/>
      <c r="F62" s="1" t="s">
        <v>61</v>
      </c>
      <c r="G62" s="2">
        <v>3542.82</v>
      </c>
      <c r="H62" s="3"/>
      <c r="I62" s="2">
        <v>3307.85</v>
      </c>
      <c r="J62" s="3"/>
      <c r="K62" s="2">
        <v>1135.28</v>
      </c>
      <c r="L62" s="3"/>
      <c r="M62" s="2">
        <v>3204.03</v>
      </c>
      <c r="N62" s="3"/>
      <c r="O62" s="2">
        <v>4102.07</v>
      </c>
      <c r="P62" s="3"/>
      <c r="Q62" s="2">
        <v>1401.2</v>
      </c>
      <c r="R62" s="3"/>
      <c r="S62" s="2">
        <v>3537</v>
      </c>
      <c r="T62" s="3"/>
      <c r="U62" s="2">
        <v>3499.02</v>
      </c>
      <c r="V62" s="3"/>
      <c r="W62" s="2">
        <v>0</v>
      </c>
      <c r="X62" s="3"/>
      <c r="Y62" s="2">
        <v>0</v>
      </c>
      <c r="Z62" s="3"/>
      <c r="AA62" s="2">
        <v>0</v>
      </c>
      <c r="AB62" s="3"/>
      <c r="AC62" s="2">
        <v>886</v>
      </c>
      <c r="AD62" s="3"/>
      <c r="AE62" s="2">
        <f t="shared" si="2"/>
        <v>24615.27</v>
      </c>
    </row>
    <row r="63" spans="1:31" ht="15.75" thickBot="1" x14ac:dyDescent="0.3">
      <c r="A63" s="1"/>
      <c r="B63" s="1"/>
      <c r="C63" s="1"/>
      <c r="D63" s="1"/>
      <c r="E63" s="1"/>
      <c r="F63" s="1" t="s">
        <v>62</v>
      </c>
      <c r="G63" s="6">
        <v>4022.9</v>
      </c>
      <c r="H63" s="3"/>
      <c r="I63" s="6">
        <v>0</v>
      </c>
      <c r="J63" s="3"/>
      <c r="K63" s="6">
        <v>2396.92</v>
      </c>
      <c r="L63" s="3"/>
      <c r="M63" s="6">
        <v>11663.9</v>
      </c>
      <c r="N63" s="3"/>
      <c r="O63" s="6">
        <v>2690.8</v>
      </c>
      <c r="P63" s="3"/>
      <c r="Q63" s="6">
        <v>0</v>
      </c>
      <c r="R63" s="3"/>
      <c r="S63" s="6">
        <v>0</v>
      </c>
      <c r="T63" s="3"/>
      <c r="U63" s="6">
        <v>0</v>
      </c>
      <c r="V63" s="3"/>
      <c r="W63" s="6">
        <v>0</v>
      </c>
      <c r="X63" s="3"/>
      <c r="Y63" s="6">
        <v>0</v>
      </c>
      <c r="Z63" s="3"/>
      <c r="AA63" s="6">
        <v>0</v>
      </c>
      <c r="AB63" s="3"/>
      <c r="AC63" s="6">
        <v>0</v>
      </c>
      <c r="AD63" s="3"/>
      <c r="AE63" s="6">
        <f t="shared" si="2"/>
        <v>20774.52</v>
      </c>
    </row>
    <row r="64" spans="1:31" x14ac:dyDescent="0.25">
      <c r="A64" s="1"/>
      <c r="B64" s="1"/>
      <c r="C64" s="1"/>
      <c r="D64" s="1"/>
      <c r="E64" s="1" t="s">
        <v>63</v>
      </c>
      <c r="F64" s="1"/>
      <c r="G64" s="2">
        <f>ROUND(SUM(G54:G63),5)</f>
        <v>27285.43</v>
      </c>
      <c r="H64" s="3"/>
      <c r="I64" s="2">
        <f>ROUND(SUM(I54:I63),5)</f>
        <v>20636.169999999998</v>
      </c>
      <c r="J64" s="3"/>
      <c r="K64" s="2">
        <f>ROUND(SUM(K54:K63),5)</f>
        <v>15699.84</v>
      </c>
      <c r="L64" s="3"/>
      <c r="M64" s="2">
        <f>ROUND(SUM(M54:M63),5)</f>
        <v>28288.86</v>
      </c>
      <c r="N64" s="3"/>
      <c r="O64" s="2">
        <f>ROUND(SUM(O54:O63),5)</f>
        <v>25664.57</v>
      </c>
      <c r="P64" s="3"/>
      <c r="Q64" s="2">
        <f>ROUND(SUM(Q54:Q63),5)</f>
        <v>17983.509999999998</v>
      </c>
      <c r="R64" s="3"/>
      <c r="S64" s="2">
        <f>ROUND(SUM(S54:S63),5)</f>
        <v>20856.66</v>
      </c>
      <c r="T64" s="3"/>
      <c r="U64" s="2">
        <f>ROUND(SUM(U54:U63),5)</f>
        <v>19722.22</v>
      </c>
      <c r="V64" s="3"/>
      <c r="W64" s="2">
        <f>ROUND(SUM(W54:W63),5)</f>
        <v>16099.79</v>
      </c>
      <c r="X64" s="3"/>
      <c r="Y64" s="2">
        <f>ROUND(SUM(Y54:Y63),5)</f>
        <v>15013.53</v>
      </c>
      <c r="Z64" s="3"/>
      <c r="AA64" s="2">
        <f>ROUND(SUM(AA54:AA63),5)</f>
        <v>15350.76</v>
      </c>
      <c r="AB64" s="3"/>
      <c r="AC64" s="2">
        <f>ROUND(SUM(AC54:AC63),5)</f>
        <v>15615.49</v>
      </c>
      <c r="AD64" s="3"/>
      <c r="AE64" s="2">
        <f t="shared" si="2"/>
        <v>238216.83</v>
      </c>
    </row>
    <row r="65" spans="1:31" x14ac:dyDescent="0.25">
      <c r="A65" s="1"/>
      <c r="B65" s="1"/>
      <c r="C65" s="1"/>
      <c r="D65" s="1"/>
      <c r="E65" s="1" t="s">
        <v>64</v>
      </c>
      <c r="F65" s="1"/>
      <c r="G65" s="2"/>
      <c r="H65" s="3"/>
      <c r="I65" s="2"/>
      <c r="J65" s="3"/>
      <c r="K65" s="2"/>
      <c r="L65" s="3"/>
      <c r="M65" s="2"/>
      <c r="N65" s="3"/>
      <c r="O65" s="2"/>
      <c r="P65" s="3"/>
      <c r="Q65" s="2"/>
      <c r="R65" s="3"/>
      <c r="S65" s="2"/>
      <c r="T65" s="3"/>
      <c r="U65" s="2"/>
      <c r="V65" s="3"/>
      <c r="W65" s="2"/>
      <c r="X65" s="3"/>
      <c r="Y65" s="2"/>
      <c r="Z65" s="3"/>
      <c r="AA65" s="2"/>
      <c r="AB65" s="3"/>
      <c r="AC65" s="2"/>
      <c r="AD65" s="3"/>
      <c r="AE65" s="2"/>
    </row>
    <row r="66" spans="1:31" x14ac:dyDescent="0.25">
      <c r="A66" s="1"/>
      <c r="B66" s="1"/>
      <c r="C66" s="1"/>
      <c r="D66" s="1"/>
      <c r="E66" s="1"/>
      <c r="F66" s="1" t="s">
        <v>65</v>
      </c>
      <c r="G66" s="2">
        <v>11760.83</v>
      </c>
      <c r="H66" s="3"/>
      <c r="I66" s="2">
        <v>12567.46</v>
      </c>
      <c r="J66" s="3"/>
      <c r="K66" s="2">
        <v>12111.78</v>
      </c>
      <c r="L66" s="3"/>
      <c r="M66" s="2">
        <v>12264.13</v>
      </c>
      <c r="N66" s="3"/>
      <c r="O66" s="2">
        <v>12667.35</v>
      </c>
      <c r="P66" s="3"/>
      <c r="Q66" s="2">
        <v>11468.08</v>
      </c>
      <c r="R66" s="3"/>
      <c r="S66" s="2">
        <v>12623.27</v>
      </c>
      <c r="T66" s="3"/>
      <c r="U66" s="2">
        <v>12779.94</v>
      </c>
      <c r="V66" s="3"/>
      <c r="W66" s="2">
        <v>13142.99</v>
      </c>
      <c r="X66" s="3"/>
      <c r="Y66" s="2">
        <v>13185.9</v>
      </c>
      <c r="Z66" s="3"/>
      <c r="AA66" s="2">
        <v>12835.28</v>
      </c>
      <c r="AB66" s="3"/>
      <c r="AC66" s="2">
        <v>13564.17</v>
      </c>
      <c r="AD66" s="3"/>
      <c r="AE66" s="2">
        <f t="shared" ref="AE66:AE75" si="3">ROUND(SUM(G66:AC66),5)</f>
        <v>150971.18</v>
      </c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3771.43</v>
      </c>
      <c r="H67" s="3"/>
      <c r="I67" s="2">
        <v>3897.15</v>
      </c>
      <c r="J67" s="3"/>
      <c r="K67" s="2">
        <v>3771.42</v>
      </c>
      <c r="L67" s="3"/>
      <c r="M67" s="2">
        <v>3620.58</v>
      </c>
      <c r="N67" s="3"/>
      <c r="O67" s="2">
        <v>3821.71</v>
      </c>
      <c r="P67" s="3"/>
      <c r="Q67" s="2">
        <v>3520</v>
      </c>
      <c r="R67" s="3"/>
      <c r="S67" s="2">
        <v>3897.14</v>
      </c>
      <c r="T67" s="3"/>
      <c r="U67" s="2">
        <v>3771.43</v>
      </c>
      <c r="V67" s="3"/>
      <c r="W67" s="2">
        <v>3947.43</v>
      </c>
      <c r="X67" s="3"/>
      <c r="Y67" s="2">
        <v>3809.14</v>
      </c>
      <c r="Z67" s="3"/>
      <c r="AA67" s="2">
        <v>3897.15</v>
      </c>
      <c r="AB67" s="3"/>
      <c r="AC67" s="2">
        <v>3930.85</v>
      </c>
      <c r="AD67" s="3"/>
      <c r="AE67" s="2">
        <f t="shared" si="3"/>
        <v>45655.43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10876.49</v>
      </c>
      <c r="H68" s="3"/>
      <c r="I68" s="2">
        <v>8864.73</v>
      </c>
      <c r="J68" s="3"/>
      <c r="K68" s="2">
        <v>11545.56</v>
      </c>
      <c r="L68" s="3"/>
      <c r="M68" s="2">
        <v>11660.58</v>
      </c>
      <c r="N68" s="3"/>
      <c r="O68" s="2">
        <v>9883.7900000000009</v>
      </c>
      <c r="P68" s="3"/>
      <c r="Q68" s="2">
        <v>10081.26</v>
      </c>
      <c r="R68" s="3"/>
      <c r="S68" s="2">
        <v>10632.91</v>
      </c>
      <c r="T68" s="3"/>
      <c r="U68" s="2">
        <v>9199.73</v>
      </c>
      <c r="V68" s="3"/>
      <c r="W68" s="2">
        <v>14057.49</v>
      </c>
      <c r="X68" s="3"/>
      <c r="Y68" s="2">
        <v>11502.18</v>
      </c>
      <c r="Z68" s="3"/>
      <c r="AA68" s="2">
        <v>10742.56</v>
      </c>
      <c r="AB68" s="3"/>
      <c r="AC68" s="2">
        <v>11532.44</v>
      </c>
      <c r="AD68" s="3"/>
      <c r="AE68" s="2">
        <f t="shared" si="3"/>
        <v>130579.72</v>
      </c>
    </row>
    <row r="69" spans="1:31" x14ac:dyDescent="0.25">
      <c r="A69" s="1"/>
      <c r="B69" s="1"/>
      <c r="C69" s="1"/>
      <c r="D69" s="1"/>
      <c r="E69" s="1"/>
      <c r="F69" s="1" t="s">
        <v>68</v>
      </c>
      <c r="G69" s="2">
        <v>0</v>
      </c>
      <c r="H69" s="3"/>
      <c r="I69" s="2">
        <v>0</v>
      </c>
      <c r="J69" s="3"/>
      <c r="K69" s="2">
        <v>224.98</v>
      </c>
      <c r="L69" s="3"/>
      <c r="M69" s="2">
        <v>0</v>
      </c>
      <c r="N69" s="3"/>
      <c r="O69" s="2">
        <v>0</v>
      </c>
      <c r="P69" s="3"/>
      <c r="Q69" s="2">
        <v>0</v>
      </c>
      <c r="R69" s="3"/>
      <c r="S69" s="2">
        <v>96.53</v>
      </c>
      <c r="T69" s="3"/>
      <c r="U69" s="2">
        <v>270.87</v>
      </c>
      <c r="V69" s="3"/>
      <c r="W69" s="2">
        <v>0</v>
      </c>
      <c r="X69" s="3"/>
      <c r="Y69" s="2">
        <v>0</v>
      </c>
      <c r="Z69" s="3"/>
      <c r="AA69" s="2">
        <v>0</v>
      </c>
      <c r="AB69" s="3"/>
      <c r="AC69" s="2">
        <v>95.45</v>
      </c>
      <c r="AD69" s="3"/>
      <c r="AE69" s="2">
        <f t="shared" si="3"/>
        <v>687.83</v>
      </c>
    </row>
    <row r="70" spans="1:31" x14ac:dyDescent="0.25">
      <c r="A70" s="1"/>
      <c r="B70" s="1"/>
      <c r="C70" s="1"/>
      <c r="D70" s="1"/>
      <c r="E70" s="1"/>
      <c r="F70" s="1" t="s">
        <v>69</v>
      </c>
      <c r="G70" s="2">
        <v>237.68</v>
      </c>
      <c r="H70" s="3"/>
      <c r="I70" s="2">
        <v>0</v>
      </c>
      <c r="J70" s="3"/>
      <c r="K70" s="2">
        <v>0</v>
      </c>
      <c r="L70" s="3"/>
      <c r="M70" s="2">
        <v>0</v>
      </c>
      <c r="N70" s="3"/>
      <c r="O70" s="2">
        <v>0</v>
      </c>
      <c r="P70" s="3"/>
      <c r="Q70" s="2">
        <v>0</v>
      </c>
      <c r="R70" s="3"/>
      <c r="S70" s="2">
        <v>36.75</v>
      </c>
      <c r="T70" s="3"/>
      <c r="U70" s="2">
        <v>36.75</v>
      </c>
      <c r="V70" s="3"/>
      <c r="W70" s="2">
        <v>266.08999999999997</v>
      </c>
      <c r="X70" s="3"/>
      <c r="Y70" s="2">
        <v>75.709999999999994</v>
      </c>
      <c r="Z70" s="3"/>
      <c r="AA70" s="2">
        <v>0</v>
      </c>
      <c r="AB70" s="3"/>
      <c r="AC70" s="2">
        <v>278.35000000000002</v>
      </c>
      <c r="AD70" s="3"/>
      <c r="AE70" s="2">
        <f t="shared" si="3"/>
        <v>931.33</v>
      </c>
    </row>
    <row r="71" spans="1:31" x14ac:dyDescent="0.25">
      <c r="A71" s="1"/>
      <c r="B71" s="1"/>
      <c r="C71" s="1"/>
      <c r="D71" s="1"/>
      <c r="E71" s="1"/>
      <c r="F71" s="1" t="s">
        <v>70</v>
      </c>
      <c r="G71" s="2">
        <v>423.5</v>
      </c>
      <c r="H71" s="3"/>
      <c r="I71" s="2">
        <v>1199.4000000000001</v>
      </c>
      <c r="J71" s="3"/>
      <c r="K71" s="2">
        <v>748.63</v>
      </c>
      <c r="L71" s="3"/>
      <c r="M71" s="2">
        <v>1118.6099999999999</v>
      </c>
      <c r="N71" s="3"/>
      <c r="O71" s="2">
        <v>1804.11</v>
      </c>
      <c r="P71" s="3"/>
      <c r="Q71" s="2">
        <v>992.9</v>
      </c>
      <c r="R71" s="3"/>
      <c r="S71" s="2">
        <v>722.13</v>
      </c>
      <c r="T71" s="3"/>
      <c r="U71" s="2">
        <v>546.1</v>
      </c>
      <c r="V71" s="3"/>
      <c r="W71" s="2">
        <v>713.85</v>
      </c>
      <c r="X71" s="3"/>
      <c r="Y71" s="2">
        <v>1312.16</v>
      </c>
      <c r="Z71" s="3"/>
      <c r="AA71" s="2">
        <v>1322.64</v>
      </c>
      <c r="AB71" s="3"/>
      <c r="AC71" s="2">
        <v>1260.07</v>
      </c>
      <c r="AD71" s="3"/>
      <c r="AE71" s="2">
        <f t="shared" si="3"/>
        <v>12164.1</v>
      </c>
    </row>
    <row r="72" spans="1:31" x14ac:dyDescent="0.25">
      <c r="A72" s="1"/>
      <c r="B72" s="1"/>
      <c r="C72" s="1"/>
      <c r="D72" s="1"/>
      <c r="E72" s="1"/>
      <c r="F72" s="1" t="s">
        <v>71</v>
      </c>
      <c r="G72" s="2">
        <v>588.41999999999996</v>
      </c>
      <c r="H72" s="3"/>
      <c r="I72" s="2">
        <v>464.36</v>
      </c>
      <c r="J72" s="3"/>
      <c r="K72" s="2">
        <v>85.8</v>
      </c>
      <c r="L72" s="3"/>
      <c r="M72" s="2">
        <v>556.20000000000005</v>
      </c>
      <c r="N72" s="3"/>
      <c r="O72" s="2">
        <v>85.8</v>
      </c>
      <c r="P72" s="3"/>
      <c r="Q72" s="2">
        <v>774.91</v>
      </c>
      <c r="R72" s="3"/>
      <c r="S72" s="2">
        <v>577.29</v>
      </c>
      <c r="T72" s="3"/>
      <c r="U72" s="2">
        <v>609.01</v>
      </c>
      <c r="V72" s="3"/>
      <c r="W72" s="2">
        <v>1180.32</v>
      </c>
      <c r="X72" s="3"/>
      <c r="Y72" s="2">
        <v>85.8</v>
      </c>
      <c r="Z72" s="3"/>
      <c r="AA72" s="2">
        <v>85.8</v>
      </c>
      <c r="AB72" s="3"/>
      <c r="AC72" s="2">
        <v>85.8</v>
      </c>
      <c r="AD72" s="3"/>
      <c r="AE72" s="2">
        <f t="shared" si="3"/>
        <v>5179.51</v>
      </c>
    </row>
    <row r="73" spans="1:31" x14ac:dyDescent="0.25">
      <c r="A73" s="1"/>
      <c r="B73" s="1"/>
      <c r="C73" s="1"/>
      <c r="D73" s="1"/>
      <c r="E73" s="1"/>
      <c r="F73" s="1" t="s">
        <v>72</v>
      </c>
      <c r="G73" s="2">
        <v>0</v>
      </c>
      <c r="H73" s="3"/>
      <c r="I73" s="2">
        <v>0</v>
      </c>
      <c r="J73" s="3"/>
      <c r="K73" s="2">
        <v>0</v>
      </c>
      <c r="L73" s="3"/>
      <c r="M73" s="2">
        <v>0</v>
      </c>
      <c r="N73" s="3"/>
      <c r="O73" s="2">
        <v>0</v>
      </c>
      <c r="P73" s="3"/>
      <c r="Q73" s="2">
        <v>0</v>
      </c>
      <c r="R73" s="3"/>
      <c r="S73" s="2">
        <v>0</v>
      </c>
      <c r="T73" s="3"/>
      <c r="U73" s="2">
        <v>0</v>
      </c>
      <c r="V73" s="3"/>
      <c r="W73" s="2">
        <v>0</v>
      </c>
      <c r="X73" s="3"/>
      <c r="Y73" s="2">
        <v>579.67999999999995</v>
      </c>
      <c r="Z73" s="3"/>
      <c r="AA73" s="2">
        <v>0</v>
      </c>
      <c r="AB73" s="3"/>
      <c r="AC73" s="2">
        <v>0</v>
      </c>
      <c r="AD73" s="3"/>
      <c r="AE73" s="2">
        <f t="shared" si="3"/>
        <v>579.67999999999995</v>
      </c>
    </row>
    <row r="74" spans="1:31" ht="15.75" thickBot="1" x14ac:dyDescent="0.3">
      <c r="A74" s="1"/>
      <c r="B74" s="1"/>
      <c r="C74" s="1"/>
      <c r="D74" s="1"/>
      <c r="E74" s="1"/>
      <c r="F74" s="1" t="s">
        <v>73</v>
      </c>
      <c r="G74" s="6">
        <v>504</v>
      </c>
      <c r="H74" s="3"/>
      <c r="I74" s="6">
        <v>1008</v>
      </c>
      <c r="J74" s="3"/>
      <c r="K74" s="6">
        <v>504</v>
      </c>
      <c r="L74" s="3"/>
      <c r="M74" s="6">
        <v>504</v>
      </c>
      <c r="N74" s="3"/>
      <c r="O74" s="6">
        <v>504</v>
      </c>
      <c r="P74" s="3"/>
      <c r="Q74" s="6">
        <v>504</v>
      </c>
      <c r="R74" s="3"/>
      <c r="S74" s="6">
        <v>504</v>
      </c>
      <c r="T74" s="3"/>
      <c r="U74" s="6">
        <v>504</v>
      </c>
      <c r="V74" s="3"/>
      <c r="W74" s="6">
        <v>504</v>
      </c>
      <c r="X74" s="3"/>
      <c r="Y74" s="6">
        <v>504</v>
      </c>
      <c r="Z74" s="3"/>
      <c r="AA74" s="6">
        <v>504</v>
      </c>
      <c r="AB74" s="3"/>
      <c r="AC74" s="6">
        <v>504</v>
      </c>
      <c r="AD74" s="3"/>
      <c r="AE74" s="6">
        <f t="shared" si="3"/>
        <v>6552</v>
      </c>
    </row>
    <row r="75" spans="1:31" x14ac:dyDescent="0.25">
      <c r="A75" s="1"/>
      <c r="B75" s="1"/>
      <c r="C75" s="1"/>
      <c r="D75" s="1"/>
      <c r="E75" s="1" t="s">
        <v>74</v>
      </c>
      <c r="F75" s="1"/>
      <c r="G75" s="2">
        <f>ROUND(SUM(G65:G74),5)</f>
        <v>28162.35</v>
      </c>
      <c r="H75" s="3"/>
      <c r="I75" s="2">
        <f>ROUND(SUM(I65:I74),5)</f>
        <v>28001.1</v>
      </c>
      <c r="J75" s="3"/>
      <c r="K75" s="2">
        <f>ROUND(SUM(K65:K74),5)</f>
        <v>28992.17</v>
      </c>
      <c r="L75" s="3"/>
      <c r="M75" s="2">
        <f>ROUND(SUM(M65:M74),5)</f>
        <v>29724.1</v>
      </c>
      <c r="N75" s="3"/>
      <c r="O75" s="2">
        <f>ROUND(SUM(O65:O74),5)</f>
        <v>28766.76</v>
      </c>
      <c r="P75" s="3"/>
      <c r="Q75" s="2">
        <f>ROUND(SUM(Q65:Q74),5)</f>
        <v>27341.15</v>
      </c>
      <c r="R75" s="3"/>
      <c r="S75" s="2">
        <f>ROUND(SUM(S65:S74),5)</f>
        <v>29090.02</v>
      </c>
      <c r="T75" s="3"/>
      <c r="U75" s="2">
        <f>ROUND(SUM(U65:U74),5)</f>
        <v>27717.83</v>
      </c>
      <c r="V75" s="3"/>
      <c r="W75" s="2">
        <f>ROUND(SUM(W65:W74),5)</f>
        <v>33812.17</v>
      </c>
      <c r="X75" s="3"/>
      <c r="Y75" s="2">
        <f>ROUND(SUM(Y65:Y74),5)</f>
        <v>31054.57</v>
      </c>
      <c r="Z75" s="3"/>
      <c r="AA75" s="2">
        <f>ROUND(SUM(AA65:AA74),5)</f>
        <v>29387.43</v>
      </c>
      <c r="AB75" s="3"/>
      <c r="AC75" s="2">
        <f>ROUND(SUM(AC65:AC74),5)</f>
        <v>31251.13</v>
      </c>
      <c r="AD75" s="3"/>
      <c r="AE75" s="2">
        <f t="shared" si="3"/>
        <v>353300.78</v>
      </c>
    </row>
    <row r="76" spans="1:31" x14ac:dyDescent="0.25">
      <c r="A76" s="1"/>
      <c r="B76" s="1"/>
      <c r="C76" s="1"/>
      <c r="D76" s="1"/>
      <c r="E76" s="1" t="s">
        <v>75</v>
      </c>
      <c r="F76" s="1"/>
      <c r="G76" s="2"/>
      <c r="H76" s="3"/>
      <c r="I76" s="2"/>
      <c r="J76" s="3"/>
      <c r="K76" s="2"/>
      <c r="L76" s="3"/>
      <c r="M76" s="2"/>
      <c r="N76" s="3"/>
      <c r="O76" s="2"/>
      <c r="P76" s="3"/>
      <c r="Q76" s="2"/>
      <c r="R76" s="3"/>
      <c r="S76" s="2"/>
      <c r="T76" s="3"/>
      <c r="U76" s="2"/>
      <c r="V76" s="3"/>
      <c r="W76" s="2"/>
      <c r="X76" s="3"/>
      <c r="Y76" s="2"/>
      <c r="Z76" s="3"/>
      <c r="AA76" s="2"/>
      <c r="AB76" s="3"/>
      <c r="AC76" s="2"/>
      <c r="AD76" s="3"/>
      <c r="AE76" s="2"/>
    </row>
    <row r="77" spans="1:31" x14ac:dyDescent="0.25">
      <c r="A77" s="1"/>
      <c r="B77" s="1"/>
      <c r="C77" s="1"/>
      <c r="D77" s="1"/>
      <c r="E77" s="1"/>
      <c r="F77" s="1" t="s">
        <v>76</v>
      </c>
      <c r="G77" s="2">
        <v>3868.63</v>
      </c>
      <c r="H77" s="3"/>
      <c r="I77" s="2">
        <v>4047.92</v>
      </c>
      <c r="J77" s="3"/>
      <c r="K77" s="2">
        <v>2986.74</v>
      </c>
      <c r="L77" s="3"/>
      <c r="M77" s="2">
        <v>3444.66</v>
      </c>
      <c r="N77" s="3"/>
      <c r="O77" s="2">
        <v>3718.39</v>
      </c>
      <c r="P77" s="3"/>
      <c r="Q77" s="2">
        <v>3551</v>
      </c>
      <c r="R77" s="3"/>
      <c r="S77" s="2">
        <v>3841.44</v>
      </c>
      <c r="T77" s="3"/>
      <c r="U77" s="2">
        <v>3684.8</v>
      </c>
      <c r="V77" s="3"/>
      <c r="W77" s="2">
        <v>3664.64</v>
      </c>
      <c r="X77" s="3"/>
      <c r="Y77" s="2">
        <v>3649.3</v>
      </c>
      <c r="Z77" s="3"/>
      <c r="AA77" s="2">
        <v>3794.72</v>
      </c>
      <c r="AB77" s="3"/>
      <c r="AC77" s="2">
        <v>3935.44</v>
      </c>
      <c r="AD77" s="3"/>
      <c r="AE77" s="2">
        <f t="shared" ref="AE77:AE85" si="4">ROUND(SUM(G77:AC77),5)</f>
        <v>44187.68</v>
      </c>
    </row>
    <row r="78" spans="1:31" x14ac:dyDescent="0.25">
      <c r="A78" s="1"/>
      <c r="B78" s="1"/>
      <c r="C78" s="1"/>
      <c r="D78" s="1"/>
      <c r="E78" s="1"/>
      <c r="F78" s="1" t="s">
        <v>77</v>
      </c>
      <c r="G78" s="2">
        <v>12087.52</v>
      </c>
      <c r="H78" s="3"/>
      <c r="I78" s="2">
        <v>13841.41</v>
      </c>
      <c r="J78" s="3"/>
      <c r="K78" s="2">
        <v>13467.52</v>
      </c>
      <c r="L78" s="3"/>
      <c r="M78" s="2">
        <v>13065.15</v>
      </c>
      <c r="N78" s="3"/>
      <c r="O78" s="2">
        <v>12313.03</v>
      </c>
      <c r="P78" s="3"/>
      <c r="Q78" s="2">
        <v>12651.99</v>
      </c>
      <c r="R78" s="3"/>
      <c r="S78" s="2">
        <v>15829.84</v>
      </c>
      <c r="T78" s="3"/>
      <c r="U78" s="2">
        <v>15727.47</v>
      </c>
      <c r="V78" s="3"/>
      <c r="W78" s="2">
        <v>16074.79</v>
      </c>
      <c r="X78" s="3"/>
      <c r="Y78" s="2">
        <v>15719.28</v>
      </c>
      <c r="Z78" s="3"/>
      <c r="AA78" s="2">
        <v>16451.75</v>
      </c>
      <c r="AB78" s="3"/>
      <c r="AC78" s="2">
        <v>16506.07</v>
      </c>
      <c r="AD78" s="3"/>
      <c r="AE78" s="2">
        <f t="shared" si="4"/>
        <v>173735.82</v>
      </c>
    </row>
    <row r="79" spans="1:31" x14ac:dyDescent="0.25">
      <c r="A79" s="1"/>
      <c r="B79" s="1"/>
      <c r="C79" s="1"/>
      <c r="D79" s="1"/>
      <c r="E79" s="1"/>
      <c r="F79" s="1" t="s">
        <v>78</v>
      </c>
      <c r="G79" s="2">
        <v>0</v>
      </c>
      <c r="H79" s="3"/>
      <c r="I79" s="2">
        <v>0</v>
      </c>
      <c r="J79" s="3"/>
      <c r="K79" s="2">
        <v>0</v>
      </c>
      <c r="L79" s="3"/>
      <c r="M79" s="2">
        <v>0</v>
      </c>
      <c r="N79" s="3"/>
      <c r="O79" s="2">
        <v>0</v>
      </c>
      <c r="P79" s="3"/>
      <c r="Q79" s="2">
        <v>0</v>
      </c>
      <c r="R79" s="3"/>
      <c r="S79" s="2">
        <v>0</v>
      </c>
      <c r="T79" s="3"/>
      <c r="U79" s="2">
        <v>0</v>
      </c>
      <c r="V79" s="3"/>
      <c r="W79" s="2">
        <v>0</v>
      </c>
      <c r="X79" s="3"/>
      <c r="Y79" s="2">
        <v>9894.57</v>
      </c>
      <c r="Z79" s="3"/>
      <c r="AA79" s="2">
        <v>0</v>
      </c>
      <c r="AB79" s="3"/>
      <c r="AC79" s="2">
        <v>0</v>
      </c>
      <c r="AD79" s="3"/>
      <c r="AE79" s="2">
        <f t="shared" si="4"/>
        <v>9894.57</v>
      </c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897.92</v>
      </c>
      <c r="H80" s="3"/>
      <c r="I80" s="2">
        <v>781.79</v>
      </c>
      <c r="J80" s="3"/>
      <c r="K80" s="2">
        <v>875.14</v>
      </c>
      <c r="L80" s="3"/>
      <c r="M80" s="2">
        <v>1676.4</v>
      </c>
      <c r="N80" s="3"/>
      <c r="O80" s="2">
        <v>2808.31</v>
      </c>
      <c r="P80" s="3"/>
      <c r="Q80" s="2">
        <v>2113.1999999999998</v>
      </c>
      <c r="R80" s="3"/>
      <c r="S80" s="2">
        <v>2714.97</v>
      </c>
      <c r="T80" s="3"/>
      <c r="U80" s="2">
        <v>19331.28</v>
      </c>
      <c r="V80" s="3"/>
      <c r="W80" s="2">
        <v>1034.55</v>
      </c>
      <c r="X80" s="3"/>
      <c r="Y80" s="2">
        <v>674.13</v>
      </c>
      <c r="Z80" s="3"/>
      <c r="AA80" s="2">
        <v>16445.11</v>
      </c>
      <c r="AB80" s="3"/>
      <c r="AC80" s="2">
        <v>600.29</v>
      </c>
      <c r="AD80" s="3"/>
      <c r="AE80" s="2">
        <f t="shared" si="4"/>
        <v>49953.09</v>
      </c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896.82</v>
      </c>
      <c r="H81" s="3"/>
      <c r="I81" s="2">
        <v>958.61</v>
      </c>
      <c r="J81" s="3"/>
      <c r="K81" s="2">
        <v>1043</v>
      </c>
      <c r="L81" s="3"/>
      <c r="M81" s="2">
        <v>1478.16</v>
      </c>
      <c r="N81" s="3"/>
      <c r="O81" s="2">
        <v>1411.73</v>
      </c>
      <c r="P81" s="3"/>
      <c r="Q81" s="2">
        <v>1346.4</v>
      </c>
      <c r="R81" s="3"/>
      <c r="S81" s="2">
        <v>737.85</v>
      </c>
      <c r="T81" s="3"/>
      <c r="U81" s="2">
        <v>2180.69</v>
      </c>
      <c r="V81" s="3"/>
      <c r="W81" s="2">
        <v>1444.96</v>
      </c>
      <c r="X81" s="3"/>
      <c r="Y81" s="2">
        <v>1485</v>
      </c>
      <c r="Z81" s="3"/>
      <c r="AA81" s="2">
        <v>1852.13</v>
      </c>
      <c r="AB81" s="3"/>
      <c r="AC81" s="2">
        <v>1251.47</v>
      </c>
      <c r="AD81" s="3"/>
      <c r="AE81" s="2">
        <f t="shared" si="4"/>
        <v>16086.82</v>
      </c>
    </row>
    <row r="82" spans="1:31" x14ac:dyDescent="0.25">
      <c r="A82" s="1"/>
      <c r="B82" s="1"/>
      <c r="C82" s="1"/>
      <c r="D82" s="1"/>
      <c r="E82" s="1"/>
      <c r="F82" s="1" t="s">
        <v>81</v>
      </c>
      <c r="G82" s="2">
        <v>4322.75</v>
      </c>
      <c r="H82" s="3"/>
      <c r="I82" s="2">
        <v>6940.63</v>
      </c>
      <c r="J82" s="3"/>
      <c r="K82" s="2">
        <v>2786.25</v>
      </c>
      <c r="L82" s="3"/>
      <c r="M82" s="2">
        <v>3635.74</v>
      </c>
      <c r="N82" s="3"/>
      <c r="O82" s="2">
        <v>4046.4</v>
      </c>
      <c r="P82" s="3"/>
      <c r="Q82" s="2">
        <v>4155.83</v>
      </c>
      <c r="R82" s="3"/>
      <c r="S82" s="2">
        <v>6292.85</v>
      </c>
      <c r="T82" s="3"/>
      <c r="U82" s="2">
        <v>9238.68</v>
      </c>
      <c r="V82" s="3"/>
      <c r="W82" s="2">
        <v>7315.73</v>
      </c>
      <c r="X82" s="3"/>
      <c r="Y82" s="2">
        <v>2659.78</v>
      </c>
      <c r="Z82" s="3"/>
      <c r="AA82" s="2">
        <v>5351.96</v>
      </c>
      <c r="AB82" s="3"/>
      <c r="AC82" s="2">
        <v>11441.55</v>
      </c>
      <c r="AD82" s="3"/>
      <c r="AE82" s="2">
        <f t="shared" si="4"/>
        <v>68188.149999999994</v>
      </c>
    </row>
    <row r="83" spans="1:31" x14ac:dyDescent="0.25">
      <c r="A83" s="1"/>
      <c r="B83" s="1"/>
      <c r="C83" s="1"/>
      <c r="D83" s="1"/>
      <c r="E83" s="1"/>
      <c r="F83" s="1" t="s">
        <v>82</v>
      </c>
      <c r="G83" s="2">
        <v>257.39999999999998</v>
      </c>
      <c r="H83" s="3"/>
      <c r="I83" s="2">
        <v>120.69</v>
      </c>
      <c r="J83" s="3"/>
      <c r="K83" s="2">
        <v>1969.62</v>
      </c>
      <c r="L83" s="3"/>
      <c r="M83" s="2">
        <v>2119.0100000000002</v>
      </c>
      <c r="N83" s="3"/>
      <c r="O83" s="2">
        <v>1748.88</v>
      </c>
      <c r="P83" s="3"/>
      <c r="Q83" s="2">
        <v>425.64</v>
      </c>
      <c r="R83" s="3"/>
      <c r="S83" s="2">
        <v>1518.77</v>
      </c>
      <c r="T83" s="3"/>
      <c r="U83" s="2">
        <v>5520.07</v>
      </c>
      <c r="V83" s="3"/>
      <c r="W83" s="2">
        <v>1163.3</v>
      </c>
      <c r="X83" s="3"/>
      <c r="Y83" s="2">
        <v>3625.4</v>
      </c>
      <c r="Z83" s="3"/>
      <c r="AA83" s="2">
        <v>527.88</v>
      </c>
      <c r="AB83" s="3"/>
      <c r="AC83" s="2">
        <v>675.15</v>
      </c>
      <c r="AD83" s="3"/>
      <c r="AE83" s="2">
        <f t="shared" si="4"/>
        <v>19671.810000000001</v>
      </c>
    </row>
    <row r="84" spans="1:31" ht="15.75" thickBot="1" x14ac:dyDescent="0.3">
      <c r="A84" s="1"/>
      <c r="B84" s="1"/>
      <c r="C84" s="1"/>
      <c r="D84" s="1"/>
      <c r="E84" s="1"/>
      <c r="F84" s="1" t="s">
        <v>83</v>
      </c>
      <c r="G84" s="6">
        <v>1654</v>
      </c>
      <c r="H84" s="3"/>
      <c r="I84" s="6">
        <v>1068</v>
      </c>
      <c r="J84" s="3"/>
      <c r="K84" s="6">
        <v>1318</v>
      </c>
      <c r="L84" s="3"/>
      <c r="M84" s="6">
        <v>1625</v>
      </c>
      <c r="N84" s="3"/>
      <c r="O84" s="6">
        <v>1067.3</v>
      </c>
      <c r="P84" s="3"/>
      <c r="Q84" s="6">
        <v>1024.8</v>
      </c>
      <c r="R84" s="3"/>
      <c r="S84" s="6">
        <v>1149.8</v>
      </c>
      <c r="T84" s="3"/>
      <c r="U84" s="6">
        <v>1192.3</v>
      </c>
      <c r="V84" s="3"/>
      <c r="W84" s="6">
        <v>125</v>
      </c>
      <c r="X84" s="3"/>
      <c r="Y84" s="6">
        <v>1067.3</v>
      </c>
      <c r="Z84" s="3"/>
      <c r="AA84" s="6">
        <v>1295</v>
      </c>
      <c r="AB84" s="3"/>
      <c r="AC84" s="6">
        <v>1439.8</v>
      </c>
      <c r="AD84" s="3"/>
      <c r="AE84" s="6">
        <f t="shared" si="4"/>
        <v>14026.3</v>
      </c>
    </row>
    <row r="85" spans="1:31" x14ac:dyDescent="0.25">
      <c r="A85" s="1"/>
      <c r="B85" s="1"/>
      <c r="C85" s="1"/>
      <c r="D85" s="1"/>
      <c r="E85" s="1" t="s">
        <v>84</v>
      </c>
      <c r="F85" s="1"/>
      <c r="G85" s="2">
        <f>ROUND(SUM(G76:G84),5)</f>
        <v>23985.040000000001</v>
      </c>
      <c r="H85" s="3"/>
      <c r="I85" s="2">
        <f>ROUND(SUM(I76:I84),5)</f>
        <v>27759.05</v>
      </c>
      <c r="J85" s="3"/>
      <c r="K85" s="2">
        <f>ROUND(SUM(K76:K84),5)</f>
        <v>24446.27</v>
      </c>
      <c r="L85" s="3"/>
      <c r="M85" s="2">
        <f>ROUND(SUM(M76:M84),5)</f>
        <v>27044.12</v>
      </c>
      <c r="N85" s="3"/>
      <c r="O85" s="2">
        <f>ROUND(SUM(O76:O84),5)</f>
        <v>27114.04</v>
      </c>
      <c r="P85" s="3"/>
      <c r="Q85" s="2">
        <f>ROUND(SUM(Q76:Q84),5)</f>
        <v>25268.86</v>
      </c>
      <c r="R85" s="3"/>
      <c r="S85" s="2">
        <f>ROUND(SUM(S76:S84),5)</f>
        <v>32085.52</v>
      </c>
      <c r="T85" s="3"/>
      <c r="U85" s="2">
        <f>ROUND(SUM(U76:U84),5)</f>
        <v>56875.29</v>
      </c>
      <c r="V85" s="3"/>
      <c r="W85" s="2">
        <f>ROUND(SUM(W76:W84),5)</f>
        <v>30822.97</v>
      </c>
      <c r="X85" s="3"/>
      <c r="Y85" s="2">
        <f>ROUND(SUM(Y76:Y84),5)</f>
        <v>38774.76</v>
      </c>
      <c r="Z85" s="3"/>
      <c r="AA85" s="2">
        <f>ROUND(SUM(AA76:AA84),5)</f>
        <v>45718.55</v>
      </c>
      <c r="AB85" s="3"/>
      <c r="AC85" s="2">
        <f>ROUND(SUM(AC76:AC84),5)</f>
        <v>35849.769999999997</v>
      </c>
      <c r="AD85" s="3"/>
      <c r="AE85" s="2">
        <f t="shared" si="4"/>
        <v>395744.24</v>
      </c>
    </row>
    <row r="86" spans="1:31" x14ac:dyDescent="0.25">
      <c r="A86" s="1"/>
      <c r="B86" s="1"/>
      <c r="C86" s="1"/>
      <c r="D86" s="1"/>
      <c r="E86" s="1" t="s">
        <v>85</v>
      </c>
      <c r="F86" s="1"/>
      <c r="G86" s="2"/>
      <c r="H86" s="3"/>
      <c r="I86" s="2"/>
      <c r="J86" s="3"/>
      <c r="K86" s="2"/>
      <c r="L86" s="3"/>
      <c r="M86" s="2"/>
      <c r="N86" s="3"/>
      <c r="O86" s="2"/>
      <c r="P86" s="3"/>
      <c r="Q86" s="2"/>
      <c r="R86" s="3"/>
      <c r="S86" s="2"/>
      <c r="T86" s="3"/>
      <c r="U86" s="2"/>
      <c r="V86" s="3"/>
      <c r="W86" s="2"/>
      <c r="X86" s="3"/>
      <c r="Y86" s="2"/>
      <c r="Z86" s="3"/>
      <c r="AA86" s="2"/>
      <c r="AB86" s="3"/>
      <c r="AC86" s="2"/>
      <c r="AD86" s="3"/>
      <c r="AE86" s="2"/>
    </row>
    <row r="87" spans="1:31" x14ac:dyDescent="0.25">
      <c r="A87" s="1"/>
      <c r="B87" s="1"/>
      <c r="C87" s="1"/>
      <c r="D87" s="1"/>
      <c r="E87" s="1"/>
      <c r="F87" s="1" t="s">
        <v>86</v>
      </c>
      <c r="G87" s="2">
        <v>2224</v>
      </c>
      <c r="H87" s="3"/>
      <c r="I87" s="2">
        <v>2300.5700000000002</v>
      </c>
      <c r="J87" s="3"/>
      <c r="K87" s="2">
        <v>2666.86</v>
      </c>
      <c r="L87" s="3"/>
      <c r="M87" s="2">
        <v>2510.29</v>
      </c>
      <c r="N87" s="3"/>
      <c r="O87" s="2">
        <v>2680.57</v>
      </c>
      <c r="P87" s="3"/>
      <c r="Q87" s="2">
        <v>3378.33</v>
      </c>
      <c r="R87" s="3"/>
      <c r="S87" s="2">
        <v>4783.58</v>
      </c>
      <c r="T87" s="3"/>
      <c r="U87" s="2">
        <v>3630.78</v>
      </c>
      <c r="V87" s="3"/>
      <c r="W87" s="2">
        <v>3267.85</v>
      </c>
      <c r="X87" s="3"/>
      <c r="Y87" s="2">
        <v>4011.15</v>
      </c>
      <c r="Z87" s="3"/>
      <c r="AA87" s="2">
        <v>3925.58</v>
      </c>
      <c r="AB87" s="3"/>
      <c r="AC87" s="2">
        <v>4825.88</v>
      </c>
      <c r="AD87" s="3"/>
      <c r="AE87" s="2">
        <f t="shared" ref="AE87:AE94" si="5">ROUND(SUM(G87:AC87),5)</f>
        <v>40205.440000000002</v>
      </c>
    </row>
    <row r="88" spans="1:31" x14ac:dyDescent="0.25">
      <c r="A88" s="1"/>
      <c r="B88" s="1"/>
      <c r="C88" s="1"/>
      <c r="D88" s="1"/>
      <c r="E88" s="1"/>
      <c r="F88" s="1" t="s">
        <v>87</v>
      </c>
      <c r="G88" s="2">
        <v>2948.21</v>
      </c>
      <c r="H88" s="3"/>
      <c r="I88" s="2">
        <v>2127.86</v>
      </c>
      <c r="J88" s="3"/>
      <c r="K88" s="2">
        <v>0</v>
      </c>
      <c r="L88" s="3"/>
      <c r="M88" s="2">
        <v>0</v>
      </c>
      <c r="N88" s="3"/>
      <c r="O88" s="2">
        <v>5853.84</v>
      </c>
      <c r="P88" s="3"/>
      <c r="Q88" s="2">
        <v>3141.54</v>
      </c>
      <c r="R88" s="3"/>
      <c r="S88" s="2">
        <v>3720</v>
      </c>
      <c r="T88" s="3"/>
      <c r="U88" s="2">
        <v>3600</v>
      </c>
      <c r="V88" s="3"/>
      <c r="W88" s="2">
        <v>3720</v>
      </c>
      <c r="X88" s="3"/>
      <c r="Y88" s="2">
        <v>3600</v>
      </c>
      <c r="Z88" s="3"/>
      <c r="AA88" s="2">
        <v>3720</v>
      </c>
      <c r="AB88" s="3"/>
      <c r="AC88" s="2">
        <v>3720</v>
      </c>
      <c r="AD88" s="3"/>
      <c r="AE88" s="2">
        <f t="shared" si="5"/>
        <v>36151.449999999997</v>
      </c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300</v>
      </c>
      <c r="H89" s="3"/>
      <c r="I89" s="2">
        <v>309.49</v>
      </c>
      <c r="J89" s="3"/>
      <c r="K89" s="2">
        <v>114.27</v>
      </c>
      <c r="L89" s="3"/>
      <c r="M89" s="2">
        <v>300</v>
      </c>
      <c r="N89" s="3"/>
      <c r="O89" s="2">
        <v>0</v>
      </c>
      <c r="P89" s="3"/>
      <c r="Q89" s="2">
        <v>0</v>
      </c>
      <c r="R89" s="3"/>
      <c r="S89" s="2">
        <v>167.33</v>
      </c>
      <c r="T89" s="3"/>
      <c r="U89" s="2">
        <v>0</v>
      </c>
      <c r="V89" s="3"/>
      <c r="W89" s="2">
        <v>0</v>
      </c>
      <c r="X89" s="3"/>
      <c r="Y89" s="2">
        <v>0</v>
      </c>
      <c r="Z89" s="3"/>
      <c r="AA89" s="2">
        <v>0</v>
      </c>
      <c r="AB89" s="3"/>
      <c r="AC89" s="2">
        <v>0</v>
      </c>
      <c r="AD89" s="3"/>
      <c r="AE89" s="2">
        <f t="shared" si="5"/>
        <v>1191.0899999999999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0</v>
      </c>
      <c r="H90" s="3"/>
      <c r="I90" s="2">
        <v>0</v>
      </c>
      <c r="J90" s="3"/>
      <c r="K90" s="2">
        <v>0</v>
      </c>
      <c r="L90" s="3"/>
      <c r="M90" s="2">
        <v>0</v>
      </c>
      <c r="N90" s="3"/>
      <c r="O90" s="2">
        <v>490</v>
      </c>
      <c r="P90" s="3"/>
      <c r="Q90" s="2">
        <v>0</v>
      </c>
      <c r="R90" s="3"/>
      <c r="S90" s="2">
        <v>245</v>
      </c>
      <c r="T90" s="3"/>
      <c r="U90" s="2">
        <v>0</v>
      </c>
      <c r="V90" s="3"/>
      <c r="W90" s="2">
        <v>0</v>
      </c>
      <c r="X90" s="3"/>
      <c r="Y90" s="2">
        <v>0</v>
      </c>
      <c r="Z90" s="3"/>
      <c r="AA90" s="2">
        <v>175</v>
      </c>
      <c r="AB90" s="3"/>
      <c r="AC90" s="2">
        <v>0</v>
      </c>
      <c r="AD90" s="3"/>
      <c r="AE90" s="2">
        <f t="shared" si="5"/>
        <v>910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3133.2</v>
      </c>
      <c r="H91" s="3"/>
      <c r="I91" s="2">
        <v>3094.41</v>
      </c>
      <c r="J91" s="3"/>
      <c r="K91" s="2">
        <v>3067.69</v>
      </c>
      <c r="L91" s="3"/>
      <c r="M91" s="2">
        <v>2655.86</v>
      </c>
      <c r="N91" s="3"/>
      <c r="O91" s="2">
        <v>3243.75</v>
      </c>
      <c r="P91" s="3"/>
      <c r="Q91" s="2">
        <v>2967.38</v>
      </c>
      <c r="R91" s="3"/>
      <c r="S91" s="2">
        <v>1342.14</v>
      </c>
      <c r="T91" s="3"/>
      <c r="U91" s="2">
        <v>-163.38999999999999</v>
      </c>
      <c r="V91" s="3"/>
      <c r="W91" s="2">
        <v>0</v>
      </c>
      <c r="X91" s="3"/>
      <c r="Y91" s="2">
        <v>271.38</v>
      </c>
      <c r="Z91" s="3"/>
      <c r="AA91" s="2">
        <v>0</v>
      </c>
      <c r="AB91" s="3"/>
      <c r="AC91" s="2">
        <v>0</v>
      </c>
      <c r="AD91" s="3"/>
      <c r="AE91" s="2">
        <f t="shared" si="5"/>
        <v>19612.419999999998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0</v>
      </c>
      <c r="H92" s="3"/>
      <c r="I92" s="2">
        <v>0</v>
      </c>
      <c r="J92" s="3"/>
      <c r="K92" s="2">
        <v>0</v>
      </c>
      <c r="L92" s="3"/>
      <c r="M92" s="2">
        <v>0</v>
      </c>
      <c r="N92" s="3"/>
      <c r="O92" s="2">
        <v>0</v>
      </c>
      <c r="P92" s="3"/>
      <c r="Q92" s="2">
        <v>0</v>
      </c>
      <c r="R92" s="3"/>
      <c r="S92" s="2">
        <v>1892.6</v>
      </c>
      <c r="T92" s="3"/>
      <c r="U92" s="2">
        <v>3174.21</v>
      </c>
      <c r="V92" s="3"/>
      <c r="W92" s="2">
        <v>3215.21</v>
      </c>
      <c r="X92" s="3"/>
      <c r="Y92" s="2">
        <v>2744.81</v>
      </c>
      <c r="Z92" s="3"/>
      <c r="AA92" s="2">
        <v>3034.82</v>
      </c>
      <c r="AB92" s="3"/>
      <c r="AC92" s="2">
        <v>3662.07</v>
      </c>
      <c r="AD92" s="3"/>
      <c r="AE92" s="2">
        <f t="shared" si="5"/>
        <v>17723.72</v>
      </c>
    </row>
    <row r="93" spans="1:31" ht="15.75" thickBot="1" x14ac:dyDescent="0.3">
      <c r="A93" s="1"/>
      <c r="B93" s="1"/>
      <c r="C93" s="1"/>
      <c r="D93" s="1"/>
      <c r="E93" s="1"/>
      <c r="F93" s="1" t="s">
        <v>92</v>
      </c>
      <c r="G93" s="6">
        <v>0</v>
      </c>
      <c r="H93" s="3"/>
      <c r="I93" s="6">
        <v>210</v>
      </c>
      <c r="J93" s="3"/>
      <c r="K93" s="6">
        <v>0</v>
      </c>
      <c r="L93" s="3"/>
      <c r="M93" s="6">
        <v>0</v>
      </c>
      <c r="N93" s="3"/>
      <c r="O93" s="6">
        <v>0</v>
      </c>
      <c r="P93" s="3"/>
      <c r="Q93" s="6">
        <v>0</v>
      </c>
      <c r="R93" s="3"/>
      <c r="S93" s="6">
        <v>0</v>
      </c>
      <c r="T93" s="3"/>
      <c r="U93" s="6">
        <v>0</v>
      </c>
      <c r="V93" s="3"/>
      <c r="W93" s="6">
        <v>0</v>
      </c>
      <c r="X93" s="3"/>
      <c r="Y93" s="6">
        <v>0</v>
      </c>
      <c r="Z93" s="3"/>
      <c r="AA93" s="6">
        <v>0</v>
      </c>
      <c r="AB93" s="3"/>
      <c r="AC93" s="6">
        <v>0</v>
      </c>
      <c r="AD93" s="3"/>
      <c r="AE93" s="6">
        <f t="shared" si="5"/>
        <v>210</v>
      </c>
    </row>
    <row r="94" spans="1:31" x14ac:dyDescent="0.25">
      <c r="A94" s="1"/>
      <c r="B94" s="1"/>
      <c r="C94" s="1"/>
      <c r="D94" s="1"/>
      <c r="E94" s="1" t="s">
        <v>93</v>
      </c>
      <c r="F94" s="1"/>
      <c r="G94" s="2">
        <f>ROUND(SUM(G86:G93),5)</f>
        <v>8605.41</v>
      </c>
      <c r="H94" s="3"/>
      <c r="I94" s="2">
        <f>ROUND(SUM(I86:I93),5)</f>
        <v>8042.33</v>
      </c>
      <c r="J94" s="3"/>
      <c r="K94" s="2">
        <f>ROUND(SUM(K86:K93),5)</f>
        <v>5848.82</v>
      </c>
      <c r="L94" s="3"/>
      <c r="M94" s="2">
        <f>ROUND(SUM(M86:M93),5)</f>
        <v>5466.15</v>
      </c>
      <c r="N94" s="3"/>
      <c r="O94" s="2">
        <f>ROUND(SUM(O86:O93),5)</f>
        <v>12268.16</v>
      </c>
      <c r="P94" s="3"/>
      <c r="Q94" s="2">
        <f>ROUND(SUM(Q86:Q93),5)</f>
        <v>9487.25</v>
      </c>
      <c r="R94" s="3"/>
      <c r="S94" s="2">
        <f>ROUND(SUM(S86:S93),5)</f>
        <v>12150.65</v>
      </c>
      <c r="T94" s="3"/>
      <c r="U94" s="2">
        <f>ROUND(SUM(U86:U93),5)</f>
        <v>10241.6</v>
      </c>
      <c r="V94" s="3"/>
      <c r="W94" s="2">
        <f>ROUND(SUM(W86:W93),5)</f>
        <v>10203.06</v>
      </c>
      <c r="X94" s="3"/>
      <c r="Y94" s="2">
        <f>ROUND(SUM(Y86:Y93),5)</f>
        <v>10627.34</v>
      </c>
      <c r="Z94" s="3"/>
      <c r="AA94" s="2">
        <f>ROUND(SUM(AA86:AA93),5)</f>
        <v>10855.4</v>
      </c>
      <c r="AB94" s="3"/>
      <c r="AC94" s="2">
        <f>ROUND(SUM(AC86:AC93),5)</f>
        <v>12207.95</v>
      </c>
      <c r="AD94" s="3"/>
      <c r="AE94" s="2">
        <f t="shared" si="5"/>
        <v>116004.12</v>
      </c>
    </row>
    <row r="95" spans="1:31" x14ac:dyDescent="0.25">
      <c r="A95" s="1"/>
      <c r="B95" s="1"/>
      <c r="C95" s="1"/>
      <c r="D95" s="1"/>
      <c r="E95" s="1" t="s">
        <v>94</v>
      </c>
      <c r="F95" s="1"/>
      <c r="G95" s="2"/>
      <c r="H95" s="3"/>
      <c r="I95" s="2"/>
      <c r="J95" s="3"/>
      <c r="K95" s="2"/>
      <c r="L95" s="3"/>
      <c r="M95" s="2"/>
      <c r="N95" s="3"/>
      <c r="O95" s="2"/>
      <c r="P95" s="3"/>
      <c r="Q95" s="2"/>
      <c r="R95" s="3"/>
      <c r="S95" s="2"/>
      <c r="T95" s="3"/>
      <c r="U95" s="2"/>
      <c r="V95" s="3"/>
      <c r="W95" s="2"/>
      <c r="X95" s="3"/>
      <c r="Y95" s="2"/>
      <c r="Z95" s="3"/>
      <c r="AA95" s="2"/>
      <c r="AB95" s="3"/>
      <c r="AC95" s="2"/>
      <c r="AD95" s="3"/>
      <c r="AE95" s="2"/>
    </row>
    <row r="96" spans="1:31" x14ac:dyDescent="0.25">
      <c r="A96" s="1"/>
      <c r="B96" s="1"/>
      <c r="C96" s="1"/>
      <c r="D96" s="1"/>
      <c r="E96" s="1"/>
      <c r="F96" s="1" t="s">
        <v>95</v>
      </c>
      <c r="G96" s="2">
        <v>0</v>
      </c>
      <c r="H96" s="3"/>
      <c r="I96" s="2">
        <v>0</v>
      </c>
      <c r="J96" s="3"/>
      <c r="K96" s="2">
        <v>0</v>
      </c>
      <c r="L96" s="3"/>
      <c r="M96" s="2">
        <v>0</v>
      </c>
      <c r="N96" s="3"/>
      <c r="O96" s="2">
        <v>0</v>
      </c>
      <c r="P96" s="3"/>
      <c r="Q96" s="2">
        <v>0</v>
      </c>
      <c r="R96" s="3"/>
      <c r="S96" s="2">
        <v>0</v>
      </c>
      <c r="T96" s="3"/>
      <c r="U96" s="2">
        <v>0</v>
      </c>
      <c r="V96" s="3"/>
      <c r="W96" s="2">
        <v>0</v>
      </c>
      <c r="X96" s="3"/>
      <c r="Y96" s="2">
        <v>0</v>
      </c>
      <c r="Z96" s="3"/>
      <c r="AA96" s="2">
        <v>0</v>
      </c>
      <c r="AB96" s="3"/>
      <c r="AC96" s="2">
        <v>0</v>
      </c>
      <c r="AD96" s="3"/>
      <c r="AE96" s="2">
        <f t="shared" ref="AE96:AE102" si="6">ROUND(SUM(G96:AC96),5)</f>
        <v>0</v>
      </c>
    </row>
    <row r="97" spans="1:31" x14ac:dyDescent="0.25">
      <c r="A97" s="1"/>
      <c r="B97" s="1"/>
      <c r="C97" s="1"/>
      <c r="D97" s="1"/>
      <c r="E97" s="1"/>
      <c r="F97" s="1" t="s">
        <v>96</v>
      </c>
      <c r="G97" s="2">
        <v>433.79</v>
      </c>
      <c r="H97" s="3"/>
      <c r="I97" s="2">
        <v>540.69000000000005</v>
      </c>
      <c r="J97" s="3"/>
      <c r="K97" s="2">
        <v>0</v>
      </c>
      <c r="L97" s="3"/>
      <c r="M97" s="2">
        <v>0</v>
      </c>
      <c r="N97" s="3"/>
      <c r="O97" s="2">
        <v>0</v>
      </c>
      <c r="P97" s="3"/>
      <c r="Q97" s="2">
        <v>0</v>
      </c>
      <c r="R97" s="3"/>
      <c r="S97" s="2">
        <v>0</v>
      </c>
      <c r="T97" s="3"/>
      <c r="U97" s="2">
        <v>735.79</v>
      </c>
      <c r="V97" s="3"/>
      <c r="W97" s="2">
        <v>286.60000000000002</v>
      </c>
      <c r="X97" s="3"/>
      <c r="Y97" s="2">
        <v>0</v>
      </c>
      <c r="Z97" s="3"/>
      <c r="AA97" s="2">
        <v>0</v>
      </c>
      <c r="AB97" s="3"/>
      <c r="AC97" s="2">
        <v>141.76</v>
      </c>
      <c r="AD97" s="3"/>
      <c r="AE97" s="2">
        <f t="shared" si="6"/>
        <v>2138.63</v>
      </c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21.45</v>
      </c>
      <c r="J98" s="3"/>
      <c r="K98" s="2">
        <v>0</v>
      </c>
      <c r="L98" s="3"/>
      <c r="M98" s="2">
        <v>225.12</v>
      </c>
      <c r="N98" s="3"/>
      <c r="O98" s="2">
        <v>0</v>
      </c>
      <c r="P98" s="3"/>
      <c r="Q98" s="2">
        <v>51.53</v>
      </c>
      <c r="R98" s="3"/>
      <c r="S98" s="2">
        <v>659.45</v>
      </c>
      <c r="T98" s="3"/>
      <c r="U98" s="2">
        <v>0</v>
      </c>
      <c r="V98" s="3"/>
      <c r="W98" s="2">
        <v>779.93</v>
      </c>
      <c r="X98" s="3"/>
      <c r="Y98" s="2">
        <v>0</v>
      </c>
      <c r="Z98" s="3"/>
      <c r="AA98" s="2">
        <v>0</v>
      </c>
      <c r="AB98" s="3"/>
      <c r="AC98" s="2">
        <v>755.54</v>
      </c>
      <c r="AD98" s="3"/>
      <c r="AE98" s="2">
        <f t="shared" si="6"/>
        <v>2493.02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241.38</v>
      </c>
      <c r="H99" s="3"/>
      <c r="I99" s="2">
        <v>0</v>
      </c>
      <c r="J99" s="3"/>
      <c r="K99" s="2">
        <v>0</v>
      </c>
      <c r="L99" s="3"/>
      <c r="M99" s="2">
        <v>128.74</v>
      </c>
      <c r="N99" s="3"/>
      <c r="O99" s="2">
        <v>249.43</v>
      </c>
      <c r="P99" s="3"/>
      <c r="Q99" s="2">
        <v>225.29</v>
      </c>
      <c r="R99" s="3"/>
      <c r="S99" s="2">
        <v>225.29</v>
      </c>
      <c r="T99" s="3"/>
      <c r="U99" s="2">
        <v>2658.06</v>
      </c>
      <c r="V99" s="3"/>
      <c r="W99" s="2">
        <v>241.48</v>
      </c>
      <c r="X99" s="3"/>
      <c r="Y99" s="2">
        <v>128.74</v>
      </c>
      <c r="Z99" s="3"/>
      <c r="AA99" s="2">
        <v>120.69</v>
      </c>
      <c r="AB99" s="3"/>
      <c r="AC99" s="2">
        <v>145.41999999999999</v>
      </c>
      <c r="AD99" s="3"/>
      <c r="AE99" s="2">
        <f t="shared" si="6"/>
        <v>4364.5200000000004</v>
      </c>
    </row>
    <row r="100" spans="1:31" x14ac:dyDescent="0.25">
      <c r="A100" s="1"/>
      <c r="B100" s="1"/>
      <c r="C100" s="1"/>
      <c r="D100" s="1"/>
      <c r="E100" s="1"/>
      <c r="F100" s="1" t="s">
        <v>99</v>
      </c>
      <c r="G100" s="2">
        <v>607.82000000000005</v>
      </c>
      <c r="H100" s="3"/>
      <c r="I100" s="2">
        <v>576.99</v>
      </c>
      <c r="J100" s="3"/>
      <c r="K100" s="2">
        <v>508.85</v>
      </c>
      <c r="L100" s="3"/>
      <c r="M100" s="2">
        <v>359.62</v>
      </c>
      <c r="N100" s="3"/>
      <c r="O100" s="2">
        <v>1277.74</v>
      </c>
      <c r="P100" s="3"/>
      <c r="Q100" s="2">
        <v>563.73</v>
      </c>
      <c r="R100" s="3"/>
      <c r="S100" s="2">
        <v>848.5</v>
      </c>
      <c r="T100" s="3"/>
      <c r="U100" s="2">
        <v>1093.29</v>
      </c>
      <c r="V100" s="3"/>
      <c r="W100" s="2">
        <v>1291.49</v>
      </c>
      <c r="X100" s="3"/>
      <c r="Y100" s="2">
        <v>632.49</v>
      </c>
      <c r="Z100" s="3"/>
      <c r="AA100" s="2">
        <v>1286.25</v>
      </c>
      <c r="AB100" s="3"/>
      <c r="AC100" s="2">
        <v>942.49</v>
      </c>
      <c r="AD100" s="3"/>
      <c r="AE100" s="2">
        <f t="shared" si="6"/>
        <v>9989.26</v>
      </c>
    </row>
    <row r="101" spans="1:31" ht="15.75" thickBot="1" x14ac:dyDescent="0.3">
      <c r="A101" s="1"/>
      <c r="B101" s="1"/>
      <c r="C101" s="1"/>
      <c r="D101" s="1"/>
      <c r="E101" s="1"/>
      <c r="F101" s="1" t="s">
        <v>100</v>
      </c>
      <c r="G101" s="6">
        <v>0</v>
      </c>
      <c r="H101" s="3"/>
      <c r="I101" s="6">
        <v>0</v>
      </c>
      <c r="J101" s="3"/>
      <c r="K101" s="6">
        <v>165</v>
      </c>
      <c r="L101" s="3"/>
      <c r="M101" s="6">
        <v>0</v>
      </c>
      <c r="N101" s="3"/>
      <c r="O101" s="6">
        <v>0</v>
      </c>
      <c r="P101" s="3"/>
      <c r="Q101" s="6">
        <v>0</v>
      </c>
      <c r="R101" s="3"/>
      <c r="S101" s="6">
        <v>0</v>
      </c>
      <c r="T101" s="3"/>
      <c r="U101" s="6">
        <v>0</v>
      </c>
      <c r="V101" s="3"/>
      <c r="W101" s="6">
        <v>0</v>
      </c>
      <c r="X101" s="3"/>
      <c r="Y101" s="6">
        <v>0</v>
      </c>
      <c r="Z101" s="3"/>
      <c r="AA101" s="6">
        <v>0</v>
      </c>
      <c r="AB101" s="3"/>
      <c r="AC101" s="6">
        <v>0</v>
      </c>
      <c r="AD101" s="3"/>
      <c r="AE101" s="6">
        <f t="shared" si="6"/>
        <v>165</v>
      </c>
    </row>
    <row r="102" spans="1:31" x14ac:dyDescent="0.25">
      <c r="A102" s="1"/>
      <c r="B102" s="1"/>
      <c r="C102" s="1"/>
      <c r="D102" s="1"/>
      <c r="E102" s="1" t="s">
        <v>101</v>
      </c>
      <c r="F102" s="1"/>
      <c r="G102" s="2">
        <f>ROUND(SUM(G95:G101),5)</f>
        <v>1282.99</v>
      </c>
      <c r="H102" s="3"/>
      <c r="I102" s="2">
        <f>ROUND(SUM(I95:I101),5)</f>
        <v>1139.1300000000001</v>
      </c>
      <c r="J102" s="3"/>
      <c r="K102" s="2">
        <f>ROUND(SUM(K95:K101),5)</f>
        <v>673.85</v>
      </c>
      <c r="L102" s="3"/>
      <c r="M102" s="2">
        <f>ROUND(SUM(M95:M101),5)</f>
        <v>713.48</v>
      </c>
      <c r="N102" s="3"/>
      <c r="O102" s="2">
        <f>ROUND(SUM(O95:O101),5)</f>
        <v>1527.17</v>
      </c>
      <c r="P102" s="3"/>
      <c r="Q102" s="2">
        <f>ROUND(SUM(Q95:Q101),5)</f>
        <v>840.55</v>
      </c>
      <c r="R102" s="3"/>
      <c r="S102" s="2">
        <f>ROUND(SUM(S95:S101),5)</f>
        <v>1733.24</v>
      </c>
      <c r="T102" s="3"/>
      <c r="U102" s="2">
        <f>ROUND(SUM(U95:U101),5)</f>
        <v>4487.1400000000003</v>
      </c>
      <c r="V102" s="3"/>
      <c r="W102" s="2">
        <f>ROUND(SUM(W95:W101),5)</f>
        <v>2599.5</v>
      </c>
      <c r="X102" s="3"/>
      <c r="Y102" s="2">
        <f>ROUND(SUM(Y95:Y101),5)</f>
        <v>761.23</v>
      </c>
      <c r="Z102" s="3"/>
      <c r="AA102" s="2">
        <f>ROUND(SUM(AA95:AA101),5)</f>
        <v>1406.94</v>
      </c>
      <c r="AB102" s="3"/>
      <c r="AC102" s="2">
        <f>ROUND(SUM(AC95:AC101),5)</f>
        <v>1985.21</v>
      </c>
      <c r="AD102" s="3"/>
      <c r="AE102" s="2">
        <f t="shared" si="6"/>
        <v>19150.43</v>
      </c>
    </row>
    <row r="103" spans="1:31" x14ac:dyDescent="0.25">
      <c r="A103" s="1"/>
      <c r="B103" s="1"/>
      <c r="C103" s="1"/>
      <c r="D103" s="1"/>
      <c r="E103" s="1" t="s">
        <v>102</v>
      </c>
      <c r="F103" s="1"/>
      <c r="G103" s="2"/>
      <c r="H103" s="3"/>
      <c r="I103" s="2"/>
      <c r="J103" s="3"/>
      <c r="K103" s="2"/>
      <c r="L103" s="3"/>
      <c r="M103" s="2"/>
      <c r="N103" s="3"/>
      <c r="O103" s="2"/>
      <c r="P103" s="3"/>
      <c r="Q103" s="2"/>
      <c r="R103" s="3"/>
      <c r="S103" s="2"/>
      <c r="T103" s="3"/>
      <c r="U103" s="2"/>
      <c r="V103" s="3"/>
      <c r="W103" s="2"/>
      <c r="X103" s="3"/>
      <c r="Y103" s="2"/>
      <c r="Z103" s="3"/>
      <c r="AA103" s="2"/>
      <c r="AB103" s="3"/>
      <c r="AC103" s="2"/>
      <c r="AD103" s="3"/>
      <c r="AE103" s="2"/>
    </row>
    <row r="104" spans="1:31" x14ac:dyDescent="0.25">
      <c r="A104" s="1"/>
      <c r="B104" s="1"/>
      <c r="C104" s="1"/>
      <c r="D104" s="1"/>
      <c r="E104" s="1"/>
      <c r="F104" s="1" t="s">
        <v>103</v>
      </c>
      <c r="G104" s="2">
        <v>3343.88</v>
      </c>
      <c r="H104" s="3"/>
      <c r="I104" s="2">
        <v>3390.75</v>
      </c>
      <c r="J104" s="3"/>
      <c r="K104" s="2">
        <v>3191.25</v>
      </c>
      <c r="L104" s="3"/>
      <c r="M104" s="2">
        <v>4954.6899999999996</v>
      </c>
      <c r="N104" s="3"/>
      <c r="O104" s="2">
        <v>1331.81</v>
      </c>
      <c r="P104" s="3"/>
      <c r="Q104" s="2">
        <v>3260.25</v>
      </c>
      <c r="R104" s="3"/>
      <c r="S104" s="2">
        <v>3490.37</v>
      </c>
      <c r="T104" s="3"/>
      <c r="U104" s="2">
        <v>3217.14</v>
      </c>
      <c r="V104" s="3"/>
      <c r="W104" s="2">
        <v>3658.08</v>
      </c>
      <c r="X104" s="3"/>
      <c r="Y104" s="2">
        <v>3542.51</v>
      </c>
      <c r="Z104" s="3"/>
      <c r="AA104" s="2">
        <v>3704.53</v>
      </c>
      <c r="AB104" s="3"/>
      <c r="AC104" s="2">
        <v>3867.27</v>
      </c>
      <c r="AD104" s="3"/>
      <c r="AE104" s="2">
        <f t="shared" ref="AE104:AE134" si="7">ROUND(SUM(G104:AC104),5)</f>
        <v>40952.53</v>
      </c>
    </row>
    <row r="105" spans="1:31" x14ac:dyDescent="0.25">
      <c r="A105" s="1"/>
      <c r="B105" s="1"/>
      <c r="C105" s="1"/>
      <c r="D105" s="1"/>
      <c r="E105" s="1"/>
      <c r="F105" s="1" t="s">
        <v>104</v>
      </c>
      <c r="G105" s="2">
        <v>7650</v>
      </c>
      <c r="H105" s="3"/>
      <c r="I105" s="2">
        <v>7650</v>
      </c>
      <c r="J105" s="3"/>
      <c r="K105" s="2">
        <v>7650</v>
      </c>
      <c r="L105" s="3"/>
      <c r="M105" s="2">
        <v>7650</v>
      </c>
      <c r="N105" s="3"/>
      <c r="O105" s="2">
        <v>7650</v>
      </c>
      <c r="P105" s="3"/>
      <c r="Q105" s="2">
        <v>7650</v>
      </c>
      <c r="R105" s="3"/>
      <c r="S105" s="2">
        <v>7650</v>
      </c>
      <c r="T105" s="3"/>
      <c r="U105" s="2">
        <v>7650</v>
      </c>
      <c r="V105" s="3"/>
      <c r="W105" s="2">
        <v>7650</v>
      </c>
      <c r="X105" s="3"/>
      <c r="Y105" s="2">
        <v>7650</v>
      </c>
      <c r="Z105" s="3"/>
      <c r="AA105" s="2">
        <v>7650</v>
      </c>
      <c r="AB105" s="3"/>
      <c r="AC105" s="2">
        <v>7650</v>
      </c>
      <c r="AD105" s="3"/>
      <c r="AE105" s="2">
        <f t="shared" si="7"/>
        <v>91800</v>
      </c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6593.39</v>
      </c>
      <c r="H106" s="3"/>
      <c r="I106" s="2">
        <v>8027.45</v>
      </c>
      <c r="J106" s="3"/>
      <c r="K106" s="2">
        <v>7164.8</v>
      </c>
      <c r="L106" s="3"/>
      <c r="M106" s="2">
        <v>5507.86</v>
      </c>
      <c r="N106" s="3"/>
      <c r="O106" s="2">
        <v>5755.85</v>
      </c>
      <c r="P106" s="3"/>
      <c r="Q106" s="2">
        <v>6153.83</v>
      </c>
      <c r="R106" s="3"/>
      <c r="S106" s="2">
        <v>8773.08</v>
      </c>
      <c r="T106" s="3"/>
      <c r="U106" s="2">
        <v>8551.09</v>
      </c>
      <c r="V106" s="3"/>
      <c r="W106" s="2">
        <v>8940.66</v>
      </c>
      <c r="X106" s="3"/>
      <c r="Y106" s="2">
        <v>8558.24</v>
      </c>
      <c r="Z106" s="3"/>
      <c r="AA106" s="2">
        <v>9747.7999999999993</v>
      </c>
      <c r="AB106" s="3"/>
      <c r="AC106" s="2">
        <v>10545.62</v>
      </c>
      <c r="AD106" s="3"/>
      <c r="AE106" s="2">
        <f t="shared" si="7"/>
        <v>94319.67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1719.39</v>
      </c>
      <c r="H107" s="3"/>
      <c r="I107" s="2">
        <v>426.68</v>
      </c>
      <c r="J107" s="3"/>
      <c r="K107" s="2">
        <v>2507.12</v>
      </c>
      <c r="L107" s="3"/>
      <c r="M107" s="2">
        <v>384.01</v>
      </c>
      <c r="N107" s="3"/>
      <c r="O107" s="2">
        <v>405.34</v>
      </c>
      <c r="P107" s="3"/>
      <c r="Q107" s="2">
        <v>597.35</v>
      </c>
      <c r="R107" s="3"/>
      <c r="S107" s="2">
        <v>533.35</v>
      </c>
      <c r="T107" s="3"/>
      <c r="U107" s="2">
        <v>384.01</v>
      </c>
      <c r="V107" s="3"/>
      <c r="W107" s="2">
        <v>435.21</v>
      </c>
      <c r="X107" s="3"/>
      <c r="Y107" s="2">
        <v>873.6</v>
      </c>
      <c r="Z107" s="3"/>
      <c r="AA107" s="2">
        <v>560</v>
      </c>
      <c r="AB107" s="3"/>
      <c r="AC107" s="2">
        <v>672</v>
      </c>
      <c r="AD107" s="3"/>
      <c r="AE107" s="2">
        <f t="shared" si="7"/>
        <v>9498.06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2857</v>
      </c>
      <c r="H108" s="3"/>
      <c r="I108" s="2">
        <v>2857</v>
      </c>
      <c r="J108" s="3"/>
      <c r="K108" s="2">
        <v>2857</v>
      </c>
      <c r="L108" s="3"/>
      <c r="M108" s="2">
        <v>3330</v>
      </c>
      <c r="N108" s="3"/>
      <c r="O108" s="2">
        <v>3330</v>
      </c>
      <c r="P108" s="3"/>
      <c r="Q108" s="2">
        <v>3330</v>
      </c>
      <c r="R108" s="3"/>
      <c r="S108" s="2">
        <v>3330</v>
      </c>
      <c r="T108" s="3"/>
      <c r="U108" s="2">
        <v>3330</v>
      </c>
      <c r="V108" s="3"/>
      <c r="W108" s="2">
        <v>3330</v>
      </c>
      <c r="X108" s="3"/>
      <c r="Y108" s="2">
        <v>3330</v>
      </c>
      <c r="Z108" s="3"/>
      <c r="AA108" s="2">
        <v>3330</v>
      </c>
      <c r="AB108" s="3"/>
      <c r="AC108" s="2">
        <v>3330</v>
      </c>
      <c r="AD108" s="3"/>
      <c r="AE108" s="2">
        <f t="shared" si="7"/>
        <v>38541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0</v>
      </c>
      <c r="H109" s="3"/>
      <c r="I109" s="2">
        <v>0</v>
      </c>
      <c r="J109" s="3"/>
      <c r="K109" s="2">
        <v>0</v>
      </c>
      <c r="L109" s="3"/>
      <c r="M109" s="2">
        <v>0</v>
      </c>
      <c r="N109" s="3"/>
      <c r="O109" s="2">
        <v>0</v>
      </c>
      <c r="P109" s="3"/>
      <c r="Q109" s="2">
        <v>0</v>
      </c>
      <c r="R109" s="3"/>
      <c r="S109" s="2">
        <v>0</v>
      </c>
      <c r="T109" s="3"/>
      <c r="U109" s="2">
        <v>0</v>
      </c>
      <c r="V109" s="3"/>
      <c r="W109" s="2">
        <v>0</v>
      </c>
      <c r="X109" s="3"/>
      <c r="Y109" s="2">
        <v>-6</v>
      </c>
      <c r="Z109" s="3"/>
      <c r="AA109" s="2">
        <v>0</v>
      </c>
      <c r="AB109" s="3"/>
      <c r="AC109" s="2">
        <v>0</v>
      </c>
      <c r="AD109" s="3"/>
      <c r="AE109" s="2">
        <f t="shared" si="7"/>
        <v>-6</v>
      </c>
    </row>
    <row r="110" spans="1:31" x14ac:dyDescent="0.25">
      <c r="A110" s="1"/>
      <c r="B110" s="1"/>
      <c r="C110" s="1"/>
      <c r="D110" s="1"/>
      <c r="E110" s="1"/>
      <c r="F110" s="1" t="s">
        <v>109</v>
      </c>
      <c r="G110" s="2">
        <v>1352</v>
      </c>
      <c r="H110" s="3"/>
      <c r="I110" s="2">
        <v>1352</v>
      </c>
      <c r="J110" s="3"/>
      <c r="K110" s="2">
        <v>1352</v>
      </c>
      <c r="L110" s="3"/>
      <c r="M110" s="2">
        <v>2640</v>
      </c>
      <c r="N110" s="3"/>
      <c r="O110" s="2">
        <v>2640</v>
      </c>
      <c r="P110" s="3"/>
      <c r="Q110" s="2">
        <v>2640</v>
      </c>
      <c r="R110" s="3"/>
      <c r="S110" s="2">
        <v>2640</v>
      </c>
      <c r="T110" s="3"/>
      <c r="U110" s="2">
        <v>2640</v>
      </c>
      <c r="V110" s="3"/>
      <c r="W110" s="2">
        <v>2640</v>
      </c>
      <c r="X110" s="3"/>
      <c r="Y110" s="2">
        <v>2640</v>
      </c>
      <c r="Z110" s="3"/>
      <c r="AA110" s="2">
        <v>2640</v>
      </c>
      <c r="AB110" s="3"/>
      <c r="AC110" s="2">
        <v>2640</v>
      </c>
      <c r="AD110" s="3"/>
      <c r="AE110" s="2">
        <f t="shared" si="7"/>
        <v>27816</v>
      </c>
    </row>
    <row r="111" spans="1:31" x14ac:dyDescent="0.25">
      <c r="A111" s="1"/>
      <c r="B111" s="1"/>
      <c r="C111" s="1"/>
      <c r="D111" s="1"/>
      <c r="E111" s="1"/>
      <c r="F111" s="1" t="s">
        <v>110</v>
      </c>
      <c r="G111" s="2">
        <v>9101</v>
      </c>
      <c r="H111" s="3"/>
      <c r="I111" s="2">
        <v>9101</v>
      </c>
      <c r="J111" s="3"/>
      <c r="K111" s="2">
        <v>9101</v>
      </c>
      <c r="L111" s="3"/>
      <c r="M111" s="2">
        <v>9101</v>
      </c>
      <c r="N111" s="3"/>
      <c r="O111" s="2">
        <v>9101</v>
      </c>
      <c r="P111" s="3"/>
      <c r="Q111" s="2">
        <v>9101</v>
      </c>
      <c r="R111" s="3"/>
      <c r="S111" s="2">
        <v>9101</v>
      </c>
      <c r="T111" s="3"/>
      <c r="U111" s="2">
        <v>9101</v>
      </c>
      <c r="V111" s="3"/>
      <c r="W111" s="2">
        <v>9101</v>
      </c>
      <c r="X111" s="3"/>
      <c r="Y111" s="2">
        <v>9101</v>
      </c>
      <c r="Z111" s="3"/>
      <c r="AA111" s="2">
        <v>9101</v>
      </c>
      <c r="AB111" s="3"/>
      <c r="AC111" s="2">
        <v>9101</v>
      </c>
      <c r="AD111" s="3"/>
      <c r="AE111" s="2">
        <f t="shared" si="7"/>
        <v>109212</v>
      </c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6464.1</v>
      </c>
      <c r="H112" s="3"/>
      <c r="I112" s="2">
        <v>6627.66</v>
      </c>
      <c r="J112" s="3"/>
      <c r="K112" s="2">
        <v>8112.44</v>
      </c>
      <c r="L112" s="3"/>
      <c r="M112" s="2">
        <v>7207.18</v>
      </c>
      <c r="N112" s="3"/>
      <c r="O112" s="2">
        <v>7533.7</v>
      </c>
      <c r="P112" s="3"/>
      <c r="Q112" s="2">
        <v>5604.56</v>
      </c>
      <c r="R112" s="3"/>
      <c r="S112" s="2">
        <v>6801.23</v>
      </c>
      <c r="T112" s="3"/>
      <c r="U112" s="2">
        <v>5722.34</v>
      </c>
      <c r="V112" s="3"/>
      <c r="W112" s="2">
        <v>6122.34</v>
      </c>
      <c r="X112" s="3"/>
      <c r="Y112" s="2">
        <v>7527.77</v>
      </c>
      <c r="Z112" s="3"/>
      <c r="AA112" s="2">
        <v>5808.27</v>
      </c>
      <c r="AB112" s="3"/>
      <c r="AC112" s="2">
        <v>6728.4</v>
      </c>
      <c r="AD112" s="3"/>
      <c r="AE112" s="2">
        <f t="shared" si="7"/>
        <v>80259.990000000005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0</v>
      </c>
      <c r="H113" s="3"/>
      <c r="I113" s="2">
        <v>4000</v>
      </c>
      <c r="J113" s="3"/>
      <c r="K113" s="2">
        <v>0</v>
      </c>
      <c r="L113" s="3"/>
      <c r="M113" s="2">
        <v>0</v>
      </c>
      <c r="N113" s="3"/>
      <c r="O113" s="2">
        <v>0</v>
      </c>
      <c r="P113" s="3"/>
      <c r="Q113" s="2">
        <v>0</v>
      </c>
      <c r="R113" s="3"/>
      <c r="S113" s="2">
        <v>0</v>
      </c>
      <c r="T113" s="3"/>
      <c r="U113" s="2">
        <v>0</v>
      </c>
      <c r="V113" s="3"/>
      <c r="W113" s="2">
        <v>0</v>
      </c>
      <c r="X113" s="3"/>
      <c r="Y113" s="2">
        <v>0</v>
      </c>
      <c r="Z113" s="3"/>
      <c r="AA113" s="2">
        <v>0</v>
      </c>
      <c r="AB113" s="3"/>
      <c r="AC113" s="2">
        <v>0</v>
      </c>
      <c r="AD113" s="3"/>
      <c r="AE113" s="2">
        <f t="shared" si="7"/>
        <v>4000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325</v>
      </c>
      <c r="H114" s="3"/>
      <c r="I114" s="2">
        <v>0</v>
      </c>
      <c r="J114" s="3"/>
      <c r="K114" s="2">
        <v>0</v>
      </c>
      <c r="L114" s="3"/>
      <c r="M114" s="2">
        <v>0</v>
      </c>
      <c r="N114" s="3"/>
      <c r="O114" s="2">
        <v>0</v>
      </c>
      <c r="P114" s="3"/>
      <c r="Q114" s="2">
        <v>0</v>
      </c>
      <c r="R114" s="3"/>
      <c r="S114" s="2">
        <v>1675</v>
      </c>
      <c r="T114" s="3"/>
      <c r="U114" s="2">
        <v>3030</v>
      </c>
      <c r="V114" s="3"/>
      <c r="W114" s="2">
        <v>335</v>
      </c>
      <c r="X114" s="3"/>
      <c r="Y114" s="2">
        <v>0</v>
      </c>
      <c r="Z114" s="3"/>
      <c r="AA114" s="2">
        <v>1996.88</v>
      </c>
      <c r="AB114" s="3"/>
      <c r="AC114" s="2">
        <v>0</v>
      </c>
      <c r="AD114" s="3"/>
      <c r="AE114" s="2">
        <f t="shared" si="7"/>
        <v>7361.88</v>
      </c>
    </row>
    <row r="115" spans="1:31" x14ac:dyDescent="0.25">
      <c r="A115" s="1"/>
      <c r="B115" s="1"/>
      <c r="C115" s="1"/>
      <c r="D115" s="1"/>
      <c r="E115" s="1"/>
      <c r="F115" s="1" t="s">
        <v>114</v>
      </c>
      <c r="G115" s="2">
        <v>0</v>
      </c>
      <c r="H115" s="3"/>
      <c r="I115" s="2">
        <v>100</v>
      </c>
      <c r="J115" s="3"/>
      <c r="K115" s="2">
        <v>0</v>
      </c>
      <c r="L115" s="3"/>
      <c r="M115" s="2">
        <v>0</v>
      </c>
      <c r="N115" s="3"/>
      <c r="O115" s="2">
        <v>100</v>
      </c>
      <c r="P115" s="3"/>
      <c r="Q115" s="2">
        <v>0</v>
      </c>
      <c r="R115" s="3"/>
      <c r="S115" s="2">
        <v>0</v>
      </c>
      <c r="T115" s="3"/>
      <c r="U115" s="2">
        <v>0</v>
      </c>
      <c r="V115" s="3"/>
      <c r="W115" s="2">
        <v>0</v>
      </c>
      <c r="X115" s="3"/>
      <c r="Y115" s="2">
        <v>0</v>
      </c>
      <c r="Z115" s="3"/>
      <c r="AA115" s="2">
        <v>200</v>
      </c>
      <c r="AB115" s="3"/>
      <c r="AC115" s="2">
        <v>0</v>
      </c>
      <c r="AD115" s="3"/>
      <c r="AE115" s="2">
        <f t="shared" si="7"/>
        <v>400</v>
      </c>
    </row>
    <row r="116" spans="1:31" x14ac:dyDescent="0.25">
      <c r="A116" s="1"/>
      <c r="B116" s="1"/>
      <c r="C116" s="1"/>
      <c r="D116" s="1"/>
      <c r="E116" s="1"/>
      <c r="F116" s="1" t="s">
        <v>115</v>
      </c>
      <c r="G116" s="2">
        <v>0</v>
      </c>
      <c r="H116" s="3"/>
      <c r="I116" s="2">
        <v>40</v>
      </c>
      <c r="J116" s="3"/>
      <c r="K116" s="2">
        <v>561</v>
      </c>
      <c r="L116" s="3"/>
      <c r="M116" s="2">
        <v>0</v>
      </c>
      <c r="N116" s="3"/>
      <c r="O116" s="2">
        <v>260</v>
      </c>
      <c r="P116" s="3"/>
      <c r="Q116" s="2">
        <v>292</v>
      </c>
      <c r="R116" s="3"/>
      <c r="S116" s="2">
        <v>90</v>
      </c>
      <c r="T116" s="3"/>
      <c r="U116" s="2">
        <v>0</v>
      </c>
      <c r="V116" s="3"/>
      <c r="W116" s="2">
        <v>247</v>
      </c>
      <c r="X116" s="3"/>
      <c r="Y116" s="2">
        <v>806</v>
      </c>
      <c r="Z116" s="3"/>
      <c r="AA116" s="2">
        <v>45</v>
      </c>
      <c r="AB116" s="3"/>
      <c r="AC116" s="2">
        <v>542</v>
      </c>
      <c r="AD116" s="3"/>
      <c r="AE116" s="2">
        <f t="shared" si="7"/>
        <v>2883</v>
      </c>
    </row>
    <row r="117" spans="1:31" x14ac:dyDescent="0.25">
      <c r="A117" s="1"/>
      <c r="B117" s="1"/>
      <c r="C117" s="1"/>
      <c r="D117" s="1"/>
      <c r="E117" s="1"/>
      <c r="F117" s="1" t="s">
        <v>116</v>
      </c>
      <c r="G117" s="2">
        <v>3979.78</v>
      </c>
      <c r="H117" s="3"/>
      <c r="I117" s="2">
        <v>11038.87</v>
      </c>
      <c r="J117" s="3"/>
      <c r="K117" s="2">
        <v>3528.07</v>
      </c>
      <c r="L117" s="3"/>
      <c r="M117" s="2">
        <v>2415.98</v>
      </c>
      <c r="N117" s="3"/>
      <c r="O117" s="2">
        <v>10000.27</v>
      </c>
      <c r="P117" s="3"/>
      <c r="Q117" s="2">
        <v>7345.77</v>
      </c>
      <c r="R117" s="3"/>
      <c r="S117" s="2">
        <v>8592.16</v>
      </c>
      <c r="T117" s="3"/>
      <c r="U117" s="2">
        <v>4977.6400000000003</v>
      </c>
      <c r="V117" s="3"/>
      <c r="W117" s="2">
        <v>3395.35</v>
      </c>
      <c r="X117" s="3"/>
      <c r="Y117" s="2">
        <v>3621.37</v>
      </c>
      <c r="Z117" s="3"/>
      <c r="AA117" s="2">
        <v>5327.73</v>
      </c>
      <c r="AB117" s="3"/>
      <c r="AC117" s="2">
        <v>4510.57</v>
      </c>
      <c r="AD117" s="3"/>
      <c r="AE117" s="2">
        <f t="shared" si="7"/>
        <v>68733.56</v>
      </c>
    </row>
    <row r="118" spans="1:31" x14ac:dyDescent="0.25">
      <c r="A118" s="1"/>
      <c r="B118" s="1"/>
      <c r="C118" s="1"/>
      <c r="D118" s="1"/>
      <c r="E118" s="1"/>
      <c r="F118" s="1" t="s">
        <v>117</v>
      </c>
      <c r="G118" s="2">
        <v>301.89</v>
      </c>
      <c r="H118" s="3"/>
      <c r="I118" s="2">
        <v>736.29</v>
      </c>
      <c r="J118" s="3"/>
      <c r="K118" s="2">
        <v>409.38</v>
      </c>
      <c r="L118" s="3"/>
      <c r="M118" s="2">
        <v>3309.22</v>
      </c>
      <c r="N118" s="3"/>
      <c r="O118" s="2">
        <v>589.02</v>
      </c>
      <c r="P118" s="3"/>
      <c r="Q118" s="2">
        <v>495.25</v>
      </c>
      <c r="R118" s="3"/>
      <c r="S118" s="2">
        <v>589.65</v>
      </c>
      <c r="T118" s="3"/>
      <c r="U118" s="2">
        <v>495.25</v>
      </c>
      <c r="V118" s="3"/>
      <c r="W118" s="2">
        <v>4111.67</v>
      </c>
      <c r="X118" s="3"/>
      <c r="Y118" s="2">
        <v>920.56</v>
      </c>
      <c r="Z118" s="3"/>
      <c r="AA118" s="2">
        <v>584.92999999999995</v>
      </c>
      <c r="AB118" s="3"/>
      <c r="AC118" s="2">
        <v>724.32</v>
      </c>
      <c r="AD118" s="3"/>
      <c r="AE118" s="2">
        <f t="shared" si="7"/>
        <v>13267.43</v>
      </c>
    </row>
    <row r="119" spans="1:31" x14ac:dyDescent="0.25">
      <c r="A119" s="1"/>
      <c r="B119" s="1"/>
      <c r="C119" s="1"/>
      <c r="D119" s="1"/>
      <c r="E119" s="1"/>
      <c r="F119" s="1" t="s">
        <v>118</v>
      </c>
      <c r="G119" s="2">
        <v>264.58999999999997</v>
      </c>
      <c r="H119" s="3"/>
      <c r="I119" s="2">
        <v>215.82</v>
      </c>
      <c r="J119" s="3"/>
      <c r="K119" s="2">
        <v>153.91</v>
      </c>
      <c r="L119" s="3"/>
      <c r="M119" s="2">
        <v>118.22</v>
      </c>
      <c r="N119" s="3"/>
      <c r="O119" s="2">
        <v>120.34</v>
      </c>
      <c r="P119" s="3"/>
      <c r="Q119" s="2">
        <v>134.49</v>
      </c>
      <c r="R119" s="3"/>
      <c r="S119" s="2">
        <v>133.29</v>
      </c>
      <c r="T119" s="3"/>
      <c r="U119" s="2">
        <v>127.5</v>
      </c>
      <c r="V119" s="3"/>
      <c r="W119" s="2">
        <v>164.62</v>
      </c>
      <c r="X119" s="3"/>
      <c r="Y119" s="2">
        <v>156.62</v>
      </c>
      <c r="Z119" s="3"/>
      <c r="AA119" s="2">
        <v>162.85</v>
      </c>
      <c r="AB119" s="3"/>
      <c r="AC119" s="2">
        <v>124.23</v>
      </c>
      <c r="AD119" s="3"/>
      <c r="AE119" s="2">
        <f t="shared" si="7"/>
        <v>1876.48</v>
      </c>
    </row>
    <row r="120" spans="1:31" x14ac:dyDescent="0.25">
      <c r="A120" s="1"/>
      <c r="B120" s="1"/>
      <c r="C120" s="1"/>
      <c r="D120" s="1"/>
      <c r="E120" s="1"/>
      <c r="F120" s="1" t="s">
        <v>119</v>
      </c>
      <c r="G120" s="2">
        <v>182.03</v>
      </c>
      <c r="H120" s="3"/>
      <c r="I120" s="2">
        <v>182.03</v>
      </c>
      <c r="J120" s="3"/>
      <c r="K120" s="2">
        <v>182.47</v>
      </c>
      <c r="L120" s="3"/>
      <c r="M120" s="2">
        <v>182.47</v>
      </c>
      <c r="N120" s="3"/>
      <c r="O120" s="2">
        <v>182.47</v>
      </c>
      <c r="P120" s="3"/>
      <c r="Q120" s="2">
        <v>182.42</v>
      </c>
      <c r="R120" s="3"/>
      <c r="S120" s="2">
        <v>902.1</v>
      </c>
      <c r="T120" s="3"/>
      <c r="U120" s="2">
        <v>1414.94</v>
      </c>
      <c r="V120" s="3"/>
      <c r="W120" s="2">
        <v>1512.64</v>
      </c>
      <c r="X120" s="3"/>
      <c r="Y120" s="2">
        <v>1731.82</v>
      </c>
      <c r="Z120" s="3"/>
      <c r="AA120" s="2">
        <v>2341.09</v>
      </c>
      <c r="AB120" s="3"/>
      <c r="AC120" s="2">
        <v>2179.58</v>
      </c>
      <c r="AD120" s="3"/>
      <c r="AE120" s="2">
        <f t="shared" si="7"/>
        <v>11176.06</v>
      </c>
    </row>
    <row r="121" spans="1:31" x14ac:dyDescent="0.25">
      <c r="A121" s="1"/>
      <c r="B121" s="1"/>
      <c r="C121" s="1"/>
      <c r="D121" s="1"/>
      <c r="E121" s="1"/>
      <c r="F121" s="1" t="s">
        <v>120</v>
      </c>
      <c r="G121" s="2">
        <v>515.5</v>
      </c>
      <c r="H121" s="3"/>
      <c r="I121" s="2">
        <v>457.7</v>
      </c>
      <c r="J121" s="3"/>
      <c r="K121" s="2">
        <v>761.44</v>
      </c>
      <c r="L121" s="3"/>
      <c r="M121" s="2">
        <v>494.37</v>
      </c>
      <c r="N121" s="3"/>
      <c r="O121" s="2">
        <v>222.14</v>
      </c>
      <c r="P121" s="3"/>
      <c r="Q121" s="2">
        <v>332.61</v>
      </c>
      <c r="R121" s="3"/>
      <c r="S121" s="2">
        <v>269.52</v>
      </c>
      <c r="T121" s="3"/>
      <c r="U121" s="2">
        <v>228.99</v>
      </c>
      <c r="V121" s="3"/>
      <c r="W121" s="2">
        <v>380.53</v>
      </c>
      <c r="X121" s="3"/>
      <c r="Y121" s="2">
        <v>155.36000000000001</v>
      </c>
      <c r="Z121" s="3"/>
      <c r="AA121" s="2">
        <v>91.09</v>
      </c>
      <c r="AB121" s="3"/>
      <c r="AC121" s="2">
        <v>201.88</v>
      </c>
      <c r="AD121" s="3"/>
      <c r="AE121" s="2">
        <f t="shared" si="7"/>
        <v>4111.13</v>
      </c>
    </row>
    <row r="122" spans="1:31" x14ac:dyDescent="0.25">
      <c r="A122" s="1"/>
      <c r="B122" s="1"/>
      <c r="C122" s="1"/>
      <c r="D122" s="1"/>
      <c r="E122" s="1"/>
      <c r="F122" s="1" t="s">
        <v>121</v>
      </c>
      <c r="G122" s="2">
        <v>4983.9399999999996</v>
      </c>
      <c r="H122" s="3"/>
      <c r="I122" s="2">
        <v>1846.79</v>
      </c>
      <c r="J122" s="3"/>
      <c r="K122" s="2">
        <v>0</v>
      </c>
      <c r="L122" s="3"/>
      <c r="M122" s="2">
        <v>1825.16</v>
      </c>
      <c r="N122" s="3"/>
      <c r="O122" s="2">
        <v>0</v>
      </c>
      <c r="P122" s="3"/>
      <c r="Q122" s="2">
        <v>2438.77</v>
      </c>
      <c r="R122" s="3"/>
      <c r="S122" s="2">
        <v>706.58</v>
      </c>
      <c r="T122" s="3"/>
      <c r="U122" s="2">
        <v>1791.54</v>
      </c>
      <c r="V122" s="3"/>
      <c r="W122" s="2">
        <v>1706.04</v>
      </c>
      <c r="X122" s="3"/>
      <c r="Y122" s="2">
        <v>0</v>
      </c>
      <c r="Z122" s="3"/>
      <c r="AA122" s="2">
        <v>2090</v>
      </c>
      <c r="AB122" s="3"/>
      <c r="AC122" s="2">
        <v>0</v>
      </c>
      <c r="AD122" s="3"/>
      <c r="AE122" s="2">
        <f t="shared" si="7"/>
        <v>17388.82</v>
      </c>
    </row>
    <row r="123" spans="1:31" x14ac:dyDescent="0.25">
      <c r="A123" s="1"/>
      <c r="B123" s="1"/>
      <c r="C123" s="1"/>
      <c r="D123" s="1"/>
      <c r="E123" s="1"/>
      <c r="F123" s="1" t="s">
        <v>122</v>
      </c>
      <c r="G123" s="2">
        <v>63.74</v>
      </c>
      <c r="H123" s="3"/>
      <c r="I123" s="2">
        <v>1712.21</v>
      </c>
      <c r="J123" s="3"/>
      <c r="K123" s="2">
        <v>98.86</v>
      </c>
      <c r="L123" s="3"/>
      <c r="M123" s="2">
        <v>58.9</v>
      </c>
      <c r="N123" s="3"/>
      <c r="O123" s="2">
        <v>612.22</v>
      </c>
      <c r="P123" s="3"/>
      <c r="Q123" s="2">
        <v>87.49</v>
      </c>
      <c r="R123" s="3"/>
      <c r="S123" s="2">
        <v>42.9</v>
      </c>
      <c r="T123" s="3"/>
      <c r="U123" s="2">
        <v>133.01</v>
      </c>
      <c r="V123" s="3"/>
      <c r="W123" s="2">
        <v>52.75</v>
      </c>
      <c r="X123" s="3"/>
      <c r="Y123" s="2">
        <v>77.48</v>
      </c>
      <c r="Z123" s="3"/>
      <c r="AA123" s="2">
        <v>40.93</v>
      </c>
      <c r="AB123" s="3"/>
      <c r="AC123" s="2">
        <v>44.26</v>
      </c>
      <c r="AD123" s="3"/>
      <c r="AE123" s="2">
        <f t="shared" si="7"/>
        <v>3024.75</v>
      </c>
    </row>
    <row r="124" spans="1:31" x14ac:dyDescent="0.25">
      <c r="A124" s="1"/>
      <c r="B124" s="1"/>
      <c r="C124" s="1"/>
      <c r="D124" s="1"/>
      <c r="E124" s="1"/>
      <c r="F124" s="1" t="s">
        <v>123</v>
      </c>
      <c r="G124" s="2">
        <v>1380.8</v>
      </c>
      <c r="H124" s="3"/>
      <c r="I124" s="2">
        <v>1380.8</v>
      </c>
      <c r="J124" s="3"/>
      <c r="K124" s="2">
        <v>1380.8</v>
      </c>
      <c r="L124" s="3"/>
      <c r="M124" s="2">
        <v>1380.8</v>
      </c>
      <c r="N124" s="3"/>
      <c r="O124" s="2">
        <v>1380.8</v>
      </c>
      <c r="P124" s="3"/>
      <c r="Q124" s="2">
        <v>1380</v>
      </c>
      <c r="R124" s="3"/>
      <c r="S124" s="2">
        <v>0</v>
      </c>
      <c r="T124" s="3"/>
      <c r="U124" s="2">
        <v>0</v>
      </c>
      <c r="V124" s="3"/>
      <c r="W124" s="2">
        <v>4142.3999999999996</v>
      </c>
      <c r="X124" s="3"/>
      <c r="Y124" s="2">
        <v>1380.8</v>
      </c>
      <c r="Z124" s="3"/>
      <c r="AA124" s="2">
        <v>0</v>
      </c>
      <c r="AB124" s="3"/>
      <c r="AC124" s="2">
        <v>0</v>
      </c>
      <c r="AD124" s="3"/>
      <c r="AE124" s="2">
        <f t="shared" si="7"/>
        <v>13807.2</v>
      </c>
    </row>
    <row r="125" spans="1:31" x14ac:dyDescent="0.25">
      <c r="A125" s="1"/>
      <c r="B125" s="1"/>
      <c r="C125" s="1"/>
      <c r="D125" s="1"/>
      <c r="E125" s="1"/>
      <c r="F125" s="1" t="s">
        <v>124</v>
      </c>
      <c r="G125" s="2">
        <v>153.38</v>
      </c>
      <c r="H125" s="3"/>
      <c r="I125" s="2">
        <v>0</v>
      </c>
      <c r="J125" s="3"/>
      <c r="K125" s="2">
        <v>11882.13</v>
      </c>
      <c r="L125" s="3"/>
      <c r="M125" s="2">
        <v>2415</v>
      </c>
      <c r="N125" s="3"/>
      <c r="O125" s="2">
        <v>15</v>
      </c>
      <c r="P125" s="3"/>
      <c r="Q125" s="2">
        <v>35</v>
      </c>
      <c r="R125" s="3"/>
      <c r="S125" s="2">
        <v>248</v>
      </c>
      <c r="T125" s="3"/>
      <c r="U125" s="2">
        <v>0</v>
      </c>
      <c r="V125" s="3"/>
      <c r="W125" s="2">
        <v>715</v>
      </c>
      <c r="X125" s="3"/>
      <c r="Y125" s="2">
        <v>0</v>
      </c>
      <c r="Z125" s="3"/>
      <c r="AA125" s="2">
        <v>0</v>
      </c>
      <c r="AB125" s="3"/>
      <c r="AC125" s="2">
        <v>0</v>
      </c>
      <c r="AD125" s="3"/>
      <c r="AE125" s="2">
        <f t="shared" si="7"/>
        <v>15463.51</v>
      </c>
    </row>
    <row r="126" spans="1:31" x14ac:dyDescent="0.25">
      <c r="A126" s="1"/>
      <c r="B126" s="1"/>
      <c r="C126" s="1"/>
      <c r="D126" s="1"/>
      <c r="E126" s="1"/>
      <c r="F126" s="1" t="s">
        <v>125</v>
      </c>
      <c r="G126" s="2">
        <v>0</v>
      </c>
      <c r="H126" s="3"/>
      <c r="I126" s="2">
        <v>0</v>
      </c>
      <c r="J126" s="3"/>
      <c r="K126" s="2">
        <v>0</v>
      </c>
      <c r="L126" s="3"/>
      <c r="M126" s="2">
        <v>1012.97</v>
      </c>
      <c r="N126" s="3"/>
      <c r="O126" s="2">
        <v>0</v>
      </c>
      <c r="P126" s="3"/>
      <c r="Q126" s="2">
        <v>0</v>
      </c>
      <c r="R126" s="3"/>
      <c r="S126" s="2">
        <v>0</v>
      </c>
      <c r="T126" s="3"/>
      <c r="U126" s="2">
        <v>2439.3000000000002</v>
      </c>
      <c r="V126" s="3"/>
      <c r="W126" s="2">
        <v>0</v>
      </c>
      <c r="X126" s="3"/>
      <c r="Y126" s="2">
        <v>2527.58</v>
      </c>
      <c r="Z126" s="3"/>
      <c r="AA126" s="2">
        <v>7.14</v>
      </c>
      <c r="AB126" s="3"/>
      <c r="AC126" s="2">
        <v>1083.05</v>
      </c>
      <c r="AD126" s="3"/>
      <c r="AE126" s="2">
        <f t="shared" si="7"/>
        <v>7070.04</v>
      </c>
    </row>
    <row r="127" spans="1:31" x14ac:dyDescent="0.25">
      <c r="A127" s="1"/>
      <c r="B127" s="1"/>
      <c r="C127" s="1"/>
      <c r="D127" s="1"/>
      <c r="E127" s="1"/>
      <c r="F127" s="1" t="s">
        <v>126</v>
      </c>
      <c r="G127" s="2">
        <v>2119.66</v>
      </c>
      <c r="H127" s="3"/>
      <c r="I127" s="2">
        <v>2469.1999999999998</v>
      </c>
      <c r="J127" s="3"/>
      <c r="K127" s="2">
        <v>2553.81</v>
      </c>
      <c r="L127" s="3"/>
      <c r="M127" s="2">
        <v>0</v>
      </c>
      <c r="N127" s="3"/>
      <c r="O127" s="2">
        <v>8225.67</v>
      </c>
      <c r="P127" s="3"/>
      <c r="Q127" s="2">
        <v>0</v>
      </c>
      <c r="R127" s="3"/>
      <c r="S127" s="2">
        <v>4851.55</v>
      </c>
      <c r="T127" s="3"/>
      <c r="U127" s="2">
        <v>2333.0500000000002</v>
      </c>
      <c r="V127" s="3"/>
      <c r="W127" s="2">
        <v>0</v>
      </c>
      <c r="X127" s="3"/>
      <c r="Y127" s="2">
        <v>2363.3000000000002</v>
      </c>
      <c r="Z127" s="3"/>
      <c r="AA127" s="2">
        <v>3946.04</v>
      </c>
      <c r="AB127" s="3"/>
      <c r="AC127" s="2">
        <v>1970.68</v>
      </c>
      <c r="AD127" s="3"/>
      <c r="AE127" s="2">
        <f t="shared" si="7"/>
        <v>30832.959999999999</v>
      </c>
    </row>
    <row r="128" spans="1:31" x14ac:dyDescent="0.25">
      <c r="A128" s="1"/>
      <c r="B128" s="1"/>
      <c r="C128" s="1"/>
      <c r="D128" s="1"/>
      <c r="E128" s="1"/>
      <c r="F128" s="1" t="s">
        <v>127</v>
      </c>
      <c r="G128" s="2">
        <v>8414.43</v>
      </c>
      <c r="H128" s="3"/>
      <c r="I128" s="2">
        <v>8414.4599999999991</v>
      </c>
      <c r="J128" s="3"/>
      <c r="K128" s="2">
        <v>7019</v>
      </c>
      <c r="L128" s="3"/>
      <c r="M128" s="2">
        <v>9018.34</v>
      </c>
      <c r="N128" s="3"/>
      <c r="O128" s="2">
        <v>9427.73</v>
      </c>
      <c r="P128" s="3"/>
      <c r="Q128" s="2">
        <v>10408.01</v>
      </c>
      <c r="R128" s="3"/>
      <c r="S128" s="2">
        <v>11992.52</v>
      </c>
      <c r="T128" s="3"/>
      <c r="U128" s="2">
        <v>9427.73</v>
      </c>
      <c r="V128" s="3"/>
      <c r="W128" s="2">
        <v>11902.24</v>
      </c>
      <c r="X128" s="3"/>
      <c r="Y128" s="2">
        <v>11012.24</v>
      </c>
      <c r="Z128" s="3"/>
      <c r="AA128" s="2">
        <v>11012.24</v>
      </c>
      <c r="AB128" s="3"/>
      <c r="AC128" s="2">
        <v>11012.24</v>
      </c>
      <c r="AD128" s="3"/>
      <c r="AE128" s="2">
        <f t="shared" si="7"/>
        <v>119061.18</v>
      </c>
    </row>
    <row r="129" spans="1:31" x14ac:dyDescent="0.25">
      <c r="A129" s="1"/>
      <c r="B129" s="1"/>
      <c r="C129" s="1"/>
      <c r="D129" s="1"/>
      <c r="E129" s="1"/>
      <c r="F129" s="1" t="s">
        <v>128</v>
      </c>
      <c r="G129" s="2">
        <v>1070.73</v>
      </c>
      <c r="H129" s="3"/>
      <c r="I129" s="2">
        <v>271.95</v>
      </c>
      <c r="J129" s="3"/>
      <c r="K129" s="2">
        <v>1085.2</v>
      </c>
      <c r="L129" s="3"/>
      <c r="M129" s="2">
        <v>1868.98</v>
      </c>
      <c r="N129" s="3"/>
      <c r="O129" s="2">
        <v>462.65</v>
      </c>
      <c r="P129" s="3"/>
      <c r="Q129" s="2">
        <v>1325.52</v>
      </c>
      <c r="R129" s="3"/>
      <c r="S129" s="2">
        <v>2339.36</v>
      </c>
      <c r="T129" s="3"/>
      <c r="U129" s="2">
        <v>0</v>
      </c>
      <c r="V129" s="3"/>
      <c r="W129" s="2">
        <v>474.64</v>
      </c>
      <c r="X129" s="3"/>
      <c r="Y129" s="2">
        <v>0</v>
      </c>
      <c r="Z129" s="3"/>
      <c r="AA129" s="2">
        <v>0</v>
      </c>
      <c r="AB129" s="3"/>
      <c r="AC129" s="2">
        <v>0</v>
      </c>
      <c r="AD129" s="3"/>
      <c r="AE129" s="2">
        <f t="shared" si="7"/>
        <v>8899.0300000000007</v>
      </c>
    </row>
    <row r="130" spans="1:31" x14ac:dyDescent="0.25">
      <c r="A130" s="1"/>
      <c r="B130" s="1"/>
      <c r="C130" s="1"/>
      <c r="D130" s="1"/>
      <c r="E130" s="1"/>
      <c r="F130" s="1" t="s">
        <v>129</v>
      </c>
      <c r="G130" s="2">
        <v>0</v>
      </c>
      <c r="H130" s="3"/>
      <c r="I130" s="2">
        <v>0</v>
      </c>
      <c r="J130" s="3"/>
      <c r="K130" s="2">
        <v>1000</v>
      </c>
      <c r="L130" s="3"/>
      <c r="M130" s="2">
        <v>250</v>
      </c>
      <c r="N130" s="3"/>
      <c r="O130" s="2">
        <v>0</v>
      </c>
      <c r="P130" s="3"/>
      <c r="Q130" s="2">
        <v>0</v>
      </c>
      <c r="R130" s="3"/>
      <c r="S130" s="2">
        <v>0</v>
      </c>
      <c r="T130" s="3"/>
      <c r="U130" s="2">
        <v>0</v>
      </c>
      <c r="V130" s="3"/>
      <c r="W130" s="2">
        <v>0</v>
      </c>
      <c r="X130" s="3"/>
      <c r="Y130" s="2">
        <v>0</v>
      </c>
      <c r="Z130" s="3"/>
      <c r="AA130" s="2">
        <v>0</v>
      </c>
      <c r="AB130" s="3"/>
      <c r="AC130" s="2">
        <v>0</v>
      </c>
      <c r="AD130" s="3"/>
      <c r="AE130" s="2">
        <f t="shared" si="7"/>
        <v>1250</v>
      </c>
    </row>
    <row r="131" spans="1:31" ht="15.75" thickBot="1" x14ac:dyDescent="0.3">
      <c r="A131" s="1"/>
      <c r="B131" s="1"/>
      <c r="C131" s="1"/>
      <c r="D131" s="1"/>
      <c r="E131" s="1"/>
      <c r="F131" s="1" t="s">
        <v>130</v>
      </c>
      <c r="G131" s="4">
        <v>0</v>
      </c>
      <c r="H131" s="3"/>
      <c r="I131" s="4">
        <v>0</v>
      </c>
      <c r="J131" s="3"/>
      <c r="K131" s="4">
        <v>0</v>
      </c>
      <c r="L131" s="3"/>
      <c r="M131" s="4">
        <v>0</v>
      </c>
      <c r="N131" s="3"/>
      <c r="O131" s="4">
        <v>0</v>
      </c>
      <c r="P131" s="3"/>
      <c r="Q131" s="4">
        <v>0</v>
      </c>
      <c r="R131" s="3"/>
      <c r="S131" s="4">
        <v>0</v>
      </c>
      <c r="T131" s="3"/>
      <c r="U131" s="4">
        <v>0</v>
      </c>
      <c r="V131" s="3"/>
      <c r="W131" s="4">
        <v>0</v>
      </c>
      <c r="X131" s="3"/>
      <c r="Y131" s="4">
        <v>0</v>
      </c>
      <c r="Z131" s="3"/>
      <c r="AA131" s="4">
        <v>1599</v>
      </c>
      <c r="AB131" s="3"/>
      <c r="AC131" s="4">
        <v>1788</v>
      </c>
      <c r="AD131" s="3"/>
      <c r="AE131" s="4">
        <f t="shared" si="7"/>
        <v>3387</v>
      </c>
    </row>
    <row r="132" spans="1:31" ht="15.75" thickBot="1" x14ac:dyDescent="0.3">
      <c r="A132" s="1"/>
      <c r="B132" s="1"/>
      <c r="C132" s="1"/>
      <c r="D132" s="1"/>
      <c r="E132" s="1" t="s">
        <v>131</v>
      </c>
      <c r="F132" s="1"/>
      <c r="G132" s="7">
        <f>ROUND(SUM(G103:G131),5)</f>
        <v>62836.23</v>
      </c>
      <c r="H132" s="3"/>
      <c r="I132" s="7">
        <f>ROUND(SUM(I103:I131),5)</f>
        <v>72298.66</v>
      </c>
      <c r="J132" s="3"/>
      <c r="K132" s="7">
        <f>ROUND(SUM(K103:K131),5)</f>
        <v>72551.679999999993</v>
      </c>
      <c r="L132" s="3"/>
      <c r="M132" s="7">
        <f>ROUND(SUM(M103:M131),5)</f>
        <v>65125.15</v>
      </c>
      <c r="N132" s="3"/>
      <c r="O132" s="7">
        <f>ROUND(SUM(O103:O131),5)</f>
        <v>69346.009999999995</v>
      </c>
      <c r="P132" s="3"/>
      <c r="Q132" s="7">
        <f>ROUND(SUM(Q103:Q131),5)</f>
        <v>62794.32</v>
      </c>
      <c r="R132" s="3"/>
      <c r="S132" s="7">
        <f>ROUND(SUM(S103:S131),5)</f>
        <v>74751.66</v>
      </c>
      <c r="T132" s="3"/>
      <c r="U132" s="7">
        <f>ROUND(SUM(U103:U131),5)</f>
        <v>66994.53</v>
      </c>
      <c r="V132" s="3"/>
      <c r="W132" s="7">
        <f>ROUND(SUM(W103:W131),5)</f>
        <v>71017.17</v>
      </c>
      <c r="X132" s="3"/>
      <c r="Y132" s="7">
        <f>ROUND(SUM(Y103:Y131),5)</f>
        <v>67970.25</v>
      </c>
      <c r="Z132" s="3"/>
      <c r="AA132" s="7">
        <f>ROUND(SUM(AA103:AA131),5)</f>
        <v>71986.52</v>
      </c>
      <c r="AB132" s="3"/>
      <c r="AC132" s="7">
        <f>ROUND(SUM(AC103:AC131),5)</f>
        <v>68715.100000000006</v>
      </c>
      <c r="AD132" s="3"/>
      <c r="AE132" s="7">
        <f t="shared" si="7"/>
        <v>826387.28</v>
      </c>
    </row>
    <row r="133" spans="1:31" ht="15.75" thickBot="1" x14ac:dyDescent="0.3">
      <c r="A133" s="1"/>
      <c r="B133" s="1"/>
      <c r="C133" s="1"/>
      <c r="D133" s="1" t="s">
        <v>132</v>
      </c>
      <c r="E133" s="1"/>
      <c r="F133" s="1"/>
      <c r="G133" s="5">
        <f>ROUND(G29+G53+G64+G75+G85+G94+G102+G132,5)</f>
        <v>257447.23</v>
      </c>
      <c r="H133" s="3"/>
      <c r="I133" s="5">
        <f>ROUND(I29+I53+I64+I75+I85+I94+I102+I132,5)</f>
        <v>261929.31</v>
      </c>
      <c r="J133" s="3"/>
      <c r="K133" s="5">
        <f>ROUND(K29+K53+K64+K75+K85+K94+K102+K132,5)</f>
        <v>247259.56</v>
      </c>
      <c r="L133" s="3"/>
      <c r="M133" s="5">
        <f>ROUND(M29+M53+M64+M75+M85+M94+M102+M132,5)</f>
        <v>254869.19</v>
      </c>
      <c r="N133" s="3"/>
      <c r="O133" s="5">
        <f>ROUND(O29+O53+O64+O75+O85+O94+O102+O132,5)</f>
        <v>275838.69</v>
      </c>
      <c r="P133" s="3"/>
      <c r="Q133" s="5">
        <f>ROUND(Q29+Q53+Q64+Q75+Q85+Q94+Q102+Q132,5)</f>
        <v>243154.5</v>
      </c>
      <c r="R133" s="3"/>
      <c r="S133" s="5">
        <f>ROUND(S29+S53+S64+S75+S85+S94+S102+S132,5)</f>
        <v>277990.21999999997</v>
      </c>
      <c r="T133" s="3"/>
      <c r="U133" s="5">
        <f>ROUND(U29+U53+U64+U75+U85+U94+U102+U132,5)</f>
        <v>295781.68</v>
      </c>
      <c r="V133" s="3"/>
      <c r="W133" s="5">
        <f>ROUND(W29+W53+W64+W75+W85+W94+W102+W132,5)</f>
        <v>274998.65000000002</v>
      </c>
      <c r="X133" s="3"/>
      <c r="Y133" s="5">
        <f>ROUND(Y29+Y53+Y64+Y75+Y85+Y94+Y102+Y132,5)</f>
        <v>268514.46000000002</v>
      </c>
      <c r="Z133" s="3"/>
      <c r="AA133" s="5">
        <f>ROUND(AA29+AA53+AA64+AA75+AA85+AA94+AA102+AA132,5)</f>
        <v>283849.49</v>
      </c>
      <c r="AB133" s="3"/>
      <c r="AC133" s="5">
        <f>ROUND(AC29+AC53+AC64+AC75+AC85+AC94+AC102+AC132,5)</f>
        <v>276774.7</v>
      </c>
      <c r="AD133" s="3"/>
      <c r="AE133" s="5">
        <f t="shared" si="7"/>
        <v>3218407.68</v>
      </c>
    </row>
    <row r="134" spans="1:31" x14ac:dyDescent="0.25">
      <c r="A134" s="1"/>
      <c r="B134" s="1" t="s">
        <v>133</v>
      </c>
      <c r="C134" s="1"/>
      <c r="D134" s="1"/>
      <c r="E134" s="1"/>
      <c r="F134" s="1"/>
      <c r="G134" s="2">
        <f>ROUND(G2+G28-G133,5)</f>
        <v>11044.78</v>
      </c>
      <c r="H134" s="3"/>
      <c r="I134" s="2">
        <f>ROUND(I2+I28-I133,5)</f>
        <v>29412.94</v>
      </c>
      <c r="J134" s="3"/>
      <c r="K134" s="2">
        <f>ROUND(K2+K28-K133,5)</f>
        <v>11095.93</v>
      </c>
      <c r="L134" s="3"/>
      <c r="M134" s="2">
        <f>ROUND(M2+M28-M133,5)</f>
        <v>22631.29</v>
      </c>
      <c r="N134" s="3"/>
      <c r="O134" s="2">
        <f>ROUND(O2+O28-O133,5)</f>
        <v>14192.38</v>
      </c>
      <c r="P134" s="3"/>
      <c r="Q134" s="2">
        <f>ROUND(Q2+Q28-Q133,5)</f>
        <v>38676.68</v>
      </c>
      <c r="R134" s="3"/>
      <c r="S134" s="2">
        <f>ROUND(S2+S28-S133,5)</f>
        <v>26233.25</v>
      </c>
      <c r="T134" s="3"/>
      <c r="U134" s="2">
        <f>ROUND(U2+U28-U133,5)</f>
        <v>11806.58</v>
      </c>
      <c r="V134" s="3"/>
      <c r="W134" s="2">
        <f>ROUND(W2+W28-W133,5)</f>
        <v>57363.79</v>
      </c>
      <c r="X134" s="3"/>
      <c r="Y134" s="2">
        <f>ROUND(Y2+Y28-Y133,5)</f>
        <v>-1824.49</v>
      </c>
      <c r="Z134" s="3"/>
      <c r="AA134" s="2">
        <f>ROUND(AA2+AA28-AA133,5)</f>
        <v>14925.46</v>
      </c>
      <c r="AB134" s="3"/>
      <c r="AC134" s="2">
        <f>ROUND(AC2+AC28-AC133,5)</f>
        <v>56504.44</v>
      </c>
      <c r="AD134" s="3"/>
      <c r="AE134" s="2">
        <f t="shared" si="7"/>
        <v>292063.03000000003</v>
      </c>
    </row>
    <row r="135" spans="1:31" x14ac:dyDescent="0.25">
      <c r="A135" s="1"/>
      <c r="B135" s="1" t="s">
        <v>134</v>
      </c>
      <c r="C135" s="1"/>
      <c r="D135" s="1"/>
      <c r="E135" s="1"/>
      <c r="F135" s="1"/>
      <c r="G135" s="2"/>
      <c r="H135" s="3"/>
      <c r="I135" s="2"/>
      <c r="J135" s="3"/>
      <c r="K135" s="2"/>
      <c r="L135" s="3"/>
      <c r="M135" s="2"/>
      <c r="N135" s="3"/>
      <c r="O135" s="2"/>
      <c r="P135" s="3"/>
      <c r="Q135" s="2"/>
      <c r="R135" s="3"/>
      <c r="S135" s="2"/>
      <c r="T135" s="3"/>
      <c r="U135" s="2"/>
      <c r="V135" s="3"/>
      <c r="W135" s="2"/>
      <c r="X135" s="3"/>
      <c r="Y135" s="2"/>
      <c r="Z135" s="3"/>
      <c r="AA135" s="2"/>
      <c r="AB135" s="3"/>
      <c r="AC135" s="2"/>
      <c r="AD135" s="3"/>
      <c r="AE135" s="2"/>
    </row>
    <row r="136" spans="1:31" x14ac:dyDescent="0.25">
      <c r="A136" s="1"/>
      <c r="B136" s="1"/>
      <c r="C136" s="1" t="s">
        <v>135</v>
      </c>
      <c r="D136" s="1"/>
      <c r="E136" s="1"/>
      <c r="F136" s="1"/>
      <c r="G136" s="2"/>
      <c r="H136" s="3"/>
      <c r="I136" s="2"/>
      <c r="J136" s="3"/>
      <c r="K136" s="2"/>
      <c r="L136" s="3"/>
      <c r="M136" s="2"/>
      <c r="N136" s="3"/>
      <c r="O136" s="2"/>
      <c r="P136" s="3"/>
      <c r="Q136" s="2"/>
      <c r="R136" s="3"/>
      <c r="S136" s="2"/>
      <c r="T136" s="3"/>
      <c r="U136" s="2"/>
      <c r="V136" s="3"/>
      <c r="W136" s="2"/>
      <c r="X136" s="3"/>
      <c r="Y136" s="2"/>
      <c r="Z136" s="3"/>
      <c r="AA136" s="2"/>
      <c r="AB136" s="3"/>
      <c r="AC136" s="2"/>
      <c r="AD136" s="3"/>
      <c r="AE136" s="2"/>
    </row>
    <row r="137" spans="1:31" x14ac:dyDescent="0.25">
      <c r="A137" s="1"/>
      <c r="B137" s="1"/>
      <c r="C137" s="1"/>
      <c r="D137" s="1" t="s">
        <v>136</v>
      </c>
      <c r="E137" s="1"/>
      <c r="F137" s="1"/>
      <c r="G137" s="2"/>
      <c r="H137" s="3"/>
      <c r="I137" s="2"/>
      <c r="J137" s="3"/>
      <c r="K137" s="2"/>
      <c r="L137" s="3"/>
      <c r="M137" s="2"/>
      <c r="N137" s="3"/>
      <c r="O137" s="2"/>
      <c r="P137" s="3"/>
      <c r="Q137" s="2"/>
      <c r="R137" s="3"/>
      <c r="S137" s="2"/>
      <c r="T137" s="3"/>
      <c r="U137" s="2"/>
      <c r="V137" s="3"/>
      <c r="W137" s="2"/>
      <c r="X137" s="3"/>
      <c r="Y137" s="2"/>
      <c r="Z137" s="3"/>
      <c r="AA137" s="2"/>
      <c r="AB137" s="3"/>
      <c r="AC137" s="2"/>
      <c r="AD137" s="3"/>
      <c r="AE137" s="2"/>
    </row>
    <row r="138" spans="1:31" x14ac:dyDescent="0.25">
      <c r="A138" s="1"/>
      <c r="B138" s="1"/>
      <c r="C138" s="1"/>
      <c r="D138" s="1"/>
      <c r="E138" s="1" t="s">
        <v>137</v>
      </c>
      <c r="F138" s="1"/>
      <c r="G138" s="2">
        <v>22340</v>
      </c>
      <c r="H138" s="3"/>
      <c r="I138" s="2">
        <v>22340</v>
      </c>
      <c r="J138" s="3"/>
      <c r="K138" s="2">
        <v>22340</v>
      </c>
      <c r="L138" s="3"/>
      <c r="M138" s="2">
        <v>24202.13</v>
      </c>
      <c r="N138" s="3"/>
      <c r="O138" s="2">
        <v>24202.13</v>
      </c>
      <c r="P138" s="3"/>
      <c r="Q138" s="2">
        <v>24202.13</v>
      </c>
      <c r="R138" s="3"/>
      <c r="S138" s="2">
        <v>24202.13</v>
      </c>
      <c r="T138" s="3"/>
      <c r="U138" s="2">
        <v>24202.13</v>
      </c>
      <c r="V138" s="3"/>
      <c r="W138" s="2">
        <v>24202.13</v>
      </c>
      <c r="X138" s="3"/>
      <c r="Y138" s="2">
        <v>24202.13</v>
      </c>
      <c r="Z138" s="3"/>
      <c r="AA138" s="2">
        <v>24202.13</v>
      </c>
      <c r="AB138" s="3"/>
      <c r="AC138" s="2">
        <v>24202.13</v>
      </c>
      <c r="AD138" s="3"/>
      <c r="AE138" s="2">
        <f t="shared" ref="AE138:AE143" si="8">ROUND(SUM(G138:AC138),5)</f>
        <v>284839.17</v>
      </c>
    </row>
    <row r="139" spans="1:31" ht="15.75" thickBot="1" x14ac:dyDescent="0.3">
      <c r="A139" s="1"/>
      <c r="B139" s="1"/>
      <c r="C139" s="1"/>
      <c r="D139" s="1"/>
      <c r="E139" s="1" t="s">
        <v>138</v>
      </c>
      <c r="F139" s="1"/>
      <c r="G139" s="4">
        <v>6690.13</v>
      </c>
      <c r="H139" s="3"/>
      <c r="I139" s="4">
        <v>6690.13</v>
      </c>
      <c r="J139" s="3"/>
      <c r="K139" s="4">
        <v>6690.13</v>
      </c>
      <c r="L139" s="3"/>
      <c r="M139" s="4">
        <v>3091.53</v>
      </c>
      <c r="N139" s="3"/>
      <c r="O139" s="4">
        <v>6708.18</v>
      </c>
      <c r="P139" s="3"/>
      <c r="Q139" s="4">
        <v>6708.18</v>
      </c>
      <c r="R139" s="3"/>
      <c r="S139" s="4">
        <v>6708.18</v>
      </c>
      <c r="T139" s="3"/>
      <c r="U139" s="4">
        <v>6708.18</v>
      </c>
      <c r="V139" s="3"/>
      <c r="W139" s="4">
        <v>6708.18</v>
      </c>
      <c r="X139" s="3"/>
      <c r="Y139" s="4">
        <v>6708.18</v>
      </c>
      <c r="Z139" s="3"/>
      <c r="AA139" s="4">
        <v>6708.18</v>
      </c>
      <c r="AB139" s="3"/>
      <c r="AC139" s="4">
        <v>6708.18</v>
      </c>
      <c r="AD139" s="3"/>
      <c r="AE139" s="4">
        <f t="shared" si="8"/>
        <v>76827.360000000001</v>
      </c>
    </row>
    <row r="140" spans="1:31" ht="15.75" thickBot="1" x14ac:dyDescent="0.3">
      <c r="A140" s="1"/>
      <c r="B140" s="1"/>
      <c r="C140" s="1"/>
      <c r="D140" s="1" t="s">
        <v>139</v>
      </c>
      <c r="E140" s="1"/>
      <c r="F140" s="1"/>
      <c r="G140" s="7">
        <f>ROUND(SUM(G137:G139),5)</f>
        <v>29030.13</v>
      </c>
      <c r="H140" s="3"/>
      <c r="I140" s="7">
        <f>ROUND(SUM(I137:I139),5)</f>
        <v>29030.13</v>
      </c>
      <c r="J140" s="3"/>
      <c r="K140" s="7">
        <f>ROUND(SUM(K137:K139),5)</f>
        <v>29030.13</v>
      </c>
      <c r="L140" s="3"/>
      <c r="M140" s="7">
        <f>ROUND(SUM(M137:M139),5)</f>
        <v>27293.66</v>
      </c>
      <c r="N140" s="3"/>
      <c r="O140" s="7">
        <f>ROUND(SUM(O137:O139),5)</f>
        <v>30910.31</v>
      </c>
      <c r="P140" s="3"/>
      <c r="Q140" s="7">
        <f>ROUND(SUM(Q137:Q139),5)</f>
        <v>30910.31</v>
      </c>
      <c r="R140" s="3"/>
      <c r="S140" s="7">
        <f>ROUND(SUM(S137:S139),5)</f>
        <v>30910.31</v>
      </c>
      <c r="T140" s="3"/>
      <c r="U140" s="7">
        <f>ROUND(SUM(U137:U139),5)</f>
        <v>30910.31</v>
      </c>
      <c r="V140" s="3"/>
      <c r="W140" s="7">
        <f>ROUND(SUM(W137:W139),5)</f>
        <v>30910.31</v>
      </c>
      <c r="X140" s="3"/>
      <c r="Y140" s="7">
        <f>ROUND(SUM(Y137:Y139),5)</f>
        <v>30910.31</v>
      </c>
      <c r="Z140" s="3"/>
      <c r="AA140" s="7">
        <f>ROUND(SUM(AA137:AA139),5)</f>
        <v>30910.31</v>
      </c>
      <c r="AB140" s="3"/>
      <c r="AC140" s="7">
        <f>ROUND(SUM(AC137:AC139),5)</f>
        <v>30910.31</v>
      </c>
      <c r="AD140" s="3"/>
      <c r="AE140" s="7">
        <f t="shared" si="8"/>
        <v>361666.53</v>
      </c>
    </row>
    <row r="141" spans="1:31" ht="15.75" thickBot="1" x14ac:dyDescent="0.3">
      <c r="A141" s="1"/>
      <c r="B141" s="1"/>
      <c r="C141" s="1" t="s">
        <v>140</v>
      </c>
      <c r="D141" s="1"/>
      <c r="E141" s="1"/>
      <c r="F141" s="1"/>
      <c r="G141" s="7">
        <f>ROUND(G136+G140,5)</f>
        <v>29030.13</v>
      </c>
      <c r="H141" s="3"/>
      <c r="I141" s="7">
        <f>ROUND(I136+I140,5)</f>
        <v>29030.13</v>
      </c>
      <c r="J141" s="3"/>
      <c r="K141" s="7">
        <f>ROUND(K136+K140,5)</f>
        <v>29030.13</v>
      </c>
      <c r="L141" s="3"/>
      <c r="M141" s="7">
        <f>ROUND(M136+M140,5)</f>
        <v>27293.66</v>
      </c>
      <c r="N141" s="3"/>
      <c r="O141" s="7">
        <f>ROUND(O136+O140,5)</f>
        <v>30910.31</v>
      </c>
      <c r="P141" s="3"/>
      <c r="Q141" s="7">
        <f>ROUND(Q136+Q140,5)</f>
        <v>30910.31</v>
      </c>
      <c r="R141" s="3"/>
      <c r="S141" s="7">
        <f>ROUND(S136+S140,5)</f>
        <v>30910.31</v>
      </c>
      <c r="T141" s="3"/>
      <c r="U141" s="7">
        <f>ROUND(U136+U140,5)</f>
        <v>30910.31</v>
      </c>
      <c r="V141" s="3"/>
      <c r="W141" s="7">
        <f>ROUND(W136+W140,5)</f>
        <v>30910.31</v>
      </c>
      <c r="X141" s="3"/>
      <c r="Y141" s="7">
        <f>ROUND(Y136+Y140,5)</f>
        <v>30910.31</v>
      </c>
      <c r="Z141" s="3"/>
      <c r="AA141" s="7">
        <f>ROUND(AA136+AA140,5)</f>
        <v>30910.31</v>
      </c>
      <c r="AB141" s="3"/>
      <c r="AC141" s="7">
        <f>ROUND(AC136+AC140,5)</f>
        <v>30910.31</v>
      </c>
      <c r="AD141" s="3"/>
      <c r="AE141" s="7">
        <f t="shared" si="8"/>
        <v>361666.53</v>
      </c>
    </row>
    <row r="142" spans="1:31" ht="15.75" thickBot="1" x14ac:dyDescent="0.3">
      <c r="A142" s="1"/>
      <c r="B142" s="1" t="s">
        <v>141</v>
      </c>
      <c r="C142" s="1"/>
      <c r="D142" s="1"/>
      <c r="E142" s="1"/>
      <c r="F142" s="1"/>
      <c r="G142" s="7">
        <f>ROUND(G135-G141,5)</f>
        <v>-29030.13</v>
      </c>
      <c r="H142" s="3"/>
      <c r="I142" s="7">
        <f>ROUND(I135-I141,5)</f>
        <v>-29030.13</v>
      </c>
      <c r="J142" s="3"/>
      <c r="K142" s="7">
        <f>ROUND(K135-K141,5)</f>
        <v>-29030.13</v>
      </c>
      <c r="L142" s="3"/>
      <c r="M142" s="7">
        <f>ROUND(M135-M141,5)</f>
        <v>-27293.66</v>
      </c>
      <c r="N142" s="3"/>
      <c r="O142" s="7">
        <f>ROUND(O135-O141,5)</f>
        <v>-30910.31</v>
      </c>
      <c r="P142" s="3"/>
      <c r="Q142" s="7">
        <f>ROUND(Q135-Q141,5)</f>
        <v>-30910.31</v>
      </c>
      <c r="R142" s="3"/>
      <c r="S142" s="7">
        <f>ROUND(S135-S141,5)</f>
        <v>-30910.31</v>
      </c>
      <c r="T142" s="3"/>
      <c r="U142" s="7">
        <f>ROUND(U135-U141,5)</f>
        <v>-30910.31</v>
      </c>
      <c r="V142" s="3"/>
      <c r="W142" s="7">
        <f>ROUND(W135-W141,5)</f>
        <v>-30910.31</v>
      </c>
      <c r="X142" s="3"/>
      <c r="Y142" s="7">
        <f>ROUND(Y135-Y141,5)</f>
        <v>-30910.31</v>
      </c>
      <c r="Z142" s="3"/>
      <c r="AA142" s="7">
        <f>ROUND(AA135-AA141,5)</f>
        <v>-30910.31</v>
      </c>
      <c r="AB142" s="3"/>
      <c r="AC142" s="7">
        <f>ROUND(AC135-AC141,5)</f>
        <v>-30910.31</v>
      </c>
      <c r="AD142" s="3"/>
      <c r="AE142" s="7">
        <f t="shared" si="8"/>
        <v>-361666.53</v>
      </c>
    </row>
    <row r="143" spans="1:31" s="9" customFormat="1" ht="12" thickBot="1" x14ac:dyDescent="0.25">
      <c r="A143" s="1" t="s">
        <v>142</v>
      </c>
      <c r="B143" s="1"/>
      <c r="C143" s="1"/>
      <c r="D143" s="1"/>
      <c r="E143" s="1"/>
      <c r="F143" s="1"/>
      <c r="G143" s="8">
        <f>ROUND(G134+G142,5)</f>
        <v>-17985.349999999999</v>
      </c>
      <c r="H143" s="1"/>
      <c r="I143" s="8">
        <f>ROUND(I134+I142,5)</f>
        <v>382.81</v>
      </c>
      <c r="J143" s="1"/>
      <c r="K143" s="8">
        <f>ROUND(K134+K142,5)</f>
        <v>-17934.2</v>
      </c>
      <c r="L143" s="1"/>
      <c r="M143" s="8">
        <f>ROUND(M134+M142,5)</f>
        <v>-4662.37</v>
      </c>
      <c r="N143" s="1"/>
      <c r="O143" s="8">
        <f>ROUND(O134+O142,5)</f>
        <v>-16717.93</v>
      </c>
      <c r="P143" s="1"/>
      <c r="Q143" s="8">
        <f>ROUND(Q134+Q142,5)</f>
        <v>7766.37</v>
      </c>
      <c r="R143" s="1"/>
      <c r="S143" s="8">
        <f>ROUND(S134+S142,5)</f>
        <v>-4677.0600000000004</v>
      </c>
      <c r="T143" s="1"/>
      <c r="U143" s="8">
        <f>ROUND(U134+U142,5)</f>
        <v>-19103.73</v>
      </c>
      <c r="V143" s="1"/>
      <c r="W143" s="8">
        <f>ROUND(W134+W142,5)</f>
        <v>26453.48</v>
      </c>
      <c r="X143" s="1"/>
      <c r="Y143" s="8">
        <f>ROUND(Y134+Y142,5)</f>
        <v>-32734.799999999999</v>
      </c>
      <c r="Z143" s="1"/>
      <c r="AA143" s="8">
        <f>ROUND(AA134+AA142,5)</f>
        <v>-15984.85</v>
      </c>
      <c r="AB143" s="1"/>
      <c r="AC143" s="8">
        <f>ROUND(AC134+AC142,5)</f>
        <v>25594.13</v>
      </c>
      <c r="AD143" s="1"/>
      <c r="AE143" s="8">
        <f t="shared" si="8"/>
        <v>-69603.5</v>
      </c>
    </row>
    <row r="144" spans="1:31" ht="15.75" thickTop="1" x14ac:dyDescent="0.25"/>
  </sheetData>
  <pageMargins left="0.7" right="0.7" top="0.75" bottom="0.75" header="0.1" footer="0.3"/>
  <pageSetup orientation="portrait" r:id="rId1"/>
  <headerFooter>
    <oddHeader>&amp;L&amp;"Arial,Bold"&amp;8 12:58 PM
&amp;"Arial,Bold"&amp;8 10/12/26
&amp;"Arial,Bold"&amp;8 Accrual Basis&amp;C&amp;"Arial,Bold"&amp;12 Sandwich Living and Rehab Center LLC
&amp;"Arial,Bold"&amp;14 Profit &amp;&amp; Loss
&amp;"Arial,Bold"&amp;10 September 2025 through August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05565A-7960-4DA1-9364-663AEB5B67A4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2.xml><?xml version="1.0" encoding="utf-8"?>
<ds:datastoreItem xmlns:ds="http://schemas.openxmlformats.org/officeDocument/2006/customXml" ds:itemID="{30D50B46-6FD9-4BF3-A1B6-E0E74009A1D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A0CAC3-E2C1-418B-83EB-DA3EEE1D76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2026-10-12T17:58:24Z</dcterms:created>
  <dcterms:modified xsi:type="dcterms:W3CDTF">2026-10-14T18:49:43Z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