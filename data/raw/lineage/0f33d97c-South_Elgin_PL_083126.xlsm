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Petlin/"/>
    </mc:Choice>
  </mc:AlternateContent>
  <xr:revisionPtr revIDLastSave="1" documentId="8_{7A0EB03C-2A75-4A27-9227-EABB009CA4D6}" xr6:coauthVersionLast="47" xr6:coauthVersionMax="47" xr10:uidLastSave="{B423E6BB-CFB8-47DE-8BC7-EEDDBB31C625}"/>
  <bookViews>
    <workbookView xWindow="-28920" yWindow="-1095" windowWidth="29040" windowHeight="15720" activeTab="1" xr2:uid="{57C0D4FA-1BE0-4C42-A03C-214DFD9CC12F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Sheet1!$20:$20,Sheet1!$21:$21,Sheet1!$22:$22,Sheet1!$23:$23,Sheet1!$24:$24,Sheet1!$29:$29,Sheet1!$30:$30,Sheet1!$31:$31,Sheet1!$32:$32,Sheet1!$33:$33,Sheet1!$34:$34,Sheet1!$35:$35,Sheet1!$36:$36,Sheet1!$37:$37,Sheet1!$38:$38,Sheet1!$39:$39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Sheet1!$40:$40,Sheet1!$41:$41,Sheet1!$42:$42,Sheet1!$43:$43,Sheet1!$44:$44,Sheet1!$45:$45,Sheet1!$46:$46,Sheet1!$47:$47,Sheet1!$48:$48,Sheet1!$49:$49,Sheet1!$50:$50,Sheet1!$51:$51,Sheet1!$52:$52,Sheet1!$53:$53,Sheet1!$56:$56,Sheet1!$57:$57</definedName>
    <definedName name="QB_DATA_3" localSheetId="1" hidden="1">Sheet1!$58:$58,Sheet1!$59:$59,Sheet1!$60:$60,Sheet1!$61:$61,Sheet1!$62:$62,Sheet1!$65:$65,Sheet1!$66:$66,Sheet1!$67:$67,Sheet1!$68:$68,Sheet1!$69:$69,Sheet1!$70:$70,Sheet1!$71:$71,Sheet1!$72:$72,Sheet1!$73:$73,Sheet1!$74:$74,Sheet1!$77:$77</definedName>
    <definedName name="QB_DATA_4" localSheetId="1" hidden="1">Sheet1!$78:$78,Sheet1!$79:$79,Sheet1!$80:$80,Sheet1!$81:$81,Sheet1!$82:$82,Sheet1!$83:$83,Sheet1!$84:$84,Sheet1!$85:$85,Sheet1!$86:$86,Sheet1!$89:$89,Sheet1!$90:$90,Sheet1!$91:$91,Sheet1!$92:$92,Sheet1!$93:$93,Sheet1!$94:$94,Sheet1!$97:$97</definedName>
    <definedName name="QB_DATA_5" localSheetId="1" hidden="1">Sheet1!$98:$98,Sheet1!$99:$99,Sheet1!$100:$100,Sheet1!$103:$103,Sheet1!$104:$104,Sheet1!$105:$105,Sheet1!$106:$106,Sheet1!$107:$107,Sheet1!$108:$108,Sheet1!$109:$109,Sheet1!$110:$110,Sheet1!$111:$111,Sheet1!$112:$112,Sheet1!$113:$113,Sheet1!$114:$114,Sheet1!$115:$115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Sheet1!$116:$116,Sheet1!$117:$117,Sheet1!$118:$118,Sheet1!$119:$119,Sheet1!$120:$120,Sheet1!$121:$121,Sheet1!$122:$122,Sheet1!$123:$123,Sheet1!$124:$124,Sheet1!$125:$125,Sheet1!$126:$126,Sheet1!$127:$127,Sheet1!$128:$128,Sheet1!$129:$129,Sheet1!$130:$130,Sheet1!$131:$131</definedName>
    <definedName name="QB_DATA_7" localSheetId="1" hidden="1">Sheet1!$132:$132,Sheet1!$133:$133,Sheet1!$140:$140,Sheet1!$141:$141,Sheet1!$143:$143</definedName>
    <definedName name="QB_FORMULA_0" localSheetId="1" hidden="1">Sheet1!$AE$4,Sheet1!$AE$5,Sheet1!$AE$6,Sheet1!$AE$7,Sheet1!$AE$8,Sheet1!$AE$9,Sheet1!$AE$10,Sheet1!$AE$11,Sheet1!$AE$12,Sheet1!$AE$13,Sheet1!$AE$14,Sheet1!$AE$15,Sheet1!$AE$16,Sheet1!$AE$17,Sheet1!$AE$18,Sheet1!$AE$19</definedName>
    <definedName name="QB_FORMULA_1" localSheetId="1" hidden="1">Sheet1!$AE$20,Sheet1!$AE$21,Sheet1!$AE$22,Sheet1!$AE$23,Sheet1!$AE$24,Sheet1!$G$25,Sheet1!$I$25,Sheet1!$K$25,Sheet1!$M$25,Sheet1!$O$25,Sheet1!$Q$25,Sheet1!$S$25,Sheet1!$U$25,Sheet1!$W$25,Sheet1!$Y$25,Sheet1!$AA$25</definedName>
    <definedName name="QB_FORMULA_10" localSheetId="1" hidden="1">Sheet1!$M$95,Sheet1!$O$95,Sheet1!$Q$95,Sheet1!$S$95,Sheet1!$U$95,Sheet1!$W$95,Sheet1!$Y$95,Sheet1!$AA$95,Sheet1!$AC$95,Sheet1!$AE$95,Sheet1!$AE$97,Sheet1!$AE$98,Sheet1!$AE$99,Sheet1!$AE$100,Sheet1!$G$101,Sheet1!$I$101</definedName>
    <definedName name="QB_FORMULA_11" localSheetId="1" hidden="1">Sheet1!$K$101,Sheet1!$M$101,Sheet1!$O$101,Sheet1!$Q$101,Sheet1!$S$101,Sheet1!$U$101,Sheet1!$W$101,Sheet1!$Y$101,Sheet1!$AA$101,Sheet1!$AC$101,Sheet1!$AE$101,Sheet1!$AE$103,Sheet1!$AE$104,Sheet1!$AE$105,Sheet1!$AE$106,Sheet1!$AE$107</definedName>
    <definedName name="QB_FORMULA_12" localSheetId="1" hidden="1">Sheet1!$AE$108,Sheet1!$AE$109,Sheet1!$AE$110,Sheet1!$AE$111,Sheet1!$AE$112,Sheet1!$AE$113,Sheet1!$AE$114,Sheet1!$AE$115,Sheet1!$AE$116,Sheet1!$AE$117,Sheet1!$AE$118,Sheet1!$AE$119,Sheet1!$AE$120,Sheet1!$AE$121,Sheet1!$AE$122,Sheet1!$AE$123</definedName>
    <definedName name="QB_FORMULA_13" localSheetId="1" hidden="1">Sheet1!$AE$124,Sheet1!$AE$125,Sheet1!$AE$126,Sheet1!$AE$127,Sheet1!$AE$128,Sheet1!$AE$129,Sheet1!$AE$130,Sheet1!$AE$131,Sheet1!$AE$132,Sheet1!$AE$133,Sheet1!$G$134,Sheet1!$I$134,Sheet1!$K$134,Sheet1!$M$134,Sheet1!$O$134,Sheet1!$Q$134</definedName>
    <definedName name="QB_FORMULA_14" localSheetId="1" hidden="1">Sheet1!$S$134,Sheet1!$U$134,Sheet1!$W$134,Sheet1!$Y$134,Sheet1!$AA$134,Sheet1!$AC$134,Sheet1!$AE$134,Sheet1!$G$135,Sheet1!$I$135,Sheet1!$K$135,Sheet1!$M$135,Sheet1!$O$135,Sheet1!$Q$135,Sheet1!$S$135,Sheet1!$U$135,Sheet1!$W$135</definedName>
    <definedName name="QB_FORMULA_15" localSheetId="1" hidden="1">Sheet1!$Y$135,Sheet1!$AA$135,Sheet1!$AC$135,Sheet1!$AE$135,Sheet1!$G$136,Sheet1!$I$136,Sheet1!$K$136,Sheet1!$M$136,Sheet1!$O$136,Sheet1!$Q$136,Sheet1!$S$136,Sheet1!$U$136,Sheet1!$W$136,Sheet1!$Y$136,Sheet1!$AA$136,Sheet1!$AC$136</definedName>
    <definedName name="QB_FORMULA_16" localSheetId="1" hidden="1">Sheet1!$AE$136,Sheet1!$AE$140,Sheet1!$AE$141,Sheet1!$G$142,Sheet1!$I$142,Sheet1!$K$142,Sheet1!$M$142,Sheet1!$O$142,Sheet1!$Q$142,Sheet1!$S$142,Sheet1!$U$142,Sheet1!$W$142,Sheet1!$Y$142,Sheet1!$AA$142,Sheet1!$AC$142,Sheet1!$AE$142</definedName>
    <definedName name="QB_FORMULA_17" localSheetId="1" hidden="1">Sheet1!$AE$143,Sheet1!$G$144,Sheet1!$I$144,Sheet1!$K$144,Sheet1!$M$144,Sheet1!$O$144,Sheet1!$Q$144,Sheet1!$S$144,Sheet1!$U$144,Sheet1!$W$144,Sheet1!$Y$144,Sheet1!$AA$144,Sheet1!$AC$144,Sheet1!$AE$144,Sheet1!$G$145,Sheet1!$I$145</definedName>
    <definedName name="QB_FORMULA_18" localSheetId="1" hidden="1">Sheet1!$K$145,Sheet1!$M$145,Sheet1!$O$145,Sheet1!$Q$145,Sheet1!$S$145,Sheet1!$U$145,Sheet1!$W$145,Sheet1!$Y$145,Sheet1!$AA$145,Sheet1!$AC$145,Sheet1!$AE$145,Sheet1!$G$146,Sheet1!$I$146,Sheet1!$K$146,Sheet1!$M$146,Sheet1!$O$146</definedName>
    <definedName name="QB_FORMULA_19" localSheetId="1" hidden="1">Sheet1!$Q$146,Sheet1!$S$146,Sheet1!$U$146,Sheet1!$W$146,Sheet1!$Y$146,Sheet1!$AA$146,Sheet1!$AC$146,Sheet1!$AE$146</definedName>
    <definedName name="QB_FORMULA_2" localSheetId="1" hidden="1">Sheet1!$AC$25,Sheet1!$AE$25,Sheet1!$G$26,Sheet1!$I$26,Sheet1!$K$26,Sheet1!$M$26,Sheet1!$O$26,Sheet1!$Q$26,Sheet1!$S$26,Sheet1!$U$26,Sheet1!$W$26,Sheet1!$Y$26,Sheet1!$AA$26,Sheet1!$AC$26,Sheet1!$AE$26,Sheet1!$AE$29</definedName>
    <definedName name="QB_FORMULA_3" localSheetId="1" hidden="1">Sheet1!$AE$30,Sheet1!$AE$31,Sheet1!$AE$32,Sheet1!$AE$33,Sheet1!$AE$34,Sheet1!$AE$35,Sheet1!$AE$36,Sheet1!$AE$37,Sheet1!$AE$38,Sheet1!$AE$39,Sheet1!$AE$40,Sheet1!$AE$41,Sheet1!$AE$42,Sheet1!$AE$43,Sheet1!$AE$44,Sheet1!$AE$45</definedName>
    <definedName name="QB_FORMULA_4" localSheetId="1" hidden="1">Sheet1!$AE$46,Sheet1!$AE$47,Sheet1!$AE$48,Sheet1!$AE$49,Sheet1!$AE$50,Sheet1!$AE$51,Sheet1!$AE$52,Sheet1!$AE$53,Sheet1!$G$54,Sheet1!$I$54,Sheet1!$K$54,Sheet1!$M$54,Sheet1!$O$54,Sheet1!$Q$54,Sheet1!$S$54,Sheet1!$U$54</definedName>
    <definedName name="QB_FORMULA_5" localSheetId="1" hidden="1">Sheet1!$W$54,Sheet1!$Y$54,Sheet1!$AA$54,Sheet1!$AC$54,Sheet1!$AE$54,Sheet1!$AE$56,Sheet1!$AE$57,Sheet1!$AE$58,Sheet1!$AE$59,Sheet1!$AE$60,Sheet1!$AE$61,Sheet1!$AE$62,Sheet1!$G$63,Sheet1!$I$63,Sheet1!$K$63,Sheet1!$M$63</definedName>
    <definedName name="QB_FORMULA_6" localSheetId="1" hidden="1">Sheet1!$O$63,Sheet1!$Q$63,Sheet1!$S$63,Sheet1!$U$63,Sheet1!$W$63,Sheet1!$Y$63,Sheet1!$AA$63,Sheet1!$AC$63,Sheet1!$AE$63,Sheet1!$AE$65,Sheet1!$AE$66,Sheet1!$AE$67,Sheet1!$AE$68,Sheet1!$AE$69,Sheet1!$AE$70,Sheet1!$AE$71</definedName>
    <definedName name="QB_FORMULA_7" localSheetId="1" hidden="1">Sheet1!$AE$72,Sheet1!$AE$73,Sheet1!$AE$74,Sheet1!$G$75,Sheet1!$I$75,Sheet1!$K$75,Sheet1!$M$75,Sheet1!$O$75,Sheet1!$Q$75,Sheet1!$S$75,Sheet1!$U$75,Sheet1!$W$75,Sheet1!$Y$75,Sheet1!$AA$75,Sheet1!$AC$75,Sheet1!$AE$75</definedName>
    <definedName name="QB_FORMULA_8" localSheetId="1" hidden="1">Sheet1!$AE$77,Sheet1!$AE$78,Sheet1!$AE$79,Sheet1!$AE$80,Sheet1!$AE$81,Sheet1!$AE$82,Sheet1!$AE$83,Sheet1!$AE$84,Sheet1!$AE$85,Sheet1!$AE$86,Sheet1!$G$87,Sheet1!$I$87,Sheet1!$K$87,Sheet1!$M$87,Sheet1!$O$87,Sheet1!$Q$87</definedName>
    <definedName name="QB_FORMULA_9" localSheetId="1" hidden="1">Sheet1!$S$87,Sheet1!$U$87,Sheet1!$W$87,Sheet1!$Y$87,Sheet1!$AA$87,Sheet1!$AC$87,Sheet1!$AE$87,Sheet1!$AE$89,Sheet1!$AE$90,Sheet1!$AE$91,Sheet1!$AE$92,Sheet1!$AE$93,Sheet1!$AE$94,Sheet1!$G$95,Sheet1!$I$95,Sheet1!$K$95</definedName>
    <definedName name="QB_ROW_129240" localSheetId="1" hidden="1">Sheet1!$E$4</definedName>
    <definedName name="QB_ROW_130240" localSheetId="1" hidden="1">Sheet1!$E$5</definedName>
    <definedName name="QB_ROW_134240" localSheetId="1" hidden="1">Sheet1!$E$6</definedName>
    <definedName name="QB_ROW_136240" localSheetId="1" hidden="1">Sheet1!$E$7</definedName>
    <definedName name="QB_ROW_137240" localSheetId="1" hidden="1">Sheet1!$E$8</definedName>
    <definedName name="QB_ROW_140240" localSheetId="1" hidden="1">Sheet1!$E$9</definedName>
    <definedName name="QB_ROW_145240" localSheetId="1" hidden="1">Sheet1!$E$10</definedName>
    <definedName name="QB_ROW_160240" localSheetId="1" hidden="1">Sheet1!$E$11</definedName>
    <definedName name="QB_ROW_163240" localSheetId="1" hidden="1">Sheet1!$E$13</definedName>
    <definedName name="QB_ROW_166240" localSheetId="1" hidden="1">Sheet1!$E$14</definedName>
    <definedName name="QB_ROW_167240" localSheetId="1" hidden="1">Sheet1!$E$15</definedName>
    <definedName name="QB_ROW_168240" localSheetId="1" hidden="1">Sheet1!$E$16</definedName>
    <definedName name="QB_ROW_169240" localSheetId="1" hidden="1">Sheet1!$E$17</definedName>
    <definedName name="QB_ROW_176240" localSheetId="1" hidden="1">Sheet1!$E$18</definedName>
    <definedName name="QB_ROW_177240" localSheetId="1" hidden="1">Sheet1!$E$19</definedName>
    <definedName name="QB_ROW_178240" localSheetId="1" hidden="1">Sheet1!$E$20</definedName>
    <definedName name="QB_ROW_180240" localSheetId="1" hidden="1">Sheet1!$E$21</definedName>
    <definedName name="QB_ROW_181240" localSheetId="1" hidden="1">Sheet1!$E$22</definedName>
    <definedName name="QB_ROW_182240" localSheetId="1" hidden="1">Sheet1!$E$23</definedName>
    <definedName name="QB_ROW_18301" localSheetId="1" hidden="1">Sheet1!$A$146</definedName>
    <definedName name="QB_ROW_183240" localSheetId="1" hidden="1">Sheet1!$E$24</definedName>
    <definedName name="QB_ROW_19011" localSheetId="1" hidden="1">Sheet1!$B$2</definedName>
    <definedName name="QB_ROW_191040" localSheetId="1" hidden="1">Sheet1!$E$28</definedName>
    <definedName name="QB_ROW_191340" localSheetId="1" hidden="1">Sheet1!$E$54</definedName>
    <definedName name="QB_ROW_192250" localSheetId="1" hidden="1">Sheet1!$F$29</definedName>
    <definedName name="QB_ROW_19311" localSheetId="1" hidden="1">Sheet1!$B$136</definedName>
    <definedName name="QB_ROW_193250" localSheetId="1" hidden="1">Sheet1!$F$30</definedName>
    <definedName name="QB_ROW_194250" localSheetId="1" hidden="1">Sheet1!$F$31</definedName>
    <definedName name="QB_ROW_198250" localSheetId="1" hidden="1">Sheet1!$F$32</definedName>
    <definedName name="QB_ROW_200250" localSheetId="1" hidden="1">Sheet1!$F$33</definedName>
    <definedName name="QB_ROW_20031" localSheetId="1" hidden="1">Sheet1!$D$3</definedName>
    <definedName name="QB_ROW_201250" localSheetId="1" hidden="1">Sheet1!$F$34</definedName>
    <definedName name="QB_ROW_20331" localSheetId="1" hidden="1">Sheet1!$D$25</definedName>
    <definedName name="QB_ROW_204250" localSheetId="1" hidden="1">Sheet1!$F$35</definedName>
    <definedName name="QB_ROW_205250" localSheetId="1" hidden="1">Sheet1!$F$36</definedName>
    <definedName name="QB_ROW_206250" localSheetId="1" hidden="1">Sheet1!$F$37</definedName>
    <definedName name="QB_ROW_208250" localSheetId="1" hidden="1">Sheet1!$F$38</definedName>
    <definedName name="QB_ROW_209250" localSheetId="1" hidden="1">Sheet1!$F$39</definedName>
    <definedName name="QB_ROW_21031" localSheetId="1" hidden="1">Sheet1!$D$27</definedName>
    <definedName name="QB_ROW_211250" localSheetId="1" hidden="1">Sheet1!$F$40</definedName>
    <definedName name="QB_ROW_213250" localSheetId="1" hidden="1">Sheet1!$F$41</definedName>
    <definedName name="QB_ROW_21331" localSheetId="1" hidden="1">Sheet1!$D$135</definedName>
    <definedName name="QB_ROW_215250" localSheetId="1" hidden="1">Sheet1!$F$42</definedName>
    <definedName name="QB_ROW_217250" localSheetId="1" hidden="1">Sheet1!$F$43</definedName>
    <definedName name="QB_ROW_218250" localSheetId="1" hidden="1">Sheet1!$F$44</definedName>
    <definedName name="QB_ROW_219250" localSheetId="1" hidden="1">Sheet1!$F$45</definedName>
    <definedName name="QB_ROW_22011" localSheetId="1" hidden="1">Sheet1!$B$137</definedName>
    <definedName name="QB_ROW_220250" localSheetId="1" hidden="1">Sheet1!$F$46</definedName>
    <definedName name="QB_ROW_222250" localSheetId="1" hidden="1">Sheet1!$F$47</definedName>
    <definedName name="QB_ROW_22311" localSheetId="1" hidden="1">Sheet1!$B$145</definedName>
    <definedName name="QB_ROW_223250" localSheetId="1" hidden="1">Sheet1!$F$48</definedName>
    <definedName name="QB_ROW_224250" localSheetId="1" hidden="1">Sheet1!$F$49</definedName>
    <definedName name="QB_ROW_225250" localSheetId="1" hidden="1">Sheet1!$F$50</definedName>
    <definedName name="QB_ROW_227250" localSheetId="1" hidden="1">Sheet1!$F$51</definedName>
    <definedName name="QB_ROW_229250" localSheetId="1" hidden="1">Sheet1!$F$52</definedName>
    <definedName name="QB_ROW_233250" localSheetId="1" hidden="1">Sheet1!$F$53</definedName>
    <definedName name="QB_ROW_236040" localSheetId="1" hidden="1">Sheet1!$E$55</definedName>
    <definedName name="QB_ROW_236340" localSheetId="1" hidden="1">Sheet1!$E$63</definedName>
    <definedName name="QB_ROW_237250" localSheetId="1" hidden="1">Sheet1!$F$56</definedName>
    <definedName name="QB_ROW_238250" localSheetId="1" hidden="1">Sheet1!$F$57</definedName>
    <definedName name="QB_ROW_24021" localSheetId="1" hidden="1">Sheet1!$C$138</definedName>
    <definedName name="QB_ROW_240250" localSheetId="1" hidden="1">Sheet1!$F$58</definedName>
    <definedName name="QB_ROW_242250" localSheetId="1" hidden="1">Sheet1!$F$59</definedName>
    <definedName name="QB_ROW_24321" localSheetId="1" hidden="1">Sheet1!$C$144</definedName>
    <definedName name="QB_ROW_244250" localSheetId="1" hidden="1">Sheet1!$F$60</definedName>
    <definedName name="QB_ROW_250040" localSheetId="1" hidden="1">Sheet1!$E$64</definedName>
    <definedName name="QB_ROW_250250" localSheetId="1" hidden="1">Sheet1!$F$74</definedName>
    <definedName name="QB_ROW_250340" localSheetId="1" hidden="1">Sheet1!$E$75</definedName>
    <definedName name="QB_ROW_251250" localSheetId="1" hidden="1">Sheet1!$F$65</definedName>
    <definedName name="QB_ROW_252250" localSheetId="1" hidden="1">Sheet1!$F$66</definedName>
    <definedName name="QB_ROW_253250" localSheetId="1" hidden="1">Sheet1!$F$67</definedName>
    <definedName name="QB_ROW_254250" localSheetId="1" hidden="1">Sheet1!$F$68</definedName>
    <definedName name="QB_ROW_255250" localSheetId="1" hidden="1">Sheet1!$F$69</definedName>
    <definedName name="QB_ROW_256250" localSheetId="1" hidden="1">Sheet1!$F$70</definedName>
    <definedName name="QB_ROW_257250" localSheetId="1" hidden="1">Sheet1!$F$71</definedName>
    <definedName name="QB_ROW_258250" localSheetId="1" hidden="1">Sheet1!$F$72</definedName>
    <definedName name="QB_ROW_259250" localSheetId="1" hidden="1">Sheet1!$F$73</definedName>
    <definedName name="QB_ROW_261040" localSheetId="1" hidden="1">Sheet1!$E$76</definedName>
    <definedName name="QB_ROW_261340" localSheetId="1" hidden="1">Sheet1!$E$87</definedName>
    <definedName name="QB_ROW_262250" localSheetId="1" hidden="1">Sheet1!$F$77</definedName>
    <definedName name="QB_ROW_263250" localSheetId="1" hidden="1">Sheet1!$F$78</definedName>
    <definedName name="QB_ROW_265250" localSheetId="1" hidden="1">Sheet1!$F$79</definedName>
    <definedName name="QB_ROW_266250" localSheetId="1" hidden="1">Sheet1!$F$80</definedName>
    <definedName name="QB_ROW_267250" localSheetId="1" hidden="1">Sheet1!$F$81</definedName>
    <definedName name="QB_ROW_269250" localSheetId="1" hidden="1">Sheet1!$F$82</definedName>
    <definedName name="QB_ROW_270250" localSheetId="1" hidden="1">Sheet1!$F$83</definedName>
    <definedName name="QB_ROW_271250" localSheetId="1" hidden="1">Sheet1!$F$84</definedName>
    <definedName name="QB_ROW_272250" localSheetId="1" hidden="1">Sheet1!$F$85</definedName>
    <definedName name="QB_ROW_273250" localSheetId="1" hidden="1">Sheet1!$F$86</definedName>
    <definedName name="QB_ROW_276040" localSheetId="1" hidden="1">Sheet1!$E$88</definedName>
    <definedName name="QB_ROW_276340" localSheetId="1" hidden="1">Sheet1!$E$95</definedName>
    <definedName name="QB_ROW_277250" localSheetId="1" hidden="1">Sheet1!$F$89</definedName>
    <definedName name="QB_ROW_278250" localSheetId="1" hidden="1">Sheet1!$F$90</definedName>
    <definedName name="QB_ROW_279250" localSheetId="1" hidden="1">Sheet1!$F$91</definedName>
    <definedName name="QB_ROW_282250" localSheetId="1" hidden="1">Sheet1!$F$92</definedName>
    <definedName name="QB_ROW_283250" localSheetId="1" hidden="1">Sheet1!$F$93</definedName>
    <definedName name="QB_ROW_284250" localSheetId="1" hidden="1">Sheet1!$F$94</definedName>
    <definedName name="QB_ROW_285040" localSheetId="1" hidden="1">Sheet1!$E$96</definedName>
    <definedName name="QB_ROW_285340" localSheetId="1" hidden="1">Sheet1!$E$101</definedName>
    <definedName name="QB_ROW_287250" localSheetId="1" hidden="1">Sheet1!$F$97</definedName>
    <definedName name="QB_ROW_290250" localSheetId="1" hidden="1">Sheet1!$F$98</definedName>
    <definedName name="QB_ROW_291250" localSheetId="1" hidden="1">Sheet1!$F$99</definedName>
    <definedName name="QB_ROW_292250" localSheetId="1" hidden="1">Sheet1!$F$100</definedName>
    <definedName name="QB_ROW_294040" localSheetId="1" hidden="1">Sheet1!$E$102</definedName>
    <definedName name="QB_ROW_294250" localSheetId="1" hidden="1">Sheet1!$F$133</definedName>
    <definedName name="QB_ROW_294340" localSheetId="1" hidden="1">Sheet1!$E$134</definedName>
    <definedName name="QB_ROW_295250" localSheetId="1" hidden="1">Sheet1!$F$103</definedName>
    <definedName name="QB_ROW_296250" localSheetId="1" hidden="1">Sheet1!$F$104</definedName>
    <definedName name="QB_ROW_297250" localSheetId="1" hidden="1">Sheet1!$F$105</definedName>
    <definedName name="QB_ROW_298250" localSheetId="1" hidden="1">Sheet1!$F$106</definedName>
    <definedName name="QB_ROW_299250" localSheetId="1" hidden="1">Sheet1!$F$107</definedName>
    <definedName name="QB_ROW_301250" localSheetId="1" hidden="1">Sheet1!$F$108</definedName>
    <definedName name="QB_ROW_303250" localSheetId="1" hidden="1">Sheet1!$F$109</definedName>
    <definedName name="QB_ROW_305250" localSheetId="1" hidden="1">Sheet1!$F$110</definedName>
    <definedName name="QB_ROW_306250" localSheetId="1" hidden="1">Sheet1!$F$111</definedName>
    <definedName name="QB_ROW_307250" localSheetId="1" hidden="1">Sheet1!$F$112</definedName>
    <definedName name="QB_ROW_308250" localSheetId="1" hidden="1">Sheet1!$F$113</definedName>
    <definedName name="QB_ROW_311250" localSheetId="1" hidden="1">Sheet1!$F$114</definedName>
    <definedName name="QB_ROW_312250" localSheetId="1" hidden="1">Sheet1!$F$115</definedName>
    <definedName name="QB_ROW_313250" localSheetId="1" hidden="1">Sheet1!$F$116</definedName>
    <definedName name="QB_ROW_314250" localSheetId="1" hidden="1">Sheet1!$F$117</definedName>
    <definedName name="QB_ROW_315250" localSheetId="1" hidden="1">Sheet1!$F$118</definedName>
    <definedName name="QB_ROW_316250" localSheetId="1" hidden="1">Sheet1!$F$119</definedName>
    <definedName name="QB_ROW_317250" localSheetId="1" hidden="1">Sheet1!$F$120</definedName>
    <definedName name="QB_ROW_319250" localSheetId="1" hidden="1">Sheet1!$F$121</definedName>
    <definedName name="QB_ROW_322250" localSheetId="1" hidden="1">Sheet1!$F$122</definedName>
    <definedName name="QB_ROW_325250" localSheetId="1" hidden="1">Sheet1!$F$123</definedName>
    <definedName name="QB_ROW_326250" localSheetId="1" hidden="1">Sheet1!$F$124</definedName>
    <definedName name="QB_ROW_329250" localSheetId="1" hidden="1">Sheet1!$F$125</definedName>
    <definedName name="QB_ROW_332250" localSheetId="1" hidden="1">Sheet1!$F$126</definedName>
    <definedName name="QB_ROW_335250" localSheetId="1" hidden="1">Sheet1!$F$127</definedName>
    <definedName name="QB_ROW_336250" localSheetId="1" hidden="1">Sheet1!$F$128</definedName>
    <definedName name="QB_ROW_337250" localSheetId="1" hidden="1">Sheet1!$F$129</definedName>
    <definedName name="QB_ROW_343250" localSheetId="1" hidden="1">Sheet1!$F$130</definedName>
    <definedName name="QB_ROW_344250" localSheetId="1" hidden="1">Sheet1!$F$131</definedName>
    <definedName name="QB_ROW_345250" localSheetId="1" hidden="1">Sheet1!$F$132</definedName>
    <definedName name="QB_ROW_351030" localSheetId="1" hidden="1">Sheet1!$D$139</definedName>
    <definedName name="QB_ROW_351330" localSheetId="1" hidden="1">Sheet1!$D$142</definedName>
    <definedName name="QB_ROW_352240" localSheetId="1" hidden="1">Sheet1!$E$140</definedName>
    <definedName name="QB_ROW_353240" localSheetId="1" hidden="1">Sheet1!$E$141</definedName>
    <definedName name="QB_ROW_354230" localSheetId="1" hidden="1">Sheet1!$D$143</definedName>
    <definedName name="QB_ROW_358250" localSheetId="1" hidden="1">Sheet1!$F$61</definedName>
    <definedName name="QB_ROW_367250" localSheetId="1" hidden="1">Sheet1!$F$62</definedName>
    <definedName name="QB_ROW_368240" localSheetId="1" hidden="1">Sheet1!$E$12</definedName>
    <definedName name="QB_ROW_86321" localSheetId="1" hidden="1">Sheet1!$C$26</definedName>
    <definedName name="QBCANSUPPORTUPDATE" localSheetId="1">TRUE</definedName>
    <definedName name="QBCOMPANYFILENAME" localSheetId="1">"S:\Quickbooks\South Elgin Living and Rehab Center LLC.qbw"</definedName>
    <definedName name="QBENDDATE" localSheetId="1">20260831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"157155862bd1474daf0ab9ef432b688f"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20250901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46" i="1" l="1"/>
  <c r="AC146" i="1"/>
  <c r="AA146" i="1"/>
  <c r="Y146" i="1"/>
  <c r="W146" i="1"/>
  <c r="U146" i="1"/>
  <c r="S146" i="1"/>
  <c r="Q146" i="1"/>
  <c r="O146" i="1"/>
  <c r="M146" i="1"/>
  <c r="K146" i="1"/>
  <c r="I146" i="1"/>
  <c r="G146" i="1"/>
  <c r="AE145" i="1"/>
  <c r="AC145" i="1"/>
  <c r="AA145" i="1"/>
  <c r="Y145" i="1"/>
  <c r="W145" i="1"/>
  <c r="U145" i="1"/>
  <c r="S145" i="1"/>
  <c r="Q145" i="1"/>
  <c r="O145" i="1"/>
  <c r="M145" i="1"/>
  <c r="K145" i="1"/>
  <c r="I145" i="1"/>
  <c r="G145" i="1"/>
  <c r="AE144" i="1"/>
  <c r="AC144" i="1"/>
  <c r="AA144" i="1"/>
  <c r="Y144" i="1"/>
  <c r="W144" i="1"/>
  <c r="U144" i="1"/>
  <c r="S144" i="1"/>
  <c r="Q144" i="1"/>
  <c r="O144" i="1"/>
  <c r="M144" i="1"/>
  <c r="K144" i="1"/>
  <c r="I144" i="1"/>
  <c r="G144" i="1"/>
  <c r="AE143" i="1"/>
  <c r="AE142" i="1"/>
  <c r="AC142" i="1"/>
  <c r="AA142" i="1"/>
  <c r="Y142" i="1"/>
  <c r="W142" i="1"/>
  <c r="U142" i="1"/>
  <c r="S142" i="1"/>
  <c r="Q142" i="1"/>
  <c r="O142" i="1"/>
  <c r="M142" i="1"/>
  <c r="K142" i="1"/>
  <c r="I142" i="1"/>
  <c r="G142" i="1"/>
  <c r="AE141" i="1"/>
  <c r="AE140" i="1"/>
  <c r="AE136" i="1"/>
  <c r="AC136" i="1"/>
  <c r="AA136" i="1"/>
  <c r="Y136" i="1"/>
  <c r="W136" i="1"/>
  <c r="U136" i="1"/>
  <c r="S136" i="1"/>
  <c r="Q136" i="1"/>
  <c r="O136" i="1"/>
  <c r="M136" i="1"/>
  <c r="K136" i="1"/>
  <c r="I136" i="1"/>
  <c r="G136" i="1"/>
  <c r="AE135" i="1"/>
  <c r="AC135" i="1"/>
  <c r="AA135" i="1"/>
  <c r="Y135" i="1"/>
  <c r="W135" i="1"/>
  <c r="U135" i="1"/>
  <c r="S135" i="1"/>
  <c r="Q135" i="1"/>
  <c r="O135" i="1"/>
  <c r="M135" i="1"/>
  <c r="K135" i="1"/>
  <c r="I135" i="1"/>
  <c r="G135" i="1"/>
  <c r="AE134" i="1"/>
  <c r="AC134" i="1"/>
  <c r="AA134" i="1"/>
  <c r="Y134" i="1"/>
  <c r="W134" i="1"/>
  <c r="U134" i="1"/>
  <c r="S134" i="1"/>
  <c r="Q134" i="1"/>
  <c r="O134" i="1"/>
  <c r="M134" i="1"/>
  <c r="K134" i="1"/>
  <c r="I134" i="1"/>
  <c r="G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1" i="1"/>
  <c r="AC101" i="1"/>
  <c r="AA101" i="1"/>
  <c r="Y101" i="1"/>
  <c r="W101" i="1"/>
  <c r="U101" i="1"/>
  <c r="S101" i="1"/>
  <c r="Q101" i="1"/>
  <c r="O101" i="1"/>
  <c r="M101" i="1"/>
  <c r="K101" i="1"/>
  <c r="I101" i="1"/>
  <c r="G101" i="1"/>
  <c r="AE100" i="1"/>
  <c r="AE99" i="1"/>
  <c r="AE98" i="1"/>
  <c r="AE97" i="1"/>
  <c r="AE95" i="1"/>
  <c r="AC95" i="1"/>
  <c r="AA95" i="1"/>
  <c r="Y95" i="1"/>
  <c r="W95" i="1"/>
  <c r="U95" i="1"/>
  <c r="S95" i="1"/>
  <c r="Q95" i="1"/>
  <c r="O95" i="1"/>
  <c r="M95" i="1"/>
  <c r="K95" i="1"/>
  <c r="I95" i="1"/>
  <c r="G95" i="1"/>
  <c r="AE94" i="1"/>
  <c r="AE93" i="1"/>
  <c r="AE92" i="1"/>
  <c r="AE91" i="1"/>
  <c r="AE90" i="1"/>
  <c r="AE89" i="1"/>
  <c r="AE87" i="1"/>
  <c r="AC87" i="1"/>
  <c r="AA87" i="1"/>
  <c r="Y87" i="1"/>
  <c r="W87" i="1"/>
  <c r="U87" i="1"/>
  <c r="S87" i="1"/>
  <c r="Q87" i="1"/>
  <c r="O87" i="1"/>
  <c r="M87" i="1"/>
  <c r="K87" i="1"/>
  <c r="I87" i="1"/>
  <c r="G87" i="1"/>
  <c r="AE86" i="1"/>
  <c r="AE85" i="1"/>
  <c r="AE84" i="1"/>
  <c r="AE83" i="1"/>
  <c r="AE82" i="1"/>
  <c r="AE81" i="1"/>
  <c r="AE80" i="1"/>
  <c r="AE79" i="1"/>
  <c r="AE78" i="1"/>
  <c r="AE77" i="1"/>
  <c r="AE75" i="1"/>
  <c r="AC75" i="1"/>
  <c r="AA75" i="1"/>
  <c r="Y75" i="1"/>
  <c r="W75" i="1"/>
  <c r="U75" i="1"/>
  <c r="S75" i="1"/>
  <c r="Q75" i="1"/>
  <c r="O75" i="1"/>
  <c r="M75" i="1"/>
  <c r="K75" i="1"/>
  <c r="I75" i="1"/>
  <c r="G75" i="1"/>
  <c r="AE74" i="1"/>
  <c r="AE73" i="1"/>
  <c r="AE72" i="1"/>
  <c r="AE71" i="1"/>
  <c r="AE70" i="1"/>
  <c r="AE69" i="1"/>
  <c r="AE68" i="1"/>
  <c r="AE67" i="1"/>
  <c r="AE66" i="1"/>
  <c r="AE65" i="1"/>
  <c r="AE63" i="1"/>
  <c r="AC63" i="1"/>
  <c r="AA63" i="1"/>
  <c r="Y63" i="1"/>
  <c r="W63" i="1"/>
  <c r="U63" i="1"/>
  <c r="S63" i="1"/>
  <c r="Q63" i="1"/>
  <c r="O63" i="1"/>
  <c r="M63" i="1"/>
  <c r="K63" i="1"/>
  <c r="I63" i="1"/>
  <c r="G63" i="1"/>
  <c r="AE62" i="1"/>
  <c r="AE61" i="1"/>
  <c r="AE60" i="1"/>
  <c r="AE59" i="1"/>
  <c r="AE58" i="1"/>
  <c r="AE57" i="1"/>
  <c r="AE56" i="1"/>
  <c r="AE54" i="1"/>
  <c r="AC54" i="1"/>
  <c r="AA54" i="1"/>
  <c r="Y54" i="1"/>
  <c r="W54" i="1"/>
  <c r="U54" i="1"/>
  <c r="S54" i="1"/>
  <c r="Q54" i="1"/>
  <c r="O54" i="1"/>
  <c r="M54" i="1"/>
  <c r="K54" i="1"/>
  <c r="I54" i="1"/>
  <c r="G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6" i="1"/>
  <c r="AC26" i="1"/>
  <c r="AA26" i="1"/>
  <c r="Y26" i="1"/>
  <c r="W26" i="1"/>
  <c r="U26" i="1"/>
  <c r="S26" i="1"/>
  <c r="Q26" i="1"/>
  <c r="O26" i="1"/>
  <c r="M26" i="1"/>
  <c r="K26" i="1"/>
  <c r="I26" i="1"/>
  <c r="G26" i="1"/>
  <c r="AE25" i="1"/>
  <c r="AC25" i="1"/>
  <c r="AA25" i="1"/>
  <c r="Y25" i="1"/>
  <c r="W25" i="1"/>
  <c r="U25" i="1"/>
  <c r="S25" i="1"/>
  <c r="Q25" i="1"/>
  <c r="O25" i="1"/>
  <c r="M25" i="1"/>
  <c r="K25" i="1"/>
  <c r="I25" i="1"/>
  <c r="G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<sst xmlns="http://schemas.openxmlformats.org/spreadsheetml/2006/main" count="158" uniqueCount="158">
  <si>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</si>
  <si>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</si>
  <si>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</si>
  <si>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</si>
  <si>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</si>
  <si>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</si>
  <si>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</si>
  <si>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</si>
  <si>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</si>
  <si>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</si>
  <si>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313100-MC - A ANC WRITE OFF</t>
  </si>
  <si>
    <t>313500-CONTRACTUAL ADJUSTMENT</t>
  </si>
  <si>
    <t>314000-MISC. INCOME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</si>
  <si>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</si>
  <si>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</si>
  <si>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</si>
  <si>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</si>
  <si>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</si>
  <si>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</si>
  <si>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</si>
  <si>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318130- MEDICARE B MMAI ST</t>
  </si>
  <si>
    <t>318150- MEDICARE B HMO PT</t>
  </si>
  <si>
    <t>318160- MEDICARE B HMO OT</t>
  </si>
  <si>
    <t>318170- MEDICARE B HMO ST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</si>
  <si>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</si>
  <si>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</si>
  <si>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</si>
  <si>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</si>
  <si>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</si>
  <si>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</si>
  <si>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</si>
  <si>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</si>
  <si>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</si>
  <si>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</si>
  <si>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</si>
  <si>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</si>
  <si>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404001-PA EX. OXIMETRY</t>
  </si>
  <si>
    <t>404050-OXYGEN</t>
  </si>
  <si>
    <t>404100-IV SUPPLIES</t>
  </si>
  <si>
    <t>406000-PHARMACY CONSULTANT</t>
  </si>
  <si>
    <t>407000-MEDICAL DIRECTOR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</si>
  <si>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</si>
  <si>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</si>
  <si>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</si>
  <si>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</si>
  <si>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</si>
  <si>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</si>
  <si>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</si>
  <si>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</si>
  <si>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</si>
  <si>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</si>
  <si>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</si>
  <si>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</si>
  <si>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</si>
  <si>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</si>
  <si>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</si>
  <si>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</si>
  <si>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</si>
  <si>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</si>
  <si>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</si>
  <si>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600148 PTO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</si>
  <si>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</si>
  <si>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</si>
  <si>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</si>
  <si>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</si>
  <si>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</si>
  <si>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</si>
  <si>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</si>
  <si>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</si>
  <si>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</si>
  <si>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</si>
  <si>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</si>
  <si>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</si>
  <si>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60-Dietary Costs - Other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</si>
  <si>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</si>
  <si>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</si>
  <si>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</si>
  <si>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</si>
  <si>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</si>
  <si>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</si>
  <si>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</si>
  <si>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</si>
  <si>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625010-R &amp; M OVER $ 1500</t>
  </si>
  <si>
    <t>625050-MAINTENANCE SUPPLIES</t>
  </si>
  <si>
    <t>625100-DECORATING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</si>
  <si>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</si>
  <si>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</si>
  <si>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</si>
  <si>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</si>
  <si>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</si>
  <si>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</si>
  <si>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646000-SOCIAL SERVICES</t>
  </si>
  <si>
    <t>646050-PRSD</t>
  </si>
  <si>
    <t>646100-SOCIAL SERVICE CONSULT</t>
  </si>
  <si>
    <t>Total 64-Activity Costs</t>
  </si>
  <si>
    <t>66- Laundry and Linen Costs</t>
  </si>
  <si>
    <t>661020-LAUNDRY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</si>
  <si>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</si>
  <si>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</si>
  <si>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</si>
  <si>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</si>
  <si>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</si>
  <si>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</si>
  <si>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</si>
  <si>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</si>
  <si>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</si>
  <si>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</si>
  <si>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</si>
  <si>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</si>
  <si>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</si>
  <si>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</si>
  <si>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</si>
  <si>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</si>
  <si>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803500-BACKGROUND CHECK</t>
  </si>
  <si>
    <t>804000-OFFICE EXPENSE/SUPPLIES</t>
  </si>
  <si>
    <t>804010-OFFICE MISC</t>
  </si>
  <si>
    <t>804050-POSTAGE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</si>
  <si>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</si>
  <si>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</si>
  <si>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</si>
  <si>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</si>
  <si>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</si>
  <si>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</si>
  <si>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</si>
  <si>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810150-MCA Sequester Reduction</t>
  </si>
  <si>
    <t>811000-COMPUTER EXPENSE</t>
  </si>
  <si>
    <t>812000-INTEREST</t>
  </si>
  <si>
    <t>813000-EQUIPMENT RENTAL</t>
  </si>
  <si>
    <t>814000-INSURANCE</t>
  </si>
  <si>
    <t>820010-CABLE TV</t>
  </si>
  <si>
    <t>830000-CHRISTMAS EXPENSE</t>
  </si>
  <si>
    <t>840000-SEMINARS &amp; CONFERENCES</t>
  </si>
  <si>
    <t>8-General and Administrative - Other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</si>
  <si>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</si>
  <si>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</si>
  <si>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</si>
  <si>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</si>
  <si>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</si>
  <si>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</si>
  <si>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</si>
  <si>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</si>
  <si>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</si>
  <si>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Ask My Accountant</t>
  </si>
  <si>
    <t>Total Other Expense</t>
  </si>
  <si>
    <t>Net Other Income</t>
  </si>
  <si>
    <t>Net Income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</si>
  <si>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</si>
  <si>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</si>
  <si>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</si>
  <si>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</si>
  <si>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</si>
  <si>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</si>
  <si>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</si>
  <si>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</si>
  <si>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</si>
  <si>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</si>
  <si>
    <t>Jul 31, 26</t>
  </si>
  <si>
    <t>Aug 31,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</si>
</sst>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999C0B12-7971-4DB5-BE5A-5D8BCA965E7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E8A5F88-FE18-4E67-B639-AD7242BF2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BC5E-BB53-4237-8EF3-36C46CD7F71E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33D5-8626-4C7C-804B-84C15FBE203E}">
  <dimension ref="A1:AE147"/>
  <sheetViews>
    <sheetView tabSelected="1" workbookViewId="0">
      <pane xSplit="6" ySplit="1" topLeftCell="G19" activePane="bottomRight" state="frozenSplit"/>
      <selection pane="topRight" activeCell="G1" sqref="G1"/>
      <selection pane="bottomLeft" activeCell="A2" sqref="A2"/>
      <selection pane="bottomRight" activeCell="U14" sqref="U14"/>
    </sheetView>
  </sheetViews>
  <sheetFormatPr defaultRowHeight="15" x14ac:dyDescent="0.25"/>
  <cols>
    <col min="1" max="5" width="3" style="14" customWidth="1"/>
    <col min="6" max="6" width="30.5703125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146</v>
      </c>
      <c r="H1" s="12"/>
      <c r="I1" s="11" t="s">
        <v>147</v>
      </c>
      <c r="J1" s="12"/>
      <c r="K1" s="11" t="s">
        <v>148</v>
      </c>
      <c r="L1" s="12"/>
      <c r="M1" s="11" t="s">
        <v>149</v>
      </c>
      <c r="N1" s="12"/>
      <c r="O1" s="11" t="s">
        <v>150</v>
      </c>
      <c r="P1" s="12"/>
      <c r="Q1" s="11" t="s">
        <v>151</v>
      </c>
      <c r="R1" s="12"/>
      <c r="S1" s="11" t="s">
        <v>152</v>
      </c>
      <c r="T1" s="12"/>
      <c r="U1" s="11" t="s">
        <v>153</v>
      </c>
      <c r="V1" s="12"/>
      <c r="W1" s="11" t="s">
        <v>154</v>
      </c>
      <c r="X1" s="12"/>
      <c r="Y1" s="11" t="s">
        <v>155</v>
      </c>
      <c r="Z1" s="12"/>
      <c r="AA1" s="11" t="s">
        <v>156</v>
      </c>
      <c r="AB1" s="12"/>
      <c r="AC1" s="11" t="s">
        <v>157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20.76</v>
      </c>
      <c r="H4" s="3"/>
      <c r="I4" s="2">
        <v>0</v>
      </c>
      <c r="J4" s="3"/>
      <c r="K4" s="2">
        <v>697.12</v>
      </c>
      <c r="L4" s="3"/>
      <c r="M4" s="2">
        <v>14.68</v>
      </c>
      <c r="N4" s="3"/>
      <c r="O4" s="2">
        <v>176.9</v>
      </c>
      <c r="P4" s="3"/>
      <c r="Q4" s="2">
        <v>199</v>
      </c>
      <c r="R4" s="3"/>
      <c r="S4" s="2">
        <v>88.94</v>
      </c>
      <c r="T4" s="3"/>
      <c r="U4" s="2">
        <v>5.24</v>
      </c>
      <c r="V4" s="3"/>
      <c r="W4" s="2">
        <v>0</v>
      </c>
      <c r="X4" s="3"/>
      <c r="Y4" s="2">
        <v>0</v>
      </c>
      <c r="Z4" s="3"/>
      <c r="AA4" s="2">
        <v>8.01</v>
      </c>
      <c r="AB4" s="3"/>
      <c r="AC4" s="2">
        <v>89.48</v>
      </c>
      <c r="AD4" s="3"/>
      <c r="AE4" s="2">
        <f t="shared" ref="AE4:AE26" si="0">ROUND(SUM(G4:AC4),5)</f>
        <v>1300.1300000000001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7200</v>
      </c>
      <c r="H5" s="3"/>
      <c r="I5" s="2">
        <v>7440</v>
      </c>
      <c r="J5" s="3"/>
      <c r="K5" s="2">
        <v>7200</v>
      </c>
      <c r="L5" s="3"/>
      <c r="M5" s="2">
        <v>3360</v>
      </c>
      <c r="N5" s="3"/>
      <c r="O5" s="2">
        <v>0</v>
      </c>
      <c r="P5" s="3"/>
      <c r="Q5" s="2">
        <v>5760</v>
      </c>
      <c r="R5" s="3"/>
      <c r="S5" s="2">
        <v>7440</v>
      </c>
      <c r="T5" s="3"/>
      <c r="U5" s="2">
        <v>7200</v>
      </c>
      <c r="V5" s="3"/>
      <c r="W5" s="2">
        <v>7440</v>
      </c>
      <c r="X5" s="3"/>
      <c r="Y5" s="2">
        <v>7200</v>
      </c>
      <c r="Z5" s="3"/>
      <c r="AA5" s="2">
        <v>7440</v>
      </c>
      <c r="AB5" s="3"/>
      <c r="AC5" s="2">
        <v>7440</v>
      </c>
      <c r="AD5" s="3"/>
      <c r="AE5" s="2">
        <f t="shared" si="0"/>
        <v>75120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79142.399999999994</v>
      </c>
      <c r="H6" s="3"/>
      <c r="I6" s="2">
        <v>74703.23</v>
      </c>
      <c r="J6" s="3"/>
      <c r="K6" s="2">
        <v>45290.46</v>
      </c>
      <c r="L6" s="3"/>
      <c r="M6" s="2">
        <v>28892.19</v>
      </c>
      <c r="N6" s="3"/>
      <c r="O6" s="2">
        <v>21290.79</v>
      </c>
      <c r="P6" s="3"/>
      <c r="Q6" s="2">
        <v>28098.68</v>
      </c>
      <c r="R6" s="3"/>
      <c r="S6" s="2">
        <v>30036.52</v>
      </c>
      <c r="T6" s="3"/>
      <c r="U6" s="2">
        <v>42671.519999999997</v>
      </c>
      <c r="V6" s="3"/>
      <c r="W6" s="2">
        <v>35143.68</v>
      </c>
      <c r="X6" s="3"/>
      <c r="Y6" s="2">
        <v>65126.400000000001</v>
      </c>
      <c r="Z6" s="3"/>
      <c r="AA6" s="2">
        <v>73780</v>
      </c>
      <c r="AB6" s="3"/>
      <c r="AC6" s="2">
        <v>63767</v>
      </c>
      <c r="AD6" s="3"/>
      <c r="AE6" s="2">
        <f t="shared" si="0"/>
        <v>587942.87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316074.96000000002</v>
      </c>
      <c r="H7" s="3"/>
      <c r="I7" s="2">
        <v>344623.96</v>
      </c>
      <c r="J7" s="3"/>
      <c r="K7" s="2">
        <v>357378.17</v>
      </c>
      <c r="L7" s="3"/>
      <c r="M7" s="2">
        <v>367269.19</v>
      </c>
      <c r="N7" s="3"/>
      <c r="O7" s="2">
        <v>278986.90000000002</v>
      </c>
      <c r="P7" s="3"/>
      <c r="Q7" s="2">
        <v>307147.64</v>
      </c>
      <c r="R7" s="3"/>
      <c r="S7" s="2">
        <v>334761.86</v>
      </c>
      <c r="T7" s="3"/>
      <c r="U7" s="2">
        <v>306556.96999999997</v>
      </c>
      <c r="V7" s="3"/>
      <c r="W7" s="2">
        <v>355368.96000000002</v>
      </c>
      <c r="X7" s="3"/>
      <c r="Y7" s="2">
        <v>315105.75</v>
      </c>
      <c r="Z7" s="3"/>
      <c r="AA7" s="2">
        <v>356515.5</v>
      </c>
      <c r="AB7" s="3"/>
      <c r="AC7" s="2">
        <v>373643</v>
      </c>
      <c r="AD7" s="3"/>
      <c r="AE7" s="2">
        <f t="shared" si="0"/>
        <v>4013432.86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29678.400000000001</v>
      </c>
      <c r="H8" s="3"/>
      <c r="I8" s="2">
        <v>43728.72</v>
      </c>
      <c r="J8" s="3"/>
      <c r="K8" s="2">
        <v>33056.83</v>
      </c>
      <c r="L8" s="3"/>
      <c r="M8" s="2">
        <v>47372.78</v>
      </c>
      <c r="N8" s="3"/>
      <c r="O8" s="2">
        <v>109333.24</v>
      </c>
      <c r="P8" s="3"/>
      <c r="Q8" s="2">
        <v>27129.759999999998</v>
      </c>
      <c r="R8" s="3"/>
      <c r="S8" s="2">
        <v>30036.52</v>
      </c>
      <c r="T8" s="3"/>
      <c r="U8" s="2">
        <v>40796.160000000003</v>
      </c>
      <c r="V8" s="3"/>
      <c r="W8" s="2">
        <v>30965.759999999998</v>
      </c>
      <c r="X8" s="3"/>
      <c r="Y8" s="2">
        <v>28753.919999999998</v>
      </c>
      <c r="Z8" s="3"/>
      <c r="AA8" s="2">
        <v>32674</v>
      </c>
      <c r="AB8" s="3"/>
      <c r="AC8" s="2">
        <v>31620</v>
      </c>
      <c r="AD8" s="3"/>
      <c r="AE8" s="2">
        <f t="shared" si="0"/>
        <v>485146.09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9821.42</v>
      </c>
      <c r="H9" s="3"/>
      <c r="I9" s="2">
        <v>11556.77</v>
      </c>
      <c r="J9" s="3"/>
      <c r="K9" s="2">
        <v>11556.77</v>
      </c>
      <c r="L9" s="3"/>
      <c r="M9" s="2">
        <v>11556.77</v>
      </c>
      <c r="N9" s="3"/>
      <c r="O9" s="2">
        <v>13161.97</v>
      </c>
      <c r="P9" s="3"/>
      <c r="Q9" s="2">
        <v>13161.97</v>
      </c>
      <c r="R9" s="3"/>
      <c r="S9" s="2">
        <v>13161.97</v>
      </c>
      <c r="T9" s="3"/>
      <c r="U9" s="2">
        <v>13196.75</v>
      </c>
      <c r="V9" s="3"/>
      <c r="W9" s="2">
        <v>13196.75</v>
      </c>
      <c r="X9" s="3"/>
      <c r="Y9" s="2">
        <v>13196.75</v>
      </c>
      <c r="Z9" s="3"/>
      <c r="AA9" s="2">
        <v>15984.61</v>
      </c>
      <c r="AB9" s="3"/>
      <c r="AC9" s="2">
        <v>15984.61</v>
      </c>
      <c r="AD9" s="3"/>
      <c r="AE9" s="2">
        <f t="shared" si="0"/>
        <v>155537.10999999999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15071.61</v>
      </c>
      <c r="H10" s="3"/>
      <c r="I10" s="2">
        <v>17908.87</v>
      </c>
      <c r="J10" s="3"/>
      <c r="K10" s="2">
        <v>6771.34</v>
      </c>
      <c r="L10" s="3"/>
      <c r="M10" s="2">
        <v>10732.12</v>
      </c>
      <c r="N10" s="3"/>
      <c r="O10" s="2">
        <v>60922.87</v>
      </c>
      <c r="P10" s="3"/>
      <c r="Q10" s="2">
        <v>52014.5</v>
      </c>
      <c r="R10" s="3"/>
      <c r="S10" s="2">
        <v>17376.580000000002</v>
      </c>
      <c r="T10" s="3"/>
      <c r="U10" s="2">
        <v>15140.65</v>
      </c>
      <c r="V10" s="3"/>
      <c r="W10" s="2">
        <v>35183.58</v>
      </c>
      <c r="X10" s="3"/>
      <c r="Y10" s="2">
        <v>25546.98</v>
      </c>
      <c r="Z10" s="3"/>
      <c r="AA10" s="2">
        <v>0</v>
      </c>
      <c r="AB10" s="3"/>
      <c r="AC10" s="2">
        <v>19552.87</v>
      </c>
      <c r="AD10" s="3"/>
      <c r="AE10" s="2">
        <f t="shared" si="0"/>
        <v>276221.96999999997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f t="shared" si="0"/>
        <v>0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-434.82</v>
      </c>
      <c r="V12" s="3"/>
      <c r="W12" s="2">
        <v>0</v>
      </c>
      <c r="X12" s="3"/>
      <c r="Y12" s="2">
        <v>-247.31</v>
      </c>
      <c r="Z12" s="3"/>
      <c r="AA12" s="2">
        <v>-6</v>
      </c>
      <c r="AB12" s="3"/>
      <c r="AC12" s="2">
        <v>-34.729999999999997</v>
      </c>
      <c r="AD12" s="3"/>
      <c r="AE12" s="2">
        <f t="shared" si="0"/>
        <v>-722.86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39.01</v>
      </c>
      <c r="H13" s="3"/>
      <c r="I13" s="2">
        <v>178</v>
      </c>
      <c r="J13" s="3"/>
      <c r="K13" s="2">
        <v>0</v>
      </c>
      <c r="L13" s="3"/>
      <c r="M13" s="2">
        <v>0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0</v>
      </c>
      <c r="Z13" s="3"/>
      <c r="AA13" s="2">
        <v>0</v>
      </c>
      <c r="AB13" s="3"/>
      <c r="AC13" s="2">
        <v>0</v>
      </c>
      <c r="AD13" s="3"/>
      <c r="AE13" s="2">
        <f t="shared" si="0"/>
        <v>217.01</v>
      </c>
    </row>
    <row r="14" spans="1:31" x14ac:dyDescent="0.25">
      <c r="A14" s="1"/>
      <c r="B14" s="1"/>
      <c r="C14" s="1"/>
      <c r="D14" s="1"/>
      <c r="E14" s="1" t="s">
        <v>13</v>
      </c>
      <c r="F14" s="1"/>
      <c r="G14" s="2">
        <v>136.77000000000001</v>
      </c>
      <c r="H14" s="3"/>
      <c r="I14" s="2">
        <v>952.53</v>
      </c>
      <c r="J14" s="3"/>
      <c r="K14" s="2">
        <v>612.63</v>
      </c>
      <c r="L14" s="3"/>
      <c r="M14" s="2">
        <v>2298</v>
      </c>
      <c r="N14" s="3"/>
      <c r="O14" s="2">
        <v>1441.44</v>
      </c>
      <c r="P14" s="3"/>
      <c r="Q14" s="2">
        <v>0</v>
      </c>
      <c r="R14" s="3"/>
      <c r="S14" s="2">
        <v>0</v>
      </c>
      <c r="T14" s="3"/>
      <c r="U14" s="2">
        <v>0</v>
      </c>
      <c r="V14" s="3"/>
      <c r="W14" s="2">
        <v>0</v>
      </c>
      <c r="X14" s="3"/>
      <c r="Y14" s="2">
        <v>0</v>
      </c>
      <c r="Z14" s="3"/>
      <c r="AA14" s="2">
        <v>0</v>
      </c>
      <c r="AB14" s="3"/>
      <c r="AC14" s="2">
        <v>0</v>
      </c>
      <c r="AD14" s="3"/>
      <c r="AE14" s="2">
        <f t="shared" si="0"/>
        <v>5441.37</v>
      </c>
    </row>
    <row r="15" spans="1:31" x14ac:dyDescent="0.25">
      <c r="A15" s="1"/>
      <c r="B15" s="1"/>
      <c r="C15" s="1"/>
      <c r="D15" s="1"/>
      <c r="E15" s="1" t="s">
        <v>14</v>
      </c>
      <c r="F15" s="1"/>
      <c r="G15" s="2">
        <v>7736.83</v>
      </c>
      <c r="H15" s="3"/>
      <c r="I15" s="2">
        <v>7360.44</v>
      </c>
      <c r="J15" s="3"/>
      <c r="K15" s="2">
        <v>6341.48</v>
      </c>
      <c r="L15" s="3"/>
      <c r="M15" s="2">
        <v>8275.27</v>
      </c>
      <c r="N15" s="3"/>
      <c r="O15" s="2">
        <v>5975.88</v>
      </c>
      <c r="P15" s="3"/>
      <c r="Q15" s="2">
        <v>3080.62</v>
      </c>
      <c r="R15" s="3"/>
      <c r="S15" s="2">
        <v>3142.98</v>
      </c>
      <c r="T15" s="3"/>
      <c r="U15" s="2">
        <v>2330.36</v>
      </c>
      <c r="V15" s="3"/>
      <c r="W15" s="2">
        <v>3579.13</v>
      </c>
      <c r="X15" s="3"/>
      <c r="Y15" s="2">
        <v>3378.57</v>
      </c>
      <c r="Z15" s="3"/>
      <c r="AA15" s="2">
        <v>4297.29</v>
      </c>
      <c r="AB15" s="3"/>
      <c r="AC15" s="2">
        <v>3334.66</v>
      </c>
      <c r="AD15" s="3"/>
      <c r="AE15" s="2">
        <f t="shared" si="0"/>
        <v>58833.51</v>
      </c>
    </row>
    <row r="16" spans="1:31" x14ac:dyDescent="0.25">
      <c r="A16" s="1"/>
      <c r="B16" s="1"/>
      <c r="C16" s="1"/>
      <c r="D16" s="1"/>
      <c r="E16" s="1" t="s">
        <v>15</v>
      </c>
      <c r="F16" s="1"/>
      <c r="G16" s="2">
        <v>848.35</v>
      </c>
      <c r="H16" s="3"/>
      <c r="I16" s="2">
        <v>2352.83</v>
      </c>
      <c r="J16" s="3"/>
      <c r="K16" s="2">
        <v>2590.29</v>
      </c>
      <c r="L16" s="3"/>
      <c r="M16" s="2">
        <v>3506.12</v>
      </c>
      <c r="N16" s="3"/>
      <c r="O16" s="2">
        <v>2557.67</v>
      </c>
      <c r="P16" s="3"/>
      <c r="Q16" s="2">
        <v>1312.6</v>
      </c>
      <c r="R16" s="3"/>
      <c r="S16" s="2">
        <v>943.75</v>
      </c>
      <c r="T16" s="3"/>
      <c r="U16" s="2">
        <v>620.29999999999995</v>
      </c>
      <c r="V16" s="3"/>
      <c r="W16" s="2">
        <v>-102.52</v>
      </c>
      <c r="X16" s="3"/>
      <c r="Y16" s="2">
        <v>0</v>
      </c>
      <c r="Z16" s="3"/>
      <c r="AA16" s="2">
        <v>464.88</v>
      </c>
      <c r="AB16" s="3"/>
      <c r="AC16" s="2">
        <v>992.42</v>
      </c>
      <c r="AD16" s="3"/>
      <c r="AE16" s="2">
        <f t="shared" si="0"/>
        <v>16086.69</v>
      </c>
    </row>
    <row r="17" spans="1:31" x14ac:dyDescent="0.25">
      <c r="A17" s="1"/>
      <c r="B17" s="1"/>
      <c r="C17" s="1"/>
      <c r="D17" s="1"/>
      <c r="E17" s="1" t="s">
        <v>16</v>
      </c>
      <c r="F17" s="1"/>
      <c r="G17" s="2">
        <v>-675.24</v>
      </c>
      <c r="H17" s="3"/>
      <c r="I17" s="2">
        <v>0</v>
      </c>
      <c r="J17" s="3"/>
      <c r="K17" s="2">
        <v>0</v>
      </c>
      <c r="L17" s="3"/>
      <c r="M17" s="2">
        <v>0</v>
      </c>
      <c r="N17" s="3"/>
      <c r="O17" s="2">
        <v>-1133.99</v>
      </c>
      <c r="P17" s="3"/>
      <c r="Q17" s="2">
        <v>0</v>
      </c>
      <c r="R17" s="3"/>
      <c r="S17" s="2">
        <v>0</v>
      </c>
      <c r="T17" s="3"/>
      <c r="U17" s="2">
        <v>0</v>
      </c>
      <c r="V17" s="3"/>
      <c r="W17" s="2">
        <v>0</v>
      </c>
      <c r="X17" s="3"/>
      <c r="Y17" s="2">
        <v>-2513.83</v>
      </c>
      <c r="Z17" s="3"/>
      <c r="AA17" s="2">
        <v>-639.12</v>
      </c>
      <c r="AB17" s="3"/>
      <c r="AC17" s="2">
        <v>0</v>
      </c>
      <c r="AD17" s="3"/>
      <c r="AE17" s="2">
        <f t="shared" si="0"/>
        <v>-4962.18</v>
      </c>
    </row>
    <row r="18" spans="1:31" x14ac:dyDescent="0.25">
      <c r="A18" s="1"/>
      <c r="B18" s="1"/>
      <c r="C18" s="1"/>
      <c r="D18" s="1"/>
      <c r="E18" s="1" t="s">
        <v>17</v>
      </c>
      <c r="F18" s="1"/>
      <c r="G18" s="2">
        <v>0</v>
      </c>
      <c r="H18" s="3"/>
      <c r="I18" s="2">
        <v>0</v>
      </c>
      <c r="J18" s="3"/>
      <c r="K18" s="2">
        <v>0</v>
      </c>
      <c r="L18" s="3"/>
      <c r="M18" s="2">
        <v>0</v>
      </c>
      <c r="N18" s="3"/>
      <c r="O18" s="2">
        <v>0</v>
      </c>
      <c r="P18" s="3"/>
      <c r="Q18" s="2">
        <v>0</v>
      </c>
      <c r="R18" s="3"/>
      <c r="S18" s="2">
        <v>0</v>
      </c>
      <c r="T18" s="3"/>
      <c r="U18" s="2">
        <v>0</v>
      </c>
      <c r="V18" s="3"/>
      <c r="W18" s="2">
        <v>0</v>
      </c>
      <c r="X18" s="3"/>
      <c r="Y18" s="2">
        <v>0</v>
      </c>
      <c r="Z18" s="3"/>
      <c r="AA18" s="2">
        <v>8605.0400000000009</v>
      </c>
      <c r="AB18" s="3"/>
      <c r="AC18" s="2">
        <v>1583.06</v>
      </c>
      <c r="AD18" s="3"/>
      <c r="AE18" s="2">
        <f t="shared" si="0"/>
        <v>10188.1</v>
      </c>
    </row>
    <row r="19" spans="1:31" x14ac:dyDescent="0.25">
      <c r="A19" s="1"/>
      <c r="B19" s="1"/>
      <c r="C19" s="1"/>
      <c r="D19" s="1"/>
      <c r="E19" s="1" t="s">
        <v>18</v>
      </c>
      <c r="F19" s="1"/>
      <c r="G19" s="2">
        <v>0</v>
      </c>
      <c r="H19" s="3"/>
      <c r="I19" s="2">
        <v>0</v>
      </c>
      <c r="J19" s="3"/>
      <c r="K19" s="2">
        <v>0</v>
      </c>
      <c r="L19" s="3"/>
      <c r="M19" s="2">
        <v>0</v>
      </c>
      <c r="N19" s="3"/>
      <c r="O19" s="2">
        <v>0</v>
      </c>
      <c r="P19" s="3"/>
      <c r="Q19" s="2">
        <v>0</v>
      </c>
      <c r="R19" s="3"/>
      <c r="S19" s="2">
        <v>0</v>
      </c>
      <c r="T19" s="3"/>
      <c r="U19" s="2">
        <v>6500</v>
      </c>
      <c r="V19" s="3"/>
      <c r="W19" s="2">
        <v>0</v>
      </c>
      <c r="X19" s="3"/>
      <c r="Y19" s="2">
        <v>0</v>
      </c>
      <c r="Z19" s="3"/>
      <c r="AA19" s="2">
        <v>1800</v>
      </c>
      <c r="AB19" s="3"/>
      <c r="AC19" s="2">
        <v>0</v>
      </c>
      <c r="AD19" s="3"/>
      <c r="AE19" s="2">
        <f t="shared" si="0"/>
        <v>8300</v>
      </c>
    </row>
    <row r="20" spans="1:31" x14ac:dyDescent="0.25">
      <c r="A20" s="1"/>
      <c r="B20" s="1"/>
      <c r="C20" s="1"/>
      <c r="D20" s="1"/>
      <c r="E20" s="1" t="s">
        <v>19</v>
      </c>
      <c r="F20" s="1"/>
      <c r="G20" s="2">
        <v>0</v>
      </c>
      <c r="H20" s="3"/>
      <c r="I20" s="2">
        <v>0</v>
      </c>
      <c r="J20" s="3"/>
      <c r="K20" s="2">
        <v>0</v>
      </c>
      <c r="L20" s="3"/>
      <c r="M20" s="2">
        <v>0</v>
      </c>
      <c r="N20" s="3"/>
      <c r="O20" s="2">
        <v>0</v>
      </c>
      <c r="P20" s="3"/>
      <c r="Q20" s="2">
        <v>0</v>
      </c>
      <c r="R20" s="3"/>
      <c r="S20" s="2">
        <v>0</v>
      </c>
      <c r="T20" s="3"/>
      <c r="U20" s="2">
        <v>0</v>
      </c>
      <c r="V20" s="3"/>
      <c r="W20" s="2">
        <v>0</v>
      </c>
      <c r="X20" s="3"/>
      <c r="Y20" s="2">
        <v>99.73</v>
      </c>
      <c r="Z20" s="3"/>
      <c r="AA20" s="2">
        <v>1195.46</v>
      </c>
      <c r="AB20" s="3"/>
      <c r="AC20" s="2">
        <v>0</v>
      </c>
      <c r="AD20" s="3"/>
      <c r="AE20" s="2">
        <f t="shared" si="0"/>
        <v>1295.19</v>
      </c>
    </row>
    <row r="21" spans="1:31" x14ac:dyDescent="0.25">
      <c r="A21" s="1"/>
      <c r="B21" s="1"/>
      <c r="C21" s="1"/>
      <c r="D21" s="1"/>
      <c r="E21" s="1" t="s">
        <v>20</v>
      </c>
      <c r="F21" s="1"/>
      <c r="G21" s="2">
        <v>0</v>
      </c>
      <c r="H21" s="3"/>
      <c r="I21" s="2">
        <v>0</v>
      </c>
      <c r="J21" s="3"/>
      <c r="K21" s="2">
        <v>0</v>
      </c>
      <c r="L21" s="3"/>
      <c r="M21" s="2">
        <v>0</v>
      </c>
      <c r="N21" s="3"/>
      <c r="O21" s="2">
        <v>0</v>
      </c>
      <c r="P21" s="3"/>
      <c r="Q21" s="2">
        <v>343.91</v>
      </c>
      <c r="R21" s="3"/>
      <c r="S21" s="2">
        <v>858</v>
      </c>
      <c r="T21" s="3"/>
      <c r="U21" s="2">
        <v>0</v>
      </c>
      <c r="V21" s="3"/>
      <c r="W21" s="2">
        <v>0</v>
      </c>
      <c r="X21" s="3"/>
      <c r="Y21" s="2">
        <v>0</v>
      </c>
      <c r="Z21" s="3"/>
      <c r="AA21" s="2">
        <v>0</v>
      </c>
      <c r="AB21" s="3"/>
      <c r="AC21" s="2">
        <v>0</v>
      </c>
      <c r="AD21" s="3"/>
      <c r="AE21" s="2">
        <f t="shared" si="0"/>
        <v>1201.9100000000001</v>
      </c>
    </row>
    <row r="22" spans="1:31" x14ac:dyDescent="0.25">
      <c r="A22" s="1"/>
      <c r="B22" s="1"/>
      <c r="C22" s="1"/>
      <c r="D22" s="1"/>
      <c r="E22" s="1" t="s">
        <v>21</v>
      </c>
      <c r="F22" s="1"/>
      <c r="G22" s="2">
        <v>0</v>
      </c>
      <c r="H22" s="3"/>
      <c r="I22" s="2">
        <v>0</v>
      </c>
      <c r="J22" s="3"/>
      <c r="K22" s="2">
        <v>0</v>
      </c>
      <c r="L22" s="3"/>
      <c r="M22" s="2">
        <v>0</v>
      </c>
      <c r="N22" s="3"/>
      <c r="O22" s="2">
        <v>0</v>
      </c>
      <c r="P22" s="3"/>
      <c r="Q22" s="2">
        <v>173.85</v>
      </c>
      <c r="R22" s="3"/>
      <c r="S22" s="2">
        <v>1259.31</v>
      </c>
      <c r="T22" s="3"/>
      <c r="U22" s="2">
        <v>1675.2</v>
      </c>
      <c r="V22" s="3"/>
      <c r="W22" s="2">
        <v>1217.18</v>
      </c>
      <c r="X22" s="3"/>
      <c r="Y22" s="2">
        <v>1553.12</v>
      </c>
      <c r="Z22" s="3"/>
      <c r="AA22" s="2">
        <v>1949.83</v>
      </c>
      <c r="AB22" s="3"/>
      <c r="AC22" s="2">
        <v>0</v>
      </c>
      <c r="AD22" s="3"/>
      <c r="AE22" s="2">
        <f t="shared" si="0"/>
        <v>7828.49</v>
      </c>
    </row>
    <row r="23" spans="1:31" x14ac:dyDescent="0.25">
      <c r="A23" s="1"/>
      <c r="B23" s="1"/>
      <c r="C23" s="1"/>
      <c r="D23" s="1"/>
      <c r="E23" s="1" t="s">
        <v>22</v>
      </c>
      <c r="F23" s="1"/>
      <c r="G23" s="2">
        <v>0</v>
      </c>
      <c r="H23" s="3"/>
      <c r="I23" s="2">
        <v>0</v>
      </c>
      <c r="J23" s="3"/>
      <c r="K23" s="2">
        <v>0</v>
      </c>
      <c r="L23" s="3"/>
      <c r="M23" s="2">
        <v>0</v>
      </c>
      <c r="N23" s="3"/>
      <c r="O23" s="2">
        <v>0</v>
      </c>
      <c r="P23" s="3"/>
      <c r="Q23" s="2">
        <v>0</v>
      </c>
      <c r="R23" s="3"/>
      <c r="S23" s="2">
        <v>0</v>
      </c>
      <c r="T23" s="3"/>
      <c r="U23" s="2">
        <v>97.17</v>
      </c>
      <c r="V23" s="3"/>
      <c r="W23" s="2">
        <v>0</v>
      </c>
      <c r="X23" s="3"/>
      <c r="Y23" s="2">
        <v>0</v>
      </c>
      <c r="Z23" s="3"/>
      <c r="AA23" s="2">
        <v>128.15</v>
      </c>
      <c r="AB23" s="3"/>
      <c r="AC23" s="2">
        <v>0</v>
      </c>
      <c r="AD23" s="3"/>
      <c r="AE23" s="2">
        <f t="shared" si="0"/>
        <v>225.32</v>
      </c>
    </row>
    <row r="24" spans="1:31" ht="15.75" thickBot="1" x14ac:dyDescent="0.3">
      <c r="A24" s="1"/>
      <c r="B24" s="1"/>
      <c r="C24" s="1"/>
      <c r="D24" s="1"/>
      <c r="E24" s="1" t="s">
        <v>23</v>
      </c>
      <c r="F24" s="1"/>
      <c r="G24" s="4">
        <v>0</v>
      </c>
      <c r="H24" s="3"/>
      <c r="I24" s="4">
        <v>0</v>
      </c>
      <c r="J24" s="3"/>
      <c r="K24" s="4">
        <v>339.92</v>
      </c>
      <c r="L24" s="3"/>
      <c r="M24" s="4">
        <v>0</v>
      </c>
      <c r="N24" s="3"/>
      <c r="O24" s="4">
        <v>0</v>
      </c>
      <c r="P24" s="3"/>
      <c r="Q24" s="4">
        <v>0</v>
      </c>
      <c r="R24" s="3"/>
      <c r="S24" s="4">
        <v>0</v>
      </c>
      <c r="T24" s="3"/>
      <c r="U24" s="4">
        <v>316.77</v>
      </c>
      <c r="V24" s="3"/>
      <c r="W24" s="4">
        <v>0</v>
      </c>
      <c r="X24" s="3"/>
      <c r="Y24" s="4">
        <v>0</v>
      </c>
      <c r="Z24" s="3"/>
      <c r="AA24" s="4">
        <v>0</v>
      </c>
      <c r="AB24" s="3"/>
      <c r="AC24" s="4">
        <v>0</v>
      </c>
      <c r="AD24" s="3"/>
      <c r="AE24" s="4">
        <f t="shared" si="0"/>
        <v>656.69</v>
      </c>
    </row>
    <row r="25" spans="1:31" ht="15.75" thickBot="1" x14ac:dyDescent="0.3">
      <c r="A25" s="1"/>
      <c r="B25" s="1"/>
      <c r="C25" s="1"/>
      <c r="D25" s="1" t="s">
        <v>24</v>
      </c>
      <c r="E25" s="1"/>
      <c r="F25" s="1"/>
      <c r="G25" s="5">
        <f>ROUND(SUM(G3:G24),5)</f>
        <v>465095.27</v>
      </c>
      <c r="H25" s="3"/>
      <c r="I25" s="5">
        <f>ROUND(SUM(I3:I24),5)</f>
        <v>510805.35</v>
      </c>
      <c r="J25" s="3"/>
      <c r="K25" s="5">
        <f>ROUND(SUM(K3:K24),5)</f>
        <v>471835.01</v>
      </c>
      <c r="L25" s="3"/>
      <c r="M25" s="5">
        <f>ROUND(SUM(M3:M24),5)</f>
        <v>483277.12</v>
      </c>
      <c r="N25" s="3"/>
      <c r="O25" s="5">
        <f>ROUND(SUM(O3:O24),5)</f>
        <v>492713.67</v>
      </c>
      <c r="P25" s="3"/>
      <c r="Q25" s="5">
        <f>ROUND(SUM(Q3:Q24),5)</f>
        <v>438422.53</v>
      </c>
      <c r="R25" s="3"/>
      <c r="S25" s="5">
        <f>ROUND(SUM(S3:S24),5)</f>
        <v>439106.43</v>
      </c>
      <c r="T25" s="3"/>
      <c r="U25" s="5">
        <f>ROUND(SUM(U3:U24),5)</f>
        <v>436672.27</v>
      </c>
      <c r="V25" s="3"/>
      <c r="W25" s="5">
        <f>ROUND(SUM(W3:W24),5)</f>
        <v>481992.52</v>
      </c>
      <c r="X25" s="3"/>
      <c r="Y25" s="5">
        <f>ROUND(SUM(Y3:Y24),5)</f>
        <v>457200.08</v>
      </c>
      <c r="Z25" s="3"/>
      <c r="AA25" s="5">
        <f>ROUND(SUM(AA3:AA24),5)</f>
        <v>504197.65</v>
      </c>
      <c r="AB25" s="3"/>
      <c r="AC25" s="5">
        <f>ROUND(SUM(AC3:AC24),5)</f>
        <v>517972.37</v>
      </c>
      <c r="AD25" s="3"/>
      <c r="AE25" s="5">
        <f t="shared" si="0"/>
        <v>5699290.2699999996</v>
      </c>
    </row>
    <row r="26" spans="1:31" x14ac:dyDescent="0.25">
      <c r="A26" s="1"/>
      <c r="B26" s="1"/>
      <c r="C26" s="1" t="s">
        <v>25</v>
      </c>
      <c r="D26" s="1"/>
      <c r="E26" s="1"/>
      <c r="F26" s="1"/>
      <c r="G26" s="2">
        <f>G25</f>
        <v>465095.27</v>
      </c>
      <c r="H26" s="3"/>
      <c r="I26" s="2">
        <f>I25</f>
        <v>510805.35</v>
      </c>
      <c r="J26" s="3"/>
      <c r="K26" s="2">
        <f>K25</f>
        <v>471835.01</v>
      </c>
      <c r="L26" s="3"/>
      <c r="M26" s="2">
        <f>M25</f>
        <v>483277.12</v>
      </c>
      <c r="N26" s="3"/>
      <c r="O26" s="2">
        <f>O25</f>
        <v>492713.67</v>
      </c>
      <c r="P26" s="3"/>
      <c r="Q26" s="2">
        <f>Q25</f>
        <v>438422.53</v>
      </c>
      <c r="R26" s="3"/>
      <c r="S26" s="2">
        <f>S25</f>
        <v>439106.43</v>
      </c>
      <c r="T26" s="3"/>
      <c r="U26" s="2">
        <f>U25</f>
        <v>436672.27</v>
      </c>
      <c r="V26" s="3"/>
      <c r="W26" s="2">
        <f>W25</f>
        <v>481992.52</v>
      </c>
      <c r="X26" s="3"/>
      <c r="Y26" s="2">
        <f>Y25</f>
        <v>457200.08</v>
      </c>
      <c r="Z26" s="3"/>
      <c r="AA26" s="2">
        <f>AA25</f>
        <v>504197.65</v>
      </c>
      <c r="AB26" s="3"/>
      <c r="AC26" s="2">
        <f>AC25</f>
        <v>517972.37</v>
      </c>
      <c r="AD26" s="3"/>
      <c r="AE26" s="2">
        <f t="shared" si="0"/>
        <v>5699290.2699999996</v>
      </c>
    </row>
    <row r="27" spans="1:31" x14ac:dyDescent="0.25">
      <c r="A27" s="1"/>
      <c r="B27" s="1"/>
      <c r="C27" s="1"/>
      <c r="D27" s="1" t="s">
        <v>26</v>
      </c>
      <c r="E27" s="1"/>
      <c r="F27" s="1"/>
      <c r="G27" s="2"/>
      <c r="H27" s="3"/>
      <c r="I27" s="2"/>
      <c r="J27" s="3"/>
      <c r="K27" s="2"/>
      <c r="L27" s="3"/>
      <c r="M27" s="2"/>
      <c r="N27" s="3"/>
      <c r="O27" s="2"/>
      <c r="P27" s="3"/>
      <c r="Q27" s="2"/>
      <c r="R27" s="3"/>
      <c r="S27" s="2"/>
      <c r="T27" s="3"/>
      <c r="U27" s="2"/>
      <c r="V27" s="3"/>
      <c r="W27" s="2"/>
      <c r="X27" s="3"/>
      <c r="Y27" s="2"/>
      <c r="Z27" s="3"/>
      <c r="AA27" s="2"/>
      <c r="AB27" s="3"/>
      <c r="AC27" s="2"/>
      <c r="AD27" s="3"/>
      <c r="AE27" s="2"/>
    </row>
    <row r="28" spans="1:31" x14ac:dyDescent="0.25">
      <c r="A28" s="1"/>
      <c r="B28" s="1"/>
      <c r="C28" s="1"/>
      <c r="D28" s="1"/>
      <c r="E28" s="1" t="s">
        <v>27</v>
      </c>
      <c r="F28" s="1"/>
      <c r="G28" s="2"/>
      <c r="H28" s="3"/>
      <c r="I28" s="2"/>
      <c r="J28" s="3"/>
      <c r="K28" s="2"/>
      <c r="L28" s="3"/>
      <c r="M28" s="2"/>
      <c r="N28" s="3"/>
      <c r="O28" s="2"/>
      <c r="P28" s="3"/>
      <c r="Q28" s="2"/>
      <c r="R28" s="3"/>
      <c r="S28" s="2"/>
      <c r="T28" s="3"/>
      <c r="U28" s="2"/>
      <c r="V28" s="3"/>
      <c r="W28" s="2"/>
      <c r="X28" s="3"/>
      <c r="Y28" s="2"/>
      <c r="Z28" s="3"/>
      <c r="AA28" s="2"/>
      <c r="AB28" s="3"/>
      <c r="AC28" s="2"/>
      <c r="AD28" s="3"/>
      <c r="AE28" s="2"/>
    </row>
    <row r="29" spans="1:31" x14ac:dyDescent="0.25">
      <c r="A29" s="1"/>
      <c r="B29" s="1"/>
      <c r="C29" s="1"/>
      <c r="D29" s="1"/>
      <c r="E29" s="1"/>
      <c r="F29" s="1" t="s">
        <v>28</v>
      </c>
      <c r="G29" s="2">
        <v>50088.959999999999</v>
      </c>
      <c r="H29" s="3"/>
      <c r="I29" s="2">
        <v>56277.79</v>
      </c>
      <c r="J29" s="3"/>
      <c r="K29" s="2">
        <v>52155.72</v>
      </c>
      <c r="L29" s="3"/>
      <c r="M29" s="2">
        <v>46168.93</v>
      </c>
      <c r="N29" s="3"/>
      <c r="O29" s="2">
        <v>47169.04</v>
      </c>
      <c r="P29" s="3"/>
      <c r="Q29" s="2">
        <v>40825.03</v>
      </c>
      <c r="R29" s="3"/>
      <c r="S29" s="2">
        <v>54109.279999999999</v>
      </c>
      <c r="T29" s="3"/>
      <c r="U29" s="2">
        <v>54416.85</v>
      </c>
      <c r="V29" s="3"/>
      <c r="W29" s="2">
        <v>48541.81</v>
      </c>
      <c r="X29" s="3"/>
      <c r="Y29" s="2">
        <v>45567.06</v>
      </c>
      <c r="Z29" s="3"/>
      <c r="AA29" s="2">
        <v>44539.38</v>
      </c>
      <c r="AB29" s="3"/>
      <c r="AC29" s="2">
        <v>46178.45</v>
      </c>
      <c r="AD29" s="3"/>
      <c r="AE29" s="2">
        <f t="shared" ref="AE29:AE54" si="1">ROUND(SUM(G29:AC29),5)</f>
        <v>586038.30000000005</v>
      </c>
    </row>
    <row r="30" spans="1:31" x14ac:dyDescent="0.25">
      <c r="A30" s="1"/>
      <c r="B30" s="1"/>
      <c r="C30" s="1"/>
      <c r="D30" s="1"/>
      <c r="E30" s="1"/>
      <c r="F30" s="1" t="s">
        <v>29</v>
      </c>
      <c r="G30" s="2">
        <v>9966.24</v>
      </c>
      <c r="H30" s="3"/>
      <c r="I30" s="2">
        <v>10970.8</v>
      </c>
      <c r="J30" s="3"/>
      <c r="K30" s="2">
        <v>10614.21</v>
      </c>
      <c r="L30" s="3"/>
      <c r="M30" s="2">
        <v>15094.55</v>
      </c>
      <c r="N30" s="3"/>
      <c r="O30" s="2">
        <v>18406.57</v>
      </c>
      <c r="P30" s="3"/>
      <c r="Q30" s="2">
        <v>18828.25</v>
      </c>
      <c r="R30" s="3"/>
      <c r="S30" s="2">
        <v>21401.27</v>
      </c>
      <c r="T30" s="3"/>
      <c r="U30" s="2">
        <v>21869.31</v>
      </c>
      <c r="V30" s="3"/>
      <c r="W30" s="2">
        <v>28905.33</v>
      </c>
      <c r="X30" s="3"/>
      <c r="Y30" s="2">
        <v>32442.41</v>
      </c>
      <c r="Z30" s="3"/>
      <c r="AA30" s="2">
        <v>32972.629999999997</v>
      </c>
      <c r="AB30" s="3"/>
      <c r="AC30" s="2">
        <v>30884.1</v>
      </c>
      <c r="AD30" s="3"/>
      <c r="AE30" s="2">
        <f t="shared" si="1"/>
        <v>252355.67</v>
      </c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60068.89</v>
      </c>
      <c r="H31" s="3"/>
      <c r="I31" s="2">
        <v>69456.7</v>
      </c>
      <c r="J31" s="3"/>
      <c r="K31" s="2">
        <v>61164.08</v>
      </c>
      <c r="L31" s="3"/>
      <c r="M31" s="2">
        <v>63953.97</v>
      </c>
      <c r="N31" s="3"/>
      <c r="O31" s="2">
        <v>66409.52</v>
      </c>
      <c r="P31" s="3"/>
      <c r="Q31" s="2">
        <v>60025.34</v>
      </c>
      <c r="R31" s="3"/>
      <c r="S31" s="2">
        <v>72245.509999999995</v>
      </c>
      <c r="T31" s="3"/>
      <c r="U31" s="2">
        <v>66971.509999999995</v>
      </c>
      <c r="V31" s="3"/>
      <c r="W31" s="2">
        <v>65616.28</v>
      </c>
      <c r="X31" s="3"/>
      <c r="Y31" s="2">
        <v>78250.259999999995</v>
      </c>
      <c r="Z31" s="3"/>
      <c r="AA31" s="2">
        <v>71657.03</v>
      </c>
      <c r="AB31" s="3"/>
      <c r="AC31" s="2">
        <v>74856.67</v>
      </c>
      <c r="AD31" s="3"/>
      <c r="AE31" s="2">
        <f t="shared" si="1"/>
        <v>810675.76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17967.86</v>
      </c>
      <c r="H32" s="3"/>
      <c r="I32" s="2">
        <v>21726.85</v>
      </c>
      <c r="J32" s="3"/>
      <c r="K32" s="2">
        <v>15627.08</v>
      </c>
      <c r="L32" s="3"/>
      <c r="M32" s="2">
        <v>15650.33</v>
      </c>
      <c r="N32" s="3"/>
      <c r="O32" s="2">
        <v>18413.45</v>
      </c>
      <c r="P32" s="3"/>
      <c r="Q32" s="2">
        <v>17492.400000000001</v>
      </c>
      <c r="R32" s="3"/>
      <c r="S32" s="2">
        <v>15066.18</v>
      </c>
      <c r="T32" s="3"/>
      <c r="U32" s="2">
        <v>15140.68</v>
      </c>
      <c r="V32" s="3"/>
      <c r="W32" s="2">
        <v>16651</v>
      </c>
      <c r="X32" s="3"/>
      <c r="Y32" s="2">
        <v>16368.12</v>
      </c>
      <c r="Z32" s="3"/>
      <c r="AA32" s="2">
        <v>17322.57</v>
      </c>
      <c r="AB32" s="3"/>
      <c r="AC32" s="2">
        <v>16475.439999999999</v>
      </c>
      <c r="AD32" s="3"/>
      <c r="AE32" s="2">
        <f t="shared" si="1"/>
        <v>203901.96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727.95</v>
      </c>
      <c r="H33" s="3"/>
      <c r="I33" s="2">
        <v>698.27</v>
      </c>
      <c r="J33" s="3"/>
      <c r="K33" s="2">
        <v>1141.51</v>
      </c>
      <c r="L33" s="3"/>
      <c r="M33" s="2">
        <v>979.18</v>
      </c>
      <c r="N33" s="3"/>
      <c r="O33" s="2">
        <v>399.65</v>
      </c>
      <c r="P33" s="3"/>
      <c r="Q33" s="2">
        <v>1172.69</v>
      </c>
      <c r="R33" s="3"/>
      <c r="S33" s="2">
        <v>353.81</v>
      </c>
      <c r="T33" s="3"/>
      <c r="U33" s="2">
        <v>471.45</v>
      </c>
      <c r="V33" s="3"/>
      <c r="W33" s="2">
        <v>95.68</v>
      </c>
      <c r="X33" s="3"/>
      <c r="Y33" s="2">
        <v>103.86</v>
      </c>
      <c r="Z33" s="3"/>
      <c r="AA33" s="2">
        <v>1038.9100000000001</v>
      </c>
      <c r="AB33" s="3"/>
      <c r="AC33" s="2">
        <v>256.51</v>
      </c>
      <c r="AD33" s="3"/>
      <c r="AE33" s="2">
        <f t="shared" si="1"/>
        <v>7439.47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73.53</v>
      </c>
      <c r="H34" s="3"/>
      <c r="I34" s="2">
        <v>160.47</v>
      </c>
      <c r="J34" s="3"/>
      <c r="K34" s="2">
        <v>88.93</v>
      </c>
      <c r="L34" s="3"/>
      <c r="M34" s="2">
        <v>60</v>
      </c>
      <c r="N34" s="3"/>
      <c r="O34" s="2">
        <v>1549.66</v>
      </c>
      <c r="P34" s="3"/>
      <c r="Q34" s="2">
        <v>1778.15</v>
      </c>
      <c r="R34" s="3"/>
      <c r="S34" s="2">
        <v>608.37</v>
      </c>
      <c r="T34" s="3"/>
      <c r="U34" s="2">
        <v>2837.43</v>
      </c>
      <c r="V34" s="3"/>
      <c r="W34" s="2">
        <v>5014.62</v>
      </c>
      <c r="X34" s="3"/>
      <c r="Y34" s="2">
        <v>1478.8</v>
      </c>
      <c r="Z34" s="3"/>
      <c r="AA34" s="2">
        <v>289.5</v>
      </c>
      <c r="AB34" s="3"/>
      <c r="AC34" s="2">
        <v>630</v>
      </c>
      <c r="AD34" s="3"/>
      <c r="AE34" s="2">
        <f t="shared" si="1"/>
        <v>14569.46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138.38999999999999</v>
      </c>
      <c r="H35" s="3"/>
      <c r="I35" s="2">
        <v>252.26</v>
      </c>
      <c r="J35" s="3"/>
      <c r="K35" s="2">
        <v>195.29</v>
      </c>
      <c r="L35" s="3"/>
      <c r="M35" s="2">
        <v>217.43</v>
      </c>
      <c r="N35" s="3"/>
      <c r="O35" s="2">
        <v>217.35</v>
      </c>
      <c r="P35" s="3"/>
      <c r="Q35" s="2">
        <v>103.17</v>
      </c>
      <c r="R35" s="3"/>
      <c r="S35" s="2">
        <v>33.56</v>
      </c>
      <c r="T35" s="3"/>
      <c r="U35" s="2">
        <v>204.95</v>
      </c>
      <c r="V35" s="3"/>
      <c r="W35" s="2">
        <v>116.88</v>
      </c>
      <c r="X35" s="3"/>
      <c r="Y35" s="2">
        <v>310.95</v>
      </c>
      <c r="Z35" s="3"/>
      <c r="AA35" s="2">
        <v>435.7</v>
      </c>
      <c r="AB35" s="3"/>
      <c r="AC35" s="2">
        <v>190.74</v>
      </c>
      <c r="AD35" s="3"/>
      <c r="AE35" s="2">
        <f t="shared" si="1"/>
        <v>2416.67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5712.82</v>
      </c>
      <c r="H36" s="3"/>
      <c r="I36" s="2">
        <v>6199.46</v>
      </c>
      <c r="J36" s="3"/>
      <c r="K36" s="2">
        <v>9769.35</v>
      </c>
      <c r="L36" s="3"/>
      <c r="M36" s="2">
        <v>3426.14</v>
      </c>
      <c r="N36" s="3"/>
      <c r="O36" s="2">
        <v>4992.7299999999996</v>
      </c>
      <c r="P36" s="3"/>
      <c r="Q36" s="2">
        <v>4730.87</v>
      </c>
      <c r="R36" s="3"/>
      <c r="S36" s="2">
        <v>4279.54</v>
      </c>
      <c r="T36" s="3"/>
      <c r="U36" s="2">
        <v>5720.5</v>
      </c>
      <c r="V36" s="3"/>
      <c r="W36" s="2">
        <v>7853.38</v>
      </c>
      <c r="X36" s="3"/>
      <c r="Y36" s="2">
        <v>5623.6</v>
      </c>
      <c r="Z36" s="3"/>
      <c r="AA36" s="2">
        <v>7372.62</v>
      </c>
      <c r="AB36" s="3"/>
      <c r="AC36" s="2">
        <v>9458.2099999999991</v>
      </c>
      <c r="AD36" s="3"/>
      <c r="AE36" s="2">
        <f t="shared" si="1"/>
        <v>75139.22</v>
      </c>
    </row>
    <row r="37" spans="1:31" x14ac:dyDescent="0.25">
      <c r="A37" s="1"/>
      <c r="B37" s="1"/>
      <c r="C37" s="1"/>
      <c r="D37" s="1"/>
      <c r="E37" s="1"/>
      <c r="F37" s="1" t="s">
        <v>36</v>
      </c>
      <c r="G37" s="2">
        <v>0</v>
      </c>
      <c r="H37" s="3"/>
      <c r="I37" s="2">
        <v>0</v>
      </c>
      <c r="J37" s="3"/>
      <c r="K37" s="2">
        <v>500</v>
      </c>
      <c r="L37" s="3"/>
      <c r="M37" s="2">
        <v>150</v>
      </c>
      <c r="N37" s="3"/>
      <c r="O37" s="2">
        <v>0</v>
      </c>
      <c r="P37" s="3"/>
      <c r="Q37" s="2">
        <v>0</v>
      </c>
      <c r="R37" s="3"/>
      <c r="S37" s="2">
        <v>350</v>
      </c>
      <c r="T37" s="3"/>
      <c r="U37" s="2">
        <v>0</v>
      </c>
      <c r="V37" s="3"/>
      <c r="W37" s="2">
        <v>0</v>
      </c>
      <c r="X37" s="3"/>
      <c r="Y37" s="2">
        <v>0</v>
      </c>
      <c r="Z37" s="3"/>
      <c r="AA37" s="2">
        <v>0</v>
      </c>
      <c r="AB37" s="3"/>
      <c r="AC37" s="2">
        <v>1150</v>
      </c>
      <c r="AD37" s="3"/>
      <c r="AE37" s="2">
        <f t="shared" si="1"/>
        <v>2150</v>
      </c>
    </row>
    <row r="38" spans="1:31" x14ac:dyDescent="0.25">
      <c r="A38" s="1"/>
      <c r="B38" s="1"/>
      <c r="C38" s="1"/>
      <c r="D38" s="1"/>
      <c r="E38" s="1"/>
      <c r="F38" s="1" t="s">
        <v>37</v>
      </c>
      <c r="G38" s="2">
        <v>2376.7399999999998</v>
      </c>
      <c r="H38" s="3"/>
      <c r="I38" s="2">
        <v>2817.58</v>
      </c>
      <c r="J38" s="3"/>
      <c r="K38" s="2">
        <v>812.36</v>
      </c>
      <c r="L38" s="3"/>
      <c r="M38" s="2">
        <v>1280.95</v>
      </c>
      <c r="N38" s="3"/>
      <c r="O38" s="2">
        <v>898.59</v>
      </c>
      <c r="P38" s="3"/>
      <c r="Q38" s="2">
        <v>1246.97</v>
      </c>
      <c r="R38" s="3"/>
      <c r="S38" s="2">
        <v>629.80999999999995</v>
      </c>
      <c r="T38" s="3"/>
      <c r="U38" s="2">
        <v>634.16</v>
      </c>
      <c r="V38" s="3"/>
      <c r="W38" s="2">
        <v>502.09</v>
      </c>
      <c r="X38" s="3"/>
      <c r="Y38" s="2">
        <v>2078.13</v>
      </c>
      <c r="Z38" s="3"/>
      <c r="AA38" s="2">
        <v>1056.69</v>
      </c>
      <c r="AB38" s="3"/>
      <c r="AC38" s="2">
        <v>672.37</v>
      </c>
      <c r="AD38" s="3"/>
      <c r="AE38" s="2">
        <f t="shared" si="1"/>
        <v>15006.44</v>
      </c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0</v>
      </c>
      <c r="H39" s="3"/>
      <c r="I39" s="2">
        <v>982.32</v>
      </c>
      <c r="J39" s="3"/>
      <c r="K39" s="2">
        <v>1822.57</v>
      </c>
      <c r="L39" s="3"/>
      <c r="M39" s="2">
        <v>893.54</v>
      </c>
      <c r="N39" s="3"/>
      <c r="O39" s="2">
        <v>818.09</v>
      </c>
      <c r="P39" s="3"/>
      <c r="Q39" s="2">
        <v>803.87</v>
      </c>
      <c r="R39" s="3"/>
      <c r="S39" s="2">
        <v>1313.54</v>
      </c>
      <c r="T39" s="3"/>
      <c r="U39" s="2">
        <v>253.12</v>
      </c>
      <c r="V39" s="3"/>
      <c r="W39" s="2">
        <v>102</v>
      </c>
      <c r="X39" s="3"/>
      <c r="Y39" s="2">
        <v>1126.27</v>
      </c>
      <c r="Z39" s="3"/>
      <c r="AA39" s="2">
        <v>5150</v>
      </c>
      <c r="AB39" s="3"/>
      <c r="AC39" s="2">
        <v>1771.16</v>
      </c>
      <c r="AD39" s="3"/>
      <c r="AE39" s="2">
        <f t="shared" si="1"/>
        <v>15036.48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522</v>
      </c>
      <c r="H40" s="3"/>
      <c r="I40" s="2">
        <v>588</v>
      </c>
      <c r="J40" s="3"/>
      <c r="K40" s="2">
        <v>506</v>
      </c>
      <c r="L40" s="3"/>
      <c r="M40" s="2">
        <v>564</v>
      </c>
      <c r="N40" s="3"/>
      <c r="O40" s="2">
        <v>536</v>
      </c>
      <c r="P40" s="3"/>
      <c r="Q40" s="2">
        <v>510</v>
      </c>
      <c r="R40" s="3"/>
      <c r="S40" s="2">
        <v>520</v>
      </c>
      <c r="T40" s="3"/>
      <c r="U40" s="2">
        <v>582</v>
      </c>
      <c r="V40" s="3"/>
      <c r="W40" s="2">
        <v>534</v>
      </c>
      <c r="X40" s="3"/>
      <c r="Y40" s="2">
        <v>534</v>
      </c>
      <c r="Z40" s="3"/>
      <c r="AA40" s="2">
        <v>556</v>
      </c>
      <c r="AB40" s="3"/>
      <c r="AC40" s="2">
        <v>548</v>
      </c>
      <c r="AD40" s="3"/>
      <c r="AE40" s="2">
        <f t="shared" si="1"/>
        <v>6500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1000</v>
      </c>
      <c r="H41" s="3"/>
      <c r="I41" s="2">
        <v>1000</v>
      </c>
      <c r="J41" s="3"/>
      <c r="K41" s="2">
        <v>1000</v>
      </c>
      <c r="L41" s="3"/>
      <c r="M41" s="2">
        <v>1000</v>
      </c>
      <c r="N41" s="3"/>
      <c r="O41" s="2">
        <v>1000</v>
      </c>
      <c r="P41" s="3"/>
      <c r="Q41" s="2">
        <v>0</v>
      </c>
      <c r="R41" s="3"/>
      <c r="S41" s="2">
        <v>0</v>
      </c>
      <c r="T41" s="3"/>
      <c r="U41" s="2">
        <v>3000</v>
      </c>
      <c r="V41" s="3"/>
      <c r="W41" s="2">
        <v>1000</v>
      </c>
      <c r="X41" s="3"/>
      <c r="Y41" s="2">
        <v>1000</v>
      </c>
      <c r="Z41" s="3"/>
      <c r="AA41" s="2">
        <v>1000</v>
      </c>
      <c r="AB41" s="3"/>
      <c r="AC41" s="2">
        <v>1000</v>
      </c>
      <c r="AD41" s="3"/>
      <c r="AE41" s="2">
        <f t="shared" si="1"/>
        <v>12000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0</v>
      </c>
      <c r="H42" s="3"/>
      <c r="I42" s="2">
        <v>50</v>
      </c>
      <c r="J42" s="3"/>
      <c r="K42" s="2">
        <v>0</v>
      </c>
      <c r="L42" s="3"/>
      <c r="M42" s="2">
        <v>150</v>
      </c>
      <c r="N42" s="3"/>
      <c r="O42" s="2">
        <v>0</v>
      </c>
      <c r="P42" s="3"/>
      <c r="Q42" s="2">
        <v>240</v>
      </c>
      <c r="R42" s="3"/>
      <c r="S42" s="2">
        <v>150</v>
      </c>
      <c r="T42" s="3"/>
      <c r="U42" s="2">
        <v>0</v>
      </c>
      <c r="V42" s="3"/>
      <c r="W42" s="2">
        <v>320</v>
      </c>
      <c r="X42" s="3"/>
      <c r="Y42" s="2">
        <v>347.2</v>
      </c>
      <c r="Z42" s="3"/>
      <c r="AA42" s="2">
        <v>634.03</v>
      </c>
      <c r="AB42" s="3"/>
      <c r="AC42" s="2">
        <v>254.17</v>
      </c>
      <c r="AD42" s="3"/>
      <c r="AE42" s="2">
        <f t="shared" si="1"/>
        <v>2145.4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0</v>
      </c>
      <c r="H43" s="3"/>
      <c r="I43" s="2">
        <v>0</v>
      </c>
      <c r="J43" s="3"/>
      <c r="K43" s="2">
        <v>0</v>
      </c>
      <c r="L43" s="3"/>
      <c r="M43" s="2">
        <v>0</v>
      </c>
      <c r="N43" s="3"/>
      <c r="O43" s="2">
        <v>0</v>
      </c>
      <c r="P43" s="3"/>
      <c r="Q43" s="2">
        <v>0</v>
      </c>
      <c r="R43" s="3"/>
      <c r="S43" s="2">
        <v>248</v>
      </c>
      <c r="T43" s="3"/>
      <c r="U43" s="2">
        <v>0</v>
      </c>
      <c r="V43" s="3"/>
      <c r="W43" s="2">
        <v>0</v>
      </c>
      <c r="X43" s="3"/>
      <c r="Y43" s="2">
        <v>49</v>
      </c>
      <c r="Z43" s="3"/>
      <c r="AA43" s="2">
        <v>60</v>
      </c>
      <c r="AB43" s="3"/>
      <c r="AC43" s="2">
        <v>90</v>
      </c>
      <c r="AD43" s="3"/>
      <c r="AE43" s="2">
        <f t="shared" si="1"/>
        <v>447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30</v>
      </c>
      <c r="H44" s="3"/>
      <c r="I44" s="2">
        <v>100</v>
      </c>
      <c r="J44" s="3"/>
      <c r="K44" s="2">
        <v>0</v>
      </c>
      <c r="L44" s="3"/>
      <c r="M44" s="2">
        <v>0</v>
      </c>
      <c r="N44" s="3"/>
      <c r="O44" s="2">
        <v>0</v>
      </c>
      <c r="P44" s="3"/>
      <c r="Q44" s="2">
        <v>62</v>
      </c>
      <c r="R44" s="3"/>
      <c r="S44" s="2">
        <v>0</v>
      </c>
      <c r="T44" s="3"/>
      <c r="U44" s="2">
        <v>0</v>
      </c>
      <c r="V44" s="3"/>
      <c r="W44" s="2">
        <v>0</v>
      </c>
      <c r="X44" s="3"/>
      <c r="Y44" s="2">
        <v>0</v>
      </c>
      <c r="Z44" s="3"/>
      <c r="AA44" s="2">
        <v>0</v>
      </c>
      <c r="AB44" s="3"/>
      <c r="AC44" s="2">
        <v>0</v>
      </c>
      <c r="AD44" s="3"/>
      <c r="AE44" s="2">
        <f t="shared" si="1"/>
        <v>192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106.2</v>
      </c>
      <c r="H45" s="3"/>
      <c r="I45" s="2">
        <v>824.4</v>
      </c>
      <c r="J45" s="3"/>
      <c r="K45" s="2">
        <v>764.55</v>
      </c>
      <c r="L45" s="3"/>
      <c r="M45" s="2">
        <v>1980.28</v>
      </c>
      <c r="N45" s="3"/>
      <c r="O45" s="2">
        <v>1261.26</v>
      </c>
      <c r="P45" s="3"/>
      <c r="Q45" s="2">
        <v>226.69</v>
      </c>
      <c r="R45" s="3"/>
      <c r="S45" s="2">
        <v>600.6</v>
      </c>
      <c r="T45" s="3"/>
      <c r="U45" s="2">
        <v>0</v>
      </c>
      <c r="V45" s="3"/>
      <c r="W45" s="2">
        <v>0</v>
      </c>
      <c r="X45" s="3"/>
      <c r="Y45" s="2">
        <v>0</v>
      </c>
      <c r="Z45" s="3"/>
      <c r="AA45" s="2">
        <v>0</v>
      </c>
      <c r="AB45" s="3"/>
      <c r="AC45" s="2">
        <v>0</v>
      </c>
      <c r="AD45" s="3"/>
      <c r="AE45" s="2">
        <f t="shared" si="1"/>
        <v>5763.98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0</v>
      </c>
      <c r="H46" s="3"/>
      <c r="I46" s="2">
        <v>0</v>
      </c>
      <c r="J46" s="3"/>
      <c r="K46" s="2">
        <v>0</v>
      </c>
      <c r="L46" s="3"/>
      <c r="M46" s="2">
        <v>0</v>
      </c>
      <c r="N46" s="3"/>
      <c r="O46" s="2">
        <v>0</v>
      </c>
      <c r="P46" s="3"/>
      <c r="Q46" s="2">
        <v>0</v>
      </c>
      <c r="R46" s="3"/>
      <c r="S46" s="2">
        <v>0</v>
      </c>
      <c r="T46" s="3"/>
      <c r="U46" s="2">
        <v>61</v>
      </c>
      <c r="V46" s="3"/>
      <c r="W46" s="2">
        <v>0</v>
      </c>
      <c r="X46" s="3"/>
      <c r="Y46" s="2">
        <v>0</v>
      </c>
      <c r="Z46" s="3"/>
      <c r="AA46" s="2">
        <v>0</v>
      </c>
      <c r="AB46" s="3"/>
      <c r="AC46" s="2">
        <v>0</v>
      </c>
      <c r="AD46" s="3"/>
      <c r="AE46" s="2">
        <f t="shared" si="1"/>
        <v>61</v>
      </c>
    </row>
    <row r="47" spans="1:31" x14ac:dyDescent="0.25">
      <c r="A47" s="1"/>
      <c r="B47" s="1"/>
      <c r="C47" s="1"/>
      <c r="D47" s="1"/>
      <c r="E47" s="1"/>
      <c r="F47" s="1" t="s">
        <v>46</v>
      </c>
      <c r="G47" s="2">
        <v>754.55</v>
      </c>
      <c r="H47" s="3"/>
      <c r="I47" s="2">
        <v>1816.85</v>
      </c>
      <c r="J47" s="3"/>
      <c r="K47" s="2">
        <v>2101.27</v>
      </c>
      <c r="L47" s="3"/>
      <c r="M47" s="2">
        <v>3042.18</v>
      </c>
      <c r="N47" s="3"/>
      <c r="O47" s="2">
        <v>-1221.9000000000001</v>
      </c>
      <c r="P47" s="3"/>
      <c r="Q47" s="2">
        <v>1173.43</v>
      </c>
      <c r="R47" s="3"/>
      <c r="S47" s="2">
        <v>930.04</v>
      </c>
      <c r="T47" s="3"/>
      <c r="U47" s="2">
        <v>462.43</v>
      </c>
      <c r="V47" s="3"/>
      <c r="W47" s="2">
        <v>0</v>
      </c>
      <c r="X47" s="3"/>
      <c r="Y47" s="2">
        <v>0</v>
      </c>
      <c r="Z47" s="3"/>
      <c r="AA47" s="2">
        <v>538.79</v>
      </c>
      <c r="AB47" s="3"/>
      <c r="AC47" s="2">
        <v>1373.56</v>
      </c>
      <c r="AD47" s="3"/>
      <c r="AE47" s="2">
        <f t="shared" si="1"/>
        <v>10971.2</v>
      </c>
    </row>
    <row r="48" spans="1:31" x14ac:dyDescent="0.25">
      <c r="A48" s="1"/>
      <c r="B48" s="1"/>
      <c r="C48" s="1"/>
      <c r="D48" s="1"/>
      <c r="E48" s="1"/>
      <c r="F48" s="1" t="s">
        <v>47</v>
      </c>
      <c r="G48" s="2">
        <v>422.5</v>
      </c>
      <c r="H48" s="3"/>
      <c r="I48" s="2">
        <v>1007.5</v>
      </c>
      <c r="J48" s="3"/>
      <c r="K48" s="2">
        <v>390</v>
      </c>
      <c r="L48" s="3"/>
      <c r="M48" s="2">
        <v>357.5</v>
      </c>
      <c r="N48" s="3"/>
      <c r="O48" s="2">
        <v>2535</v>
      </c>
      <c r="P48" s="3"/>
      <c r="Q48" s="2">
        <v>2210</v>
      </c>
      <c r="R48" s="3"/>
      <c r="S48" s="2">
        <v>487.5</v>
      </c>
      <c r="T48" s="3"/>
      <c r="U48" s="2">
        <v>1067.5</v>
      </c>
      <c r="V48" s="3"/>
      <c r="W48" s="2">
        <v>1462.5</v>
      </c>
      <c r="X48" s="3"/>
      <c r="Y48" s="2">
        <v>1072.5</v>
      </c>
      <c r="Z48" s="3"/>
      <c r="AA48" s="2">
        <v>422.5</v>
      </c>
      <c r="AB48" s="3"/>
      <c r="AC48" s="2">
        <v>877.5</v>
      </c>
      <c r="AD48" s="3"/>
      <c r="AE48" s="2">
        <f t="shared" si="1"/>
        <v>12312.5</v>
      </c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422.5</v>
      </c>
      <c r="H49" s="3"/>
      <c r="I49" s="2">
        <v>1007.5</v>
      </c>
      <c r="J49" s="3"/>
      <c r="K49" s="2">
        <v>390</v>
      </c>
      <c r="L49" s="3"/>
      <c r="M49" s="2">
        <v>357.5</v>
      </c>
      <c r="N49" s="3"/>
      <c r="O49" s="2">
        <v>2535</v>
      </c>
      <c r="P49" s="3"/>
      <c r="Q49" s="2">
        <v>2210</v>
      </c>
      <c r="R49" s="3"/>
      <c r="S49" s="2">
        <v>487.5</v>
      </c>
      <c r="T49" s="3"/>
      <c r="U49" s="2">
        <v>972.5</v>
      </c>
      <c r="V49" s="3"/>
      <c r="W49" s="2">
        <v>1462.5</v>
      </c>
      <c r="X49" s="3"/>
      <c r="Y49" s="2">
        <v>1072.5</v>
      </c>
      <c r="Z49" s="3"/>
      <c r="AA49" s="2">
        <v>422.5</v>
      </c>
      <c r="AB49" s="3"/>
      <c r="AC49" s="2">
        <v>877.5</v>
      </c>
      <c r="AD49" s="3"/>
      <c r="AE49" s="2">
        <f t="shared" si="1"/>
        <v>12217.5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6837.12</v>
      </c>
      <c r="H50" s="3"/>
      <c r="I50" s="2">
        <v>6431.57</v>
      </c>
      <c r="J50" s="3"/>
      <c r="K50" s="2">
        <v>5338.53</v>
      </c>
      <c r="L50" s="3"/>
      <c r="M50" s="2">
        <v>6970.66</v>
      </c>
      <c r="N50" s="3"/>
      <c r="O50" s="2">
        <v>1749.73</v>
      </c>
      <c r="P50" s="3"/>
      <c r="Q50" s="2">
        <v>2833.96</v>
      </c>
      <c r="R50" s="3"/>
      <c r="S50" s="2">
        <v>3818.24</v>
      </c>
      <c r="T50" s="3"/>
      <c r="U50" s="2">
        <v>2991.48</v>
      </c>
      <c r="V50" s="3"/>
      <c r="W50" s="2">
        <v>4119.3</v>
      </c>
      <c r="X50" s="3"/>
      <c r="Y50" s="2">
        <v>4132.62</v>
      </c>
      <c r="Z50" s="3"/>
      <c r="AA50" s="2">
        <v>6870.17</v>
      </c>
      <c r="AB50" s="3"/>
      <c r="AC50" s="2">
        <v>3998.35</v>
      </c>
      <c r="AD50" s="3"/>
      <c r="AE50" s="2">
        <f t="shared" si="1"/>
        <v>56091.73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50</v>
      </c>
      <c r="H51" s="3"/>
      <c r="I51" s="2">
        <v>90.07</v>
      </c>
      <c r="J51" s="3"/>
      <c r="K51" s="2">
        <v>0</v>
      </c>
      <c r="L51" s="3"/>
      <c r="M51" s="2">
        <v>19.68</v>
      </c>
      <c r="N51" s="3"/>
      <c r="O51" s="2">
        <v>0</v>
      </c>
      <c r="P51" s="3"/>
      <c r="Q51" s="2">
        <v>0</v>
      </c>
      <c r="R51" s="3"/>
      <c r="S51" s="2">
        <v>0</v>
      </c>
      <c r="T51" s="3"/>
      <c r="U51" s="2">
        <v>0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0</v>
      </c>
      <c r="AD51" s="3"/>
      <c r="AE51" s="2">
        <f t="shared" si="1"/>
        <v>159.75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5141.05</v>
      </c>
      <c r="H52" s="3"/>
      <c r="I52" s="2">
        <v>3550.86</v>
      </c>
      <c r="J52" s="3"/>
      <c r="K52" s="2">
        <v>4135.8500000000004</v>
      </c>
      <c r="L52" s="3"/>
      <c r="M52" s="2">
        <v>3613.08</v>
      </c>
      <c r="N52" s="3"/>
      <c r="O52" s="2">
        <v>3357.71</v>
      </c>
      <c r="P52" s="3"/>
      <c r="Q52" s="2">
        <v>4221.75</v>
      </c>
      <c r="R52" s="3"/>
      <c r="S52" s="2">
        <v>4663.5200000000004</v>
      </c>
      <c r="T52" s="3"/>
      <c r="U52" s="2">
        <v>3949.07</v>
      </c>
      <c r="V52" s="3"/>
      <c r="W52" s="2">
        <v>3974.53</v>
      </c>
      <c r="X52" s="3"/>
      <c r="Y52" s="2">
        <v>5873.2</v>
      </c>
      <c r="Z52" s="3"/>
      <c r="AA52" s="2">
        <v>7906.69</v>
      </c>
      <c r="AB52" s="3"/>
      <c r="AC52" s="2">
        <v>6050.62</v>
      </c>
      <c r="AD52" s="3"/>
      <c r="AE52" s="2">
        <f t="shared" si="1"/>
        <v>56437.93</v>
      </c>
    </row>
    <row r="53" spans="1:31" ht="15.75" thickBot="1" x14ac:dyDescent="0.3">
      <c r="A53" s="1"/>
      <c r="B53" s="1"/>
      <c r="C53" s="1"/>
      <c r="D53" s="1"/>
      <c r="E53" s="1"/>
      <c r="F53" s="1" t="s">
        <v>52</v>
      </c>
      <c r="G53" s="6">
        <v>400</v>
      </c>
      <c r="H53" s="3"/>
      <c r="I53" s="6">
        <v>105</v>
      </c>
      <c r="J53" s="3"/>
      <c r="K53" s="6">
        <v>400</v>
      </c>
      <c r="L53" s="3"/>
      <c r="M53" s="6">
        <v>505</v>
      </c>
      <c r="N53" s="3"/>
      <c r="O53" s="6">
        <v>400</v>
      </c>
      <c r="P53" s="3"/>
      <c r="Q53" s="6">
        <v>505</v>
      </c>
      <c r="R53" s="3"/>
      <c r="S53" s="6">
        <v>400</v>
      </c>
      <c r="T53" s="3"/>
      <c r="U53" s="6">
        <v>520</v>
      </c>
      <c r="V53" s="3"/>
      <c r="W53" s="6">
        <v>610</v>
      </c>
      <c r="X53" s="3"/>
      <c r="Y53" s="6">
        <v>400</v>
      </c>
      <c r="Z53" s="3"/>
      <c r="AA53" s="6">
        <v>400</v>
      </c>
      <c r="AB53" s="3"/>
      <c r="AC53" s="6">
        <v>535</v>
      </c>
      <c r="AD53" s="3"/>
      <c r="AE53" s="6">
        <f t="shared" si="1"/>
        <v>5180</v>
      </c>
    </row>
    <row r="54" spans="1:31" x14ac:dyDescent="0.25">
      <c r="A54" s="1"/>
      <c r="B54" s="1"/>
      <c r="C54" s="1"/>
      <c r="D54" s="1"/>
      <c r="E54" s="1" t="s">
        <v>53</v>
      </c>
      <c r="F54" s="1"/>
      <c r="G54" s="2">
        <f>ROUND(SUM(G28:G53),5)</f>
        <v>162807.29999999999</v>
      </c>
      <c r="H54" s="3"/>
      <c r="I54" s="2">
        <f>ROUND(SUM(I28:I53),5)</f>
        <v>186114.25</v>
      </c>
      <c r="J54" s="3"/>
      <c r="K54" s="2">
        <f>ROUND(SUM(K28:K53),5)</f>
        <v>168917.3</v>
      </c>
      <c r="L54" s="3"/>
      <c r="M54" s="2">
        <f>ROUND(SUM(M28:M53),5)</f>
        <v>166434.9</v>
      </c>
      <c r="N54" s="3"/>
      <c r="O54" s="2">
        <f>ROUND(SUM(O28:O53),5)</f>
        <v>171427.45</v>
      </c>
      <c r="P54" s="3"/>
      <c r="Q54" s="2">
        <f>ROUND(SUM(Q28:Q53),5)</f>
        <v>161199.57</v>
      </c>
      <c r="R54" s="3"/>
      <c r="S54" s="2">
        <f>ROUND(SUM(S28:S53),5)</f>
        <v>182696.27</v>
      </c>
      <c r="T54" s="3"/>
      <c r="U54" s="2">
        <f>ROUND(SUM(U28:U53),5)</f>
        <v>182125.94</v>
      </c>
      <c r="V54" s="3"/>
      <c r="W54" s="2">
        <f>ROUND(SUM(W28:W53),5)</f>
        <v>186881.9</v>
      </c>
      <c r="X54" s="3"/>
      <c r="Y54" s="2">
        <f>ROUND(SUM(Y28:Y53),5)</f>
        <v>197830.48</v>
      </c>
      <c r="Z54" s="3"/>
      <c r="AA54" s="2">
        <f>ROUND(SUM(AA28:AA53),5)</f>
        <v>200645.71</v>
      </c>
      <c r="AB54" s="3"/>
      <c r="AC54" s="2">
        <f>ROUND(SUM(AC28:AC53),5)</f>
        <v>198128.35</v>
      </c>
      <c r="AD54" s="3"/>
      <c r="AE54" s="2">
        <f t="shared" si="1"/>
        <v>2165209.42</v>
      </c>
    </row>
    <row r="55" spans="1:31" x14ac:dyDescent="0.25">
      <c r="A55" s="1"/>
      <c r="B55" s="1"/>
      <c r="C55" s="1"/>
      <c r="D55" s="1"/>
      <c r="E55" s="1" t="s">
        <v>54</v>
      </c>
      <c r="F55" s="1"/>
      <c r="G55" s="2"/>
      <c r="H55" s="3"/>
      <c r="I55" s="2"/>
      <c r="J55" s="3"/>
      <c r="K55" s="2"/>
      <c r="L55" s="3"/>
      <c r="M55" s="2"/>
      <c r="N55" s="3"/>
      <c r="O55" s="2"/>
      <c r="P55" s="3"/>
      <c r="Q55" s="2"/>
      <c r="R55" s="3"/>
      <c r="S55" s="2"/>
      <c r="T55" s="3"/>
      <c r="U55" s="2"/>
      <c r="V55" s="3"/>
      <c r="W55" s="2"/>
      <c r="X55" s="3"/>
      <c r="Y55" s="2"/>
      <c r="Z55" s="3"/>
      <c r="AA55" s="2"/>
      <c r="AB55" s="3"/>
      <c r="AC55" s="2"/>
      <c r="AD55" s="3"/>
      <c r="AE55" s="2"/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102.95</v>
      </c>
      <c r="H56" s="3"/>
      <c r="I56" s="2">
        <v>97.15</v>
      </c>
      <c r="J56" s="3"/>
      <c r="K56" s="2">
        <v>87.71</v>
      </c>
      <c r="L56" s="3"/>
      <c r="M56" s="2">
        <v>502.23</v>
      </c>
      <c r="N56" s="3"/>
      <c r="O56" s="2">
        <v>1121.27</v>
      </c>
      <c r="P56" s="3"/>
      <c r="Q56" s="2">
        <v>640.48</v>
      </c>
      <c r="R56" s="3"/>
      <c r="S56" s="2">
        <v>346.54</v>
      </c>
      <c r="T56" s="3"/>
      <c r="U56" s="2">
        <v>218.69</v>
      </c>
      <c r="V56" s="3"/>
      <c r="W56" s="2">
        <v>157.5</v>
      </c>
      <c r="X56" s="3"/>
      <c r="Y56" s="2">
        <v>-163.07</v>
      </c>
      <c r="Z56" s="3"/>
      <c r="AA56" s="2">
        <v>40.020000000000003</v>
      </c>
      <c r="AB56" s="3"/>
      <c r="AC56" s="2">
        <v>21.6</v>
      </c>
      <c r="AD56" s="3"/>
      <c r="AE56" s="2">
        <f t="shared" ref="AE56:AE63" si="2">ROUND(SUM(G56:AC56),5)</f>
        <v>3173.07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1109.53</v>
      </c>
      <c r="H57" s="3"/>
      <c r="I57" s="2">
        <v>1248.01</v>
      </c>
      <c r="J57" s="3"/>
      <c r="K57" s="2">
        <v>1023.14</v>
      </c>
      <c r="L57" s="3"/>
      <c r="M57" s="2">
        <v>3099.09</v>
      </c>
      <c r="N57" s="3"/>
      <c r="O57" s="2">
        <v>7306.71</v>
      </c>
      <c r="P57" s="3"/>
      <c r="Q57" s="2">
        <v>5848.81</v>
      </c>
      <c r="R57" s="3"/>
      <c r="S57" s="2">
        <v>5335.87</v>
      </c>
      <c r="T57" s="3"/>
      <c r="U57" s="2">
        <v>3614.23</v>
      </c>
      <c r="V57" s="3"/>
      <c r="W57" s="2">
        <v>2774.24</v>
      </c>
      <c r="X57" s="3"/>
      <c r="Y57" s="2">
        <v>2030.44</v>
      </c>
      <c r="Z57" s="3"/>
      <c r="AA57" s="2">
        <v>1529.04</v>
      </c>
      <c r="AB57" s="3"/>
      <c r="AC57" s="2">
        <v>1296.3</v>
      </c>
      <c r="AD57" s="3"/>
      <c r="AE57" s="2">
        <f t="shared" si="2"/>
        <v>36215.410000000003</v>
      </c>
    </row>
    <row r="58" spans="1:31" x14ac:dyDescent="0.25">
      <c r="A58" s="1"/>
      <c r="B58" s="1"/>
      <c r="C58" s="1"/>
      <c r="D58" s="1"/>
      <c r="E58" s="1"/>
      <c r="F58" s="1" t="s">
        <v>57</v>
      </c>
      <c r="G58" s="2">
        <v>16125.27</v>
      </c>
      <c r="H58" s="3"/>
      <c r="I58" s="2">
        <v>16497.54</v>
      </c>
      <c r="J58" s="3"/>
      <c r="K58" s="2">
        <v>16028.85</v>
      </c>
      <c r="L58" s="3"/>
      <c r="M58" s="2">
        <v>16334.72</v>
      </c>
      <c r="N58" s="3"/>
      <c r="O58" s="2">
        <v>16761.689999999999</v>
      </c>
      <c r="P58" s="3"/>
      <c r="Q58" s="2">
        <v>15939.68</v>
      </c>
      <c r="R58" s="3"/>
      <c r="S58" s="2">
        <v>17296.759999999998</v>
      </c>
      <c r="T58" s="3"/>
      <c r="U58" s="2">
        <v>16231.18</v>
      </c>
      <c r="V58" s="3"/>
      <c r="W58" s="2">
        <v>17099.439999999999</v>
      </c>
      <c r="X58" s="3"/>
      <c r="Y58" s="2">
        <v>16918.599999999999</v>
      </c>
      <c r="Z58" s="3"/>
      <c r="AA58" s="2">
        <v>17853.57</v>
      </c>
      <c r="AB58" s="3"/>
      <c r="AC58" s="2">
        <v>17583.8</v>
      </c>
      <c r="AD58" s="3"/>
      <c r="AE58" s="2">
        <f t="shared" si="2"/>
        <v>200671.1</v>
      </c>
    </row>
    <row r="59" spans="1:31" x14ac:dyDescent="0.25">
      <c r="A59" s="1"/>
      <c r="B59" s="1"/>
      <c r="C59" s="1"/>
      <c r="D59" s="1"/>
      <c r="E59" s="1"/>
      <c r="F59" s="1" t="s">
        <v>58</v>
      </c>
      <c r="G59" s="2">
        <v>1053.9000000000001</v>
      </c>
      <c r="H59" s="3"/>
      <c r="I59" s="2">
        <v>1005.11</v>
      </c>
      <c r="J59" s="3"/>
      <c r="K59" s="2">
        <v>1041.51</v>
      </c>
      <c r="L59" s="3"/>
      <c r="M59" s="2">
        <v>-303.27</v>
      </c>
      <c r="N59" s="3"/>
      <c r="O59" s="2">
        <v>1041.51</v>
      </c>
      <c r="P59" s="3"/>
      <c r="Q59" s="2">
        <v>1041.51</v>
      </c>
      <c r="R59" s="3"/>
      <c r="S59" s="2">
        <v>1041.51</v>
      </c>
      <c r="T59" s="3"/>
      <c r="U59" s="2">
        <v>257.22000000000003</v>
      </c>
      <c r="V59" s="3"/>
      <c r="W59" s="2">
        <v>1856.03</v>
      </c>
      <c r="X59" s="3"/>
      <c r="Y59" s="2">
        <v>3593</v>
      </c>
      <c r="Z59" s="3"/>
      <c r="AA59" s="2">
        <v>1962.5</v>
      </c>
      <c r="AB59" s="3"/>
      <c r="AC59" s="2">
        <v>332</v>
      </c>
      <c r="AD59" s="3"/>
      <c r="AE59" s="2">
        <f t="shared" si="2"/>
        <v>13922.53</v>
      </c>
    </row>
    <row r="60" spans="1:31" x14ac:dyDescent="0.25">
      <c r="A60" s="1"/>
      <c r="B60" s="1"/>
      <c r="C60" s="1"/>
      <c r="D60" s="1"/>
      <c r="E60" s="1"/>
      <c r="F60" s="1" t="s">
        <v>59</v>
      </c>
      <c r="G60" s="2">
        <v>0</v>
      </c>
      <c r="H60" s="3"/>
      <c r="I60" s="2">
        <v>0</v>
      </c>
      <c r="J60" s="3"/>
      <c r="K60" s="2">
        <v>143.09</v>
      </c>
      <c r="L60" s="3"/>
      <c r="M60" s="2">
        <v>0</v>
      </c>
      <c r="N60" s="3"/>
      <c r="O60" s="2">
        <v>0</v>
      </c>
      <c r="P60" s="3"/>
      <c r="Q60" s="2">
        <v>0</v>
      </c>
      <c r="R60" s="3"/>
      <c r="S60" s="2">
        <v>0</v>
      </c>
      <c r="T60" s="3"/>
      <c r="U60" s="2">
        <v>128.56</v>
      </c>
      <c r="V60" s="3"/>
      <c r="W60" s="2">
        <v>0</v>
      </c>
      <c r="X60" s="3"/>
      <c r="Y60" s="2">
        <v>0</v>
      </c>
      <c r="Z60" s="3"/>
      <c r="AA60" s="2">
        <v>128.56</v>
      </c>
      <c r="AB60" s="3"/>
      <c r="AC60" s="2">
        <v>0</v>
      </c>
      <c r="AD60" s="3"/>
      <c r="AE60" s="2">
        <f t="shared" si="2"/>
        <v>400.21</v>
      </c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9940.64</v>
      </c>
      <c r="H61" s="3"/>
      <c r="I61" s="2">
        <v>12141.6</v>
      </c>
      <c r="J61" s="3"/>
      <c r="K61" s="2">
        <v>3920.23</v>
      </c>
      <c r="L61" s="3"/>
      <c r="M61" s="2">
        <v>6495.88</v>
      </c>
      <c r="N61" s="3"/>
      <c r="O61" s="2">
        <v>6186.65</v>
      </c>
      <c r="P61" s="3"/>
      <c r="Q61" s="2">
        <v>8273.66</v>
      </c>
      <c r="R61" s="3"/>
      <c r="S61" s="2">
        <v>6951.31</v>
      </c>
      <c r="T61" s="3"/>
      <c r="U61" s="2">
        <v>6395.12</v>
      </c>
      <c r="V61" s="3"/>
      <c r="W61" s="2">
        <v>0</v>
      </c>
      <c r="X61" s="3"/>
      <c r="Y61" s="2">
        <v>0</v>
      </c>
      <c r="Z61" s="3"/>
      <c r="AA61" s="2">
        <v>0</v>
      </c>
      <c r="AB61" s="3"/>
      <c r="AC61" s="2">
        <v>5402.88</v>
      </c>
      <c r="AD61" s="3"/>
      <c r="AE61" s="2">
        <f t="shared" si="2"/>
        <v>65707.97</v>
      </c>
    </row>
    <row r="62" spans="1:31" ht="15.75" thickBot="1" x14ac:dyDescent="0.3">
      <c r="A62" s="1"/>
      <c r="B62" s="1"/>
      <c r="C62" s="1"/>
      <c r="D62" s="1"/>
      <c r="E62" s="1"/>
      <c r="F62" s="1" t="s">
        <v>61</v>
      </c>
      <c r="G62" s="6">
        <v>9440.83</v>
      </c>
      <c r="H62" s="3"/>
      <c r="I62" s="6">
        <v>0</v>
      </c>
      <c r="J62" s="3"/>
      <c r="K62" s="6">
        <v>5005.79</v>
      </c>
      <c r="L62" s="3"/>
      <c r="M62" s="6">
        <v>15150.73</v>
      </c>
      <c r="N62" s="3"/>
      <c r="O62" s="6">
        <v>3108.07</v>
      </c>
      <c r="P62" s="3"/>
      <c r="Q62" s="6">
        <v>0</v>
      </c>
      <c r="R62" s="3"/>
      <c r="S62" s="6">
        <v>0</v>
      </c>
      <c r="T62" s="3"/>
      <c r="U62" s="6">
        <v>0</v>
      </c>
      <c r="V62" s="3"/>
      <c r="W62" s="6">
        <v>0</v>
      </c>
      <c r="X62" s="3"/>
      <c r="Y62" s="6">
        <v>0</v>
      </c>
      <c r="Z62" s="3"/>
      <c r="AA62" s="6">
        <v>0</v>
      </c>
      <c r="AB62" s="3"/>
      <c r="AC62" s="6">
        <v>0</v>
      </c>
      <c r="AD62" s="3"/>
      <c r="AE62" s="6">
        <f t="shared" si="2"/>
        <v>32705.42</v>
      </c>
    </row>
    <row r="63" spans="1:31" x14ac:dyDescent="0.25">
      <c r="A63" s="1"/>
      <c r="B63" s="1"/>
      <c r="C63" s="1"/>
      <c r="D63" s="1"/>
      <c r="E63" s="1" t="s">
        <v>62</v>
      </c>
      <c r="F63" s="1"/>
      <c r="G63" s="2">
        <f>ROUND(SUM(G55:G62),5)</f>
        <v>37773.120000000003</v>
      </c>
      <c r="H63" s="3"/>
      <c r="I63" s="2">
        <f>ROUND(SUM(I55:I62),5)</f>
        <v>30989.41</v>
      </c>
      <c r="J63" s="3"/>
      <c r="K63" s="2">
        <f>ROUND(SUM(K55:K62),5)</f>
        <v>27250.32</v>
      </c>
      <c r="L63" s="3"/>
      <c r="M63" s="2">
        <f>ROUND(SUM(M55:M62),5)</f>
        <v>41279.379999999997</v>
      </c>
      <c r="N63" s="3"/>
      <c r="O63" s="2">
        <f>ROUND(SUM(O55:O62),5)</f>
        <v>35525.9</v>
      </c>
      <c r="P63" s="3"/>
      <c r="Q63" s="2">
        <f>ROUND(SUM(Q55:Q62),5)</f>
        <v>31744.14</v>
      </c>
      <c r="R63" s="3"/>
      <c r="S63" s="2">
        <f>ROUND(SUM(S55:S62),5)</f>
        <v>30971.99</v>
      </c>
      <c r="T63" s="3"/>
      <c r="U63" s="2">
        <f>ROUND(SUM(U55:U62),5)</f>
        <v>26845</v>
      </c>
      <c r="V63" s="3"/>
      <c r="W63" s="2">
        <f>ROUND(SUM(W55:W62),5)</f>
        <v>21887.21</v>
      </c>
      <c r="X63" s="3"/>
      <c r="Y63" s="2">
        <f>ROUND(SUM(Y55:Y62),5)</f>
        <v>22378.97</v>
      </c>
      <c r="Z63" s="3"/>
      <c r="AA63" s="2">
        <f>ROUND(SUM(AA55:AA62),5)</f>
        <v>21513.69</v>
      </c>
      <c r="AB63" s="3"/>
      <c r="AC63" s="2">
        <f>ROUND(SUM(AC55:AC62),5)</f>
        <v>24636.58</v>
      </c>
      <c r="AD63" s="3"/>
      <c r="AE63" s="2">
        <f t="shared" si="2"/>
        <v>352795.71</v>
      </c>
    </row>
    <row r="64" spans="1:31" x14ac:dyDescent="0.25">
      <c r="A64" s="1"/>
      <c r="B64" s="1"/>
      <c r="C64" s="1"/>
      <c r="D64" s="1"/>
      <c r="E64" s="1" t="s">
        <v>63</v>
      </c>
      <c r="F64" s="1"/>
      <c r="G64" s="2"/>
      <c r="H64" s="3"/>
      <c r="I64" s="2"/>
      <c r="J64" s="3"/>
      <c r="K64" s="2"/>
      <c r="L64" s="3"/>
      <c r="M64" s="2"/>
      <c r="N64" s="3"/>
      <c r="O64" s="2"/>
      <c r="P64" s="3"/>
      <c r="Q64" s="2"/>
      <c r="R64" s="3"/>
      <c r="S64" s="2"/>
      <c r="T64" s="3"/>
      <c r="U64" s="2"/>
      <c r="V64" s="3"/>
      <c r="W64" s="2"/>
      <c r="X64" s="3"/>
      <c r="Y64" s="2"/>
      <c r="Z64" s="3"/>
      <c r="AA64" s="2"/>
      <c r="AB64" s="3"/>
      <c r="AC64" s="2"/>
      <c r="AD64" s="3"/>
      <c r="AE64" s="2"/>
    </row>
    <row r="65" spans="1:31" x14ac:dyDescent="0.25">
      <c r="A65" s="1"/>
      <c r="B65" s="1"/>
      <c r="C65" s="1"/>
      <c r="D65" s="1"/>
      <c r="E65" s="1"/>
      <c r="F65" s="1" t="s">
        <v>64</v>
      </c>
      <c r="G65" s="2">
        <v>14662.2</v>
      </c>
      <c r="H65" s="3"/>
      <c r="I65" s="2">
        <v>15367.53</v>
      </c>
      <c r="J65" s="3"/>
      <c r="K65" s="2">
        <v>15412.9</v>
      </c>
      <c r="L65" s="3"/>
      <c r="M65" s="2">
        <v>14492.63</v>
      </c>
      <c r="N65" s="3"/>
      <c r="O65" s="2">
        <v>15908.42</v>
      </c>
      <c r="P65" s="3"/>
      <c r="Q65" s="2">
        <v>13942.84</v>
      </c>
      <c r="R65" s="3"/>
      <c r="S65" s="2">
        <v>16509.75</v>
      </c>
      <c r="T65" s="3"/>
      <c r="U65" s="2">
        <v>15521.99</v>
      </c>
      <c r="V65" s="3"/>
      <c r="W65" s="2">
        <v>16654.21</v>
      </c>
      <c r="X65" s="3"/>
      <c r="Y65" s="2">
        <v>16435.93</v>
      </c>
      <c r="Z65" s="3"/>
      <c r="AA65" s="2">
        <v>17485.189999999999</v>
      </c>
      <c r="AB65" s="3"/>
      <c r="AC65" s="2">
        <v>16846.259999999998</v>
      </c>
      <c r="AD65" s="3"/>
      <c r="AE65" s="2">
        <f t="shared" ref="AE65:AE75" si="3">ROUND(SUM(G65:AC65),5)</f>
        <v>189239.85</v>
      </c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2384.46</v>
      </c>
      <c r="H66" s="3"/>
      <c r="I66" s="2">
        <v>3517.56</v>
      </c>
      <c r="J66" s="3"/>
      <c r="K66" s="2">
        <v>4059.75</v>
      </c>
      <c r="L66" s="3"/>
      <c r="M66" s="2">
        <v>3928.7</v>
      </c>
      <c r="N66" s="3"/>
      <c r="O66" s="2">
        <v>4087.32</v>
      </c>
      <c r="P66" s="3"/>
      <c r="Q66" s="2">
        <v>3373.13</v>
      </c>
      <c r="R66" s="3"/>
      <c r="S66" s="2">
        <v>3724.88</v>
      </c>
      <c r="T66" s="3"/>
      <c r="U66" s="2">
        <v>4415.43</v>
      </c>
      <c r="V66" s="3"/>
      <c r="W66" s="2">
        <v>4362.2</v>
      </c>
      <c r="X66" s="3"/>
      <c r="Y66" s="2">
        <v>3803.26</v>
      </c>
      <c r="Z66" s="3"/>
      <c r="AA66" s="2">
        <v>4239</v>
      </c>
      <c r="AB66" s="3"/>
      <c r="AC66" s="2">
        <v>4056.75</v>
      </c>
      <c r="AD66" s="3"/>
      <c r="AE66" s="2">
        <f t="shared" si="3"/>
        <v>45952.44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10609.23</v>
      </c>
      <c r="H67" s="3"/>
      <c r="I67" s="2">
        <v>14847.17</v>
      </c>
      <c r="J67" s="3"/>
      <c r="K67" s="2">
        <v>12850.48</v>
      </c>
      <c r="L67" s="3"/>
      <c r="M67" s="2">
        <v>12439.63</v>
      </c>
      <c r="N67" s="3"/>
      <c r="O67" s="2">
        <v>12043.36</v>
      </c>
      <c r="P67" s="3"/>
      <c r="Q67" s="2">
        <v>10555.06</v>
      </c>
      <c r="R67" s="3"/>
      <c r="S67" s="2">
        <v>11804.82</v>
      </c>
      <c r="T67" s="3"/>
      <c r="U67" s="2">
        <v>11453.56</v>
      </c>
      <c r="V67" s="3"/>
      <c r="W67" s="2">
        <v>11076.29</v>
      </c>
      <c r="X67" s="3"/>
      <c r="Y67" s="2">
        <v>14378.76</v>
      </c>
      <c r="Z67" s="3"/>
      <c r="AA67" s="2">
        <v>13000.31</v>
      </c>
      <c r="AB67" s="3"/>
      <c r="AC67" s="2">
        <v>11851.34</v>
      </c>
      <c r="AD67" s="3"/>
      <c r="AE67" s="2">
        <f t="shared" si="3"/>
        <v>146910.01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0</v>
      </c>
      <c r="H68" s="3"/>
      <c r="I68" s="2">
        <v>441.88</v>
      </c>
      <c r="J68" s="3"/>
      <c r="K68" s="2">
        <v>358.37</v>
      </c>
      <c r="L68" s="3"/>
      <c r="M68" s="2">
        <v>0</v>
      </c>
      <c r="N68" s="3"/>
      <c r="O68" s="2">
        <v>180.89</v>
      </c>
      <c r="P68" s="3"/>
      <c r="Q68" s="2">
        <v>0</v>
      </c>
      <c r="R68" s="3"/>
      <c r="S68" s="2">
        <v>319.5</v>
      </c>
      <c r="T68" s="3"/>
      <c r="U68" s="2">
        <v>203.92</v>
      </c>
      <c r="V68" s="3"/>
      <c r="W68" s="2">
        <v>156.62</v>
      </c>
      <c r="X68" s="3"/>
      <c r="Y68" s="2">
        <v>150</v>
      </c>
      <c r="Z68" s="3"/>
      <c r="AA68" s="2">
        <v>0</v>
      </c>
      <c r="AB68" s="3"/>
      <c r="AC68" s="2">
        <v>0</v>
      </c>
      <c r="AD68" s="3"/>
      <c r="AE68" s="2">
        <f t="shared" si="3"/>
        <v>1811.18</v>
      </c>
    </row>
    <row r="69" spans="1:31" x14ac:dyDescent="0.25">
      <c r="A69" s="1"/>
      <c r="B69" s="1"/>
      <c r="C69" s="1"/>
      <c r="D69" s="1"/>
      <c r="E69" s="1"/>
      <c r="F69" s="1" t="s">
        <v>68</v>
      </c>
      <c r="G69" s="2">
        <v>890.22</v>
      </c>
      <c r="H69" s="3"/>
      <c r="I69" s="2">
        <v>1164.4100000000001</v>
      </c>
      <c r="J69" s="3"/>
      <c r="K69" s="2">
        <v>149.4</v>
      </c>
      <c r="L69" s="3"/>
      <c r="M69" s="2">
        <v>515.66</v>
      </c>
      <c r="N69" s="3"/>
      <c r="O69" s="2">
        <v>541.87</v>
      </c>
      <c r="P69" s="3"/>
      <c r="Q69" s="2">
        <v>220.36</v>
      </c>
      <c r="R69" s="3"/>
      <c r="S69" s="2">
        <v>474.18</v>
      </c>
      <c r="T69" s="3"/>
      <c r="U69" s="2">
        <v>98.15</v>
      </c>
      <c r="V69" s="3"/>
      <c r="W69" s="2">
        <v>97.25</v>
      </c>
      <c r="X69" s="3"/>
      <c r="Y69" s="2">
        <v>272.64</v>
      </c>
      <c r="Z69" s="3"/>
      <c r="AA69" s="2">
        <v>498.74</v>
      </c>
      <c r="AB69" s="3"/>
      <c r="AC69" s="2">
        <v>282.33</v>
      </c>
      <c r="AD69" s="3"/>
      <c r="AE69" s="2">
        <f t="shared" si="3"/>
        <v>5205.21</v>
      </c>
    </row>
    <row r="70" spans="1:31" x14ac:dyDescent="0.25">
      <c r="A70" s="1"/>
      <c r="B70" s="1"/>
      <c r="C70" s="1"/>
      <c r="D70" s="1"/>
      <c r="E70" s="1"/>
      <c r="F70" s="1" t="s">
        <v>69</v>
      </c>
      <c r="G70" s="2">
        <v>1915.56</v>
      </c>
      <c r="H70" s="3"/>
      <c r="I70" s="2">
        <v>1561.88</v>
      </c>
      <c r="J70" s="3"/>
      <c r="K70" s="2">
        <v>2974.18</v>
      </c>
      <c r="L70" s="3"/>
      <c r="M70" s="2">
        <v>1272.76</v>
      </c>
      <c r="N70" s="3"/>
      <c r="O70" s="2">
        <v>1740.99</v>
      </c>
      <c r="P70" s="3"/>
      <c r="Q70" s="2">
        <v>1449.69</v>
      </c>
      <c r="R70" s="3"/>
      <c r="S70" s="2">
        <v>1075.77</v>
      </c>
      <c r="T70" s="3"/>
      <c r="U70" s="2">
        <v>1059.69</v>
      </c>
      <c r="V70" s="3"/>
      <c r="W70" s="2">
        <v>1108.73</v>
      </c>
      <c r="X70" s="3"/>
      <c r="Y70" s="2">
        <v>1663.05</v>
      </c>
      <c r="Z70" s="3"/>
      <c r="AA70" s="2">
        <v>2224.92</v>
      </c>
      <c r="AB70" s="3"/>
      <c r="AC70" s="2">
        <v>1080.57</v>
      </c>
      <c r="AD70" s="3"/>
      <c r="AE70" s="2">
        <f t="shared" si="3"/>
        <v>19127.79</v>
      </c>
    </row>
    <row r="71" spans="1:31" x14ac:dyDescent="0.25">
      <c r="A71" s="1"/>
      <c r="B71" s="1"/>
      <c r="C71" s="1"/>
      <c r="D71" s="1"/>
      <c r="E71" s="1"/>
      <c r="F71" s="1" t="s">
        <v>70</v>
      </c>
      <c r="G71" s="2">
        <v>237.51</v>
      </c>
      <c r="H71" s="3"/>
      <c r="I71" s="2">
        <v>1025.6199999999999</v>
      </c>
      <c r="J71" s="3"/>
      <c r="K71" s="2">
        <v>115.33</v>
      </c>
      <c r="L71" s="3"/>
      <c r="M71" s="2">
        <v>288.73</v>
      </c>
      <c r="N71" s="3"/>
      <c r="O71" s="2">
        <v>423.56</v>
      </c>
      <c r="P71" s="3"/>
      <c r="Q71" s="2">
        <v>1524.05</v>
      </c>
      <c r="R71" s="3"/>
      <c r="S71" s="2">
        <v>680.88</v>
      </c>
      <c r="T71" s="3"/>
      <c r="U71" s="2">
        <v>445.7</v>
      </c>
      <c r="V71" s="3"/>
      <c r="W71" s="2">
        <v>117.62</v>
      </c>
      <c r="X71" s="3"/>
      <c r="Y71" s="2">
        <v>374.74</v>
      </c>
      <c r="Z71" s="3"/>
      <c r="AA71" s="2">
        <v>59.4</v>
      </c>
      <c r="AB71" s="3"/>
      <c r="AC71" s="2">
        <v>80.19</v>
      </c>
      <c r="AD71" s="3"/>
      <c r="AE71" s="2">
        <f t="shared" si="3"/>
        <v>5373.33</v>
      </c>
    </row>
    <row r="72" spans="1:31" x14ac:dyDescent="0.25">
      <c r="A72" s="1"/>
      <c r="B72" s="1"/>
      <c r="C72" s="1"/>
      <c r="D72" s="1"/>
      <c r="E72" s="1"/>
      <c r="F72" s="1" t="s">
        <v>71</v>
      </c>
      <c r="G72" s="2">
        <v>0</v>
      </c>
      <c r="H72" s="3"/>
      <c r="I72" s="2">
        <v>0</v>
      </c>
      <c r="J72" s="3"/>
      <c r="K72" s="2">
        <v>0</v>
      </c>
      <c r="L72" s="3"/>
      <c r="M72" s="2">
        <v>0</v>
      </c>
      <c r="N72" s="3"/>
      <c r="O72" s="2">
        <v>0</v>
      </c>
      <c r="P72" s="3"/>
      <c r="Q72" s="2">
        <v>0</v>
      </c>
      <c r="R72" s="3"/>
      <c r="S72" s="2">
        <v>0</v>
      </c>
      <c r="T72" s="3"/>
      <c r="U72" s="2">
        <v>0</v>
      </c>
      <c r="V72" s="3"/>
      <c r="W72" s="2">
        <v>0</v>
      </c>
      <c r="X72" s="3"/>
      <c r="Y72" s="2">
        <v>318.69</v>
      </c>
      <c r="Z72" s="3"/>
      <c r="AA72" s="2">
        <v>0</v>
      </c>
      <c r="AB72" s="3"/>
      <c r="AC72" s="2">
        <v>0</v>
      </c>
      <c r="AD72" s="3"/>
      <c r="AE72" s="2">
        <f t="shared" si="3"/>
        <v>318.69</v>
      </c>
    </row>
    <row r="73" spans="1:31" x14ac:dyDescent="0.25">
      <c r="A73" s="1"/>
      <c r="B73" s="1"/>
      <c r="C73" s="1"/>
      <c r="D73" s="1"/>
      <c r="E73" s="1"/>
      <c r="F73" s="1" t="s">
        <v>72</v>
      </c>
      <c r="G73" s="2">
        <v>720</v>
      </c>
      <c r="H73" s="3"/>
      <c r="I73" s="2">
        <v>1440</v>
      </c>
      <c r="J73" s="3"/>
      <c r="K73" s="2">
        <v>720</v>
      </c>
      <c r="L73" s="3"/>
      <c r="M73" s="2">
        <v>720</v>
      </c>
      <c r="N73" s="3"/>
      <c r="O73" s="2">
        <v>720</v>
      </c>
      <c r="P73" s="3"/>
      <c r="Q73" s="2">
        <v>720</v>
      </c>
      <c r="R73" s="3"/>
      <c r="S73" s="2">
        <v>720</v>
      </c>
      <c r="T73" s="3"/>
      <c r="U73" s="2">
        <v>720</v>
      </c>
      <c r="V73" s="3"/>
      <c r="W73" s="2">
        <v>720</v>
      </c>
      <c r="X73" s="3"/>
      <c r="Y73" s="2">
        <v>720</v>
      </c>
      <c r="Z73" s="3"/>
      <c r="AA73" s="2">
        <v>720</v>
      </c>
      <c r="AB73" s="3"/>
      <c r="AC73" s="2">
        <v>720</v>
      </c>
      <c r="AD73" s="3"/>
      <c r="AE73" s="2">
        <f t="shared" si="3"/>
        <v>9360</v>
      </c>
    </row>
    <row r="74" spans="1:31" ht="15.75" thickBot="1" x14ac:dyDescent="0.3">
      <c r="A74" s="1"/>
      <c r="B74" s="1"/>
      <c r="C74" s="1"/>
      <c r="D74" s="1"/>
      <c r="E74" s="1"/>
      <c r="F74" s="1" t="s">
        <v>73</v>
      </c>
      <c r="G74" s="6">
        <v>0</v>
      </c>
      <c r="H74" s="3"/>
      <c r="I74" s="6">
        <v>0</v>
      </c>
      <c r="J74" s="3"/>
      <c r="K74" s="6">
        <v>0</v>
      </c>
      <c r="L74" s="3"/>
      <c r="M74" s="6">
        <v>0</v>
      </c>
      <c r="N74" s="3"/>
      <c r="O74" s="6">
        <v>0</v>
      </c>
      <c r="P74" s="3"/>
      <c r="Q74" s="6">
        <v>0</v>
      </c>
      <c r="R74" s="3"/>
      <c r="S74" s="6">
        <v>0</v>
      </c>
      <c r="T74" s="3"/>
      <c r="U74" s="6">
        <v>0</v>
      </c>
      <c r="V74" s="3"/>
      <c r="W74" s="6">
        <v>0</v>
      </c>
      <c r="X74" s="3"/>
      <c r="Y74" s="6">
        <v>0</v>
      </c>
      <c r="Z74" s="3"/>
      <c r="AA74" s="6">
        <v>0</v>
      </c>
      <c r="AB74" s="3"/>
      <c r="AC74" s="6">
        <v>0</v>
      </c>
      <c r="AD74" s="3"/>
      <c r="AE74" s="6">
        <f t="shared" si="3"/>
        <v>0</v>
      </c>
    </row>
    <row r="75" spans="1:31" x14ac:dyDescent="0.25">
      <c r="A75" s="1"/>
      <c r="B75" s="1"/>
      <c r="C75" s="1"/>
      <c r="D75" s="1"/>
      <c r="E75" s="1" t="s">
        <v>74</v>
      </c>
      <c r="F75" s="1"/>
      <c r="G75" s="2">
        <f>ROUND(SUM(G64:G74),5)</f>
        <v>31419.18</v>
      </c>
      <c r="H75" s="3"/>
      <c r="I75" s="2">
        <f>ROUND(SUM(I64:I74),5)</f>
        <v>39366.050000000003</v>
      </c>
      <c r="J75" s="3"/>
      <c r="K75" s="2">
        <f>ROUND(SUM(K64:K74),5)</f>
        <v>36640.410000000003</v>
      </c>
      <c r="L75" s="3"/>
      <c r="M75" s="2">
        <f>ROUND(SUM(M64:M74),5)</f>
        <v>33658.11</v>
      </c>
      <c r="N75" s="3"/>
      <c r="O75" s="2">
        <f>ROUND(SUM(O64:O74),5)</f>
        <v>35646.410000000003</v>
      </c>
      <c r="P75" s="3"/>
      <c r="Q75" s="2">
        <f>ROUND(SUM(Q64:Q74),5)</f>
        <v>31785.13</v>
      </c>
      <c r="R75" s="3"/>
      <c r="S75" s="2">
        <f>ROUND(SUM(S64:S74),5)</f>
        <v>35309.78</v>
      </c>
      <c r="T75" s="3"/>
      <c r="U75" s="2">
        <f>ROUND(SUM(U64:U74),5)</f>
        <v>33918.44</v>
      </c>
      <c r="V75" s="3"/>
      <c r="W75" s="2">
        <f>ROUND(SUM(W64:W74),5)</f>
        <v>34292.92</v>
      </c>
      <c r="X75" s="3"/>
      <c r="Y75" s="2">
        <f>ROUND(SUM(Y64:Y74),5)</f>
        <v>38117.07</v>
      </c>
      <c r="Z75" s="3"/>
      <c r="AA75" s="2">
        <f>ROUND(SUM(AA64:AA74),5)</f>
        <v>38227.56</v>
      </c>
      <c r="AB75" s="3"/>
      <c r="AC75" s="2">
        <f>ROUND(SUM(AC64:AC74),5)</f>
        <v>34917.440000000002</v>
      </c>
      <c r="AD75" s="3"/>
      <c r="AE75" s="2">
        <f t="shared" si="3"/>
        <v>423298.5</v>
      </c>
    </row>
    <row r="76" spans="1:31" x14ac:dyDescent="0.25">
      <c r="A76" s="1"/>
      <c r="B76" s="1"/>
      <c r="C76" s="1"/>
      <c r="D76" s="1"/>
      <c r="E76" s="1" t="s">
        <v>75</v>
      </c>
      <c r="F76" s="1"/>
      <c r="G76" s="2"/>
      <c r="H76" s="3"/>
      <c r="I76" s="2"/>
      <c r="J76" s="3"/>
      <c r="K76" s="2"/>
      <c r="L76" s="3"/>
      <c r="M76" s="2"/>
      <c r="N76" s="3"/>
      <c r="O76" s="2"/>
      <c r="P76" s="3"/>
      <c r="Q76" s="2"/>
      <c r="R76" s="3"/>
      <c r="S76" s="2"/>
      <c r="T76" s="3"/>
      <c r="U76" s="2"/>
      <c r="V76" s="3"/>
      <c r="W76" s="2"/>
      <c r="X76" s="3"/>
      <c r="Y76" s="2"/>
      <c r="Z76" s="3"/>
      <c r="AA76" s="2"/>
      <c r="AB76" s="3"/>
      <c r="AC76" s="2"/>
      <c r="AD76" s="3"/>
      <c r="AE76" s="2"/>
    </row>
    <row r="77" spans="1:31" x14ac:dyDescent="0.25">
      <c r="A77" s="1"/>
      <c r="B77" s="1"/>
      <c r="C77" s="1"/>
      <c r="D77" s="1"/>
      <c r="E77" s="1"/>
      <c r="F77" s="1" t="s">
        <v>76</v>
      </c>
      <c r="G77" s="2">
        <v>8478.93</v>
      </c>
      <c r="H77" s="3"/>
      <c r="I77" s="2">
        <v>7527.86</v>
      </c>
      <c r="J77" s="3"/>
      <c r="K77" s="2">
        <v>10539.96</v>
      </c>
      <c r="L77" s="3"/>
      <c r="M77" s="2">
        <v>6258.27</v>
      </c>
      <c r="N77" s="3"/>
      <c r="O77" s="2">
        <v>7515.53</v>
      </c>
      <c r="P77" s="3"/>
      <c r="Q77" s="2">
        <v>9462.51</v>
      </c>
      <c r="R77" s="3"/>
      <c r="S77" s="2">
        <v>10003.57</v>
      </c>
      <c r="T77" s="3"/>
      <c r="U77" s="2">
        <v>9098.4500000000007</v>
      </c>
      <c r="V77" s="3"/>
      <c r="W77" s="2">
        <v>9300.08</v>
      </c>
      <c r="X77" s="3"/>
      <c r="Y77" s="2">
        <v>8267.93</v>
      </c>
      <c r="Z77" s="3"/>
      <c r="AA77" s="2">
        <v>5697.9</v>
      </c>
      <c r="AB77" s="3"/>
      <c r="AC77" s="2">
        <v>5924.86</v>
      </c>
      <c r="AD77" s="3"/>
      <c r="AE77" s="2">
        <f t="shared" ref="AE77:AE87" si="4">ROUND(SUM(G77:AC77),5)</f>
        <v>98075.85</v>
      </c>
    </row>
    <row r="78" spans="1:31" x14ac:dyDescent="0.25">
      <c r="A78" s="1"/>
      <c r="B78" s="1"/>
      <c r="C78" s="1"/>
      <c r="D78" s="1"/>
      <c r="E78" s="1"/>
      <c r="F78" s="1" t="s">
        <v>77</v>
      </c>
      <c r="G78" s="2">
        <v>16347.58</v>
      </c>
      <c r="H78" s="3"/>
      <c r="I78" s="2">
        <v>17698.11</v>
      </c>
      <c r="J78" s="3"/>
      <c r="K78" s="2">
        <v>16312.51</v>
      </c>
      <c r="L78" s="3"/>
      <c r="M78" s="2">
        <v>15592.24</v>
      </c>
      <c r="N78" s="3"/>
      <c r="O78" s="2">
        <v>17078.84</v>
      </c>
      <c r="P78" s="3"/>
      <c r="Q78" s="2">
        <v>15660</v>
      </c>
      <c r="R78" s="3"/>
      <c r="S78" s="2">
        <v>18417.13</v>
      </c>
      <c r="T78" s="3"/>
      <c r="U78" s="2">
        <v>17742.830000000002</v>
      </c>
      <c r="V78" s="3"/>
      <c r="W78" s="2">
        <v>19423.259999999998</v>
      </c>
      <c r="X78" s="3"/>
      <c r="Y78" s="2">
        <v>18411</v>
      </c>
      <c r="Z78" s="3"/>
      <c r="AA78" s="2">
        <v>18909.77</v>
      </c>
      <c r="AB78" s="3"/>
      <c r="AC78" s="2">
        <v>18559.88</v>
      </c>
      <c r="AD78" s="3"/>
      <c r="AE78" s="2">
        <f t="shared" si="4"/>
        <v>210153.15</v>
      </c>
    </row>
    <row r="79" spans="1:31" x14ac:dyDescent="0.25">
      <c r="A79" s="1"/>
      <c r="B79" s="1"/>
      <c r="C79" s="1"/>
      <c r="D79" s="1"/>
      <c r="E79" s="1"/>
      <c r="F79" s="1" t="s">
        <v>78</v>
      </c>
      <c r="G79" s="2">
        <v>7217.56</v>
      </c>
      <c r="H79" s="3"/>
      <c r="I79" s="2">
        <v>9473.4500000000007</v>
      </c>
      <c r="J79" s="3"/>
      <c r="K79" s="2">
        <v>9898.0499999999993</v>
      </c>
      <c r="L79" s="3"/>
      <c r="M79" s="2">
        <v>2854.48</v>
      </c>
      <c r="N79" s="3"/>
      <c r="O79" s="2">
        <v>1941.97</v>
      </c>
      <c r="P79" s="3"/>
      <c r="Q79" s="2">
        <v>1785.88</v>
      </c>
      <c r="R79" s="3"/>
      <c r="S79" s="2">
        <v>1721.7</v>
      </c>
      <c r="T79" s="3"/>
      <c r="U79" s="2">
        <v>1856.32</v>
      </c>
      <c r="V79" s="3"/>
      <c r="W79" s="2">
        <v>1894.33</v>
      </c>
      <c r="X79" s="3"/>
      <c r="Y79" s="2">
        <v>2272.92</v>
      </c>
      <c r="Z79" s="3"/>
      <c r="AA79" s="2">
        <v>3011</v>
      </c>
      <c r="AB79" s="3"/>
      <c r="AC79" s="2">
        <v>2187.75</v>
      </c>
      <c r="AD79" s="3"/>
      <c r="AE79" s="2">
        <f t="shared" si="4"/>
        <v>46115.41</v>
      </c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3700.67</v>
      </c>
      <c r="H80" s="3"/>
      <c r="I80" s="2">
        <v>3343.14</v>
      </c>
      <c r="J80" s="3"/>
      <c r="K80" s="2">
        <v>3640.75</v>
      </c>
      <c r="L80" s="3"/>
      <c r="M80" s="2">
        <v>5152.18</v>
      </c>
      <c r="N80" s="3"/>
      <c r="O80" s="2">
        <v>8118.13</v>
      </c>
      <c r="P80" s="3"/>
      <c r="Q80" s="2">
        <v>8636.2800000000007</v>
      </c>
      <c r="R80" s="3"/>
      <c r="S80" s="2">
        <v>5401.07</v>
      </c>
      <c r="T80" s="3"/>
      <c r="U80" s="2">
        <v>4051.16</v>
      </c>
      <c r="V80" s="3"/>
      <c r="W80" s="2">
        <v>-13588.57</v>
      </c>
      <c r="X80" s="3"/>
      <c r="Y80" s="2">
        <v>2156.08</v>
      </c>
      <c r="Z80" s="3"/>
      <c r="AA80" s="2">
        <v>2896.11</v>
      </c>
      <c r="AB80" s="3"/>
      <c r="AC80" s="2">
        <v>3554.56</v>
      </c>
      <c r="AD80" s="3"/>
      <c r="AE80" s="2">
        <f t="shared" si="4"/>
        <v>37061.56</v>
      </c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3438.4</v>
      </c>
      <c r="H81" s="3"/>
      <c r="I81" s="2">
        <v>3873.57</v>
      </c>
      <c r="J81" s="3"/>
      <c r="K81" s="2">
        <v>2512.67</v>
      </c>
      <c r="L81" s="3"/>
      <c r="M81" s="2">
        <v>2287.08</v>
      </c>
      <c r="N81" s="3"/>
      <c r="O81" s="2">
        <v>4122.2700000000004</v>
      </c>
      <c r="P81" s="3"/>
      <c r="Q81" s="2">
        <v>1216.22</v>
      </c>
      <c r="R81" s="3"/>
      <c r="S81" s="2">
        <v>1446.24</v>
      </c>
      <c r="T81" s="3"/>
      <c r="U81" s="2">
        <v>3481.11</v>
      </c>
      <c r="V81" s="3"/>
      <c r="W81" s="2">
        <v>2458.8000000000002</v>
      </c>
      <c r="X81" s="3"/>
      <c r="Y81" s="2">
        <v>1472.24</v>
      </c>
      <c r="Z81" s="3"/>
      <c r="AA81" s="2">
        <v>3104.01</v>
      </c>
      <c r="AB81" s="3"/>
      <c r="AC81" s="2">
        <v>3457.09</v>
      </c>
      <c r="AD81" s="3"/>
      <c r="AE81" s="2">
        <f t="shared" si="4"/>
        <v>32869.699999999997</v>
      </c>
    </row>
    <row r="82" spans="1:31" x14ac:dyDescent="0.25">
      <c r="A82" s="1"/>
      <c r="B82" s="1"/>
      <c r="C82" s="1"/>
      <c r="D82" s="1"/>
      <c r="E82" s="1"/>
      <c r="F82" s="1" t="s">
        <v>81</v>
      </c>
      <c r="G82" s="2">
        <v>4587.3900000000003</v>
      </c>
      <c r="H82" s="3"/>
      <c r="I82" s="2">
        <v>8102.22</v>
      </c>
      <c r="J82" s="3"/>
      <c r="K82" s="2">
        <v>1445</v>
      </c>
      <c r="L82" s="3"/>
      <c r="M82" s="2">
        <v>12458.32</v>
      </c>
      <c r="N82" s="3"/>
      <c r="O82" s="2">
        <v>8211.2099999999991</v>
      </c>
      <c r="P82" s="3"/>
      <c r="Q82" s="2">
        <v>9650.17</v>
      </c>
      <c r="R82" s="3"/>
      <c r="S82" s="2">
        <v>3022.71</v>
      </c>
      <c r="T82" s="3"/>
      <c r="U82" s="2">
        <v>4633.5</v>
      </c>
      <c r="V82" s="3"/>
      <c r="W82" s="2">
        <v>9610</v>
      </c>
      <c r="X82" s="3"/>
      <c r="Y82" s="2">
        <v>4631.63</v>
      </c>
      <c r="Z82" s="3"/>
      <c r="AA82" s="2">
        <v>4048.15</v>
      </c>
      <c r="AB82" s="3"/>
      <c r="AC82" s="2">
        <v>3898.28</v>
      </c>
      <c r="AD82" s="3"/>
      <c r="AE82" s="2">
        <f t="shared" si="4"/>
        <v>74298.58</v>
      </c>
    </row>
    <row r="83" spans="1:31" x14ac:dyDescent="0.25">
      <c r="A83" s="1"/>
      <c r="B83" s="1"/>
      <c r="C83" s="1"/>
      <c r="D83" s="1"/>
      <c r="E83" s="1"/>
      <c r="F83" s="1" t="s">
        <v>82</v>
      </c>
      <c r="G83" s="2">
        <v>0</v>
      </c>
      <c r="H83" s="3"/>
      <c r="I83" s="2">
        <v>0</v>
      </c>
      <c r="J83" s="3"/>
      <c r="K83" s="2">
        <v>0</v>
      </c>
      <c r="L83" s="3"/>
      <c r="M83" s="2">
        <v>0</v>
      </c>
      <c r="N83" s="3"/>
      <c r="O83" s="2">
        <v>0</v>
      </c>
      <c r="P83" s="3"/>
      <c r="Q83" s="2">
        <v>0</v>
      </c>
      <c r="R83" s="3"/>
      <c r="S83" s="2">
        <v>13793.65</v>
      </c>
      <c r="T83" s="3"/>
      <c r="U83" s="2">
        <v>0</v>
      </c>
      <c r="V83" s="3"/>
      <c r="W83" s="2">
        <v>0</v>
      </c>
      <c r="X83" s="3"/>
      <c r="Y83" s="2">
        <v>0</v>
      </c>
      <c r="Z83" s="3"/>
      <c r="AA83" s="2">
        <v>0</v>
      </c>
      <c r="AB83" s="3"/>
      <c r="AC83" s="2">
        <v>0</v>
      </c>
      <c r="AD83" s="3"/>
      <c r="AE83" s="2">
        <f t="shared" si="4"/>
        <v>13793.65</v>
      </c>
    </row>
    <row r="84" spans="1:31" x14ac:dyDescent="0.25">
      <c r="A84" s="1"/>
      <c r="B84" s="1"/>
      <c r="C84" s="1"/>
      <c r="D84" s="1"/>
      <c r="E84" s="1"/>
      <c r="F84" s="1" t="s">
        <v>83</v>
      </c>
      <c r="G84" s="2">
        <v>2080</v>
      </c>
      <c r="H84" s="3"/>
      <c r="I84" s="2">
        <v>7155.33</v>
      </c>
      <c r="J84" s="3"/>
      <c r="K84" s="2">
        <v>1054.21</v>
      </c>
      <c r="L84" s="3"/>
      <c r="M84" s="2">
        <v>3003.02</v>
      </c>
      <c r="N84" s="3"/>
      <c r="O84" s="2">
        <v>977.46</v>
      </c>
      <c r="P84" s="3"/>
      <c r="Q84" s="2">
        <v>320</v>
      </c>
      <c r="R84" s="3"/>
      <c r="S84" s="2">
        <v>332.6</v>
      </c>
      <c r="T84" s="3"/>
      <c r="U84" s="2">
        <v>7491.55</v>
      </c>
      <c r="V84" s="3"/>
      <c r="W84" s="2">
        <v>1171.19</v>
      </c>
      <c r="X84" s="3"/>
      <c r="Y84" s="2">
        <v>4634.0600000000004</v>
      </c>
      <c r="Z84" s="3"/>
      <c r="AA84" s="2">
        <v>2966.02</v>
      </c>
      <c r="AB84" s="3"/>
      <c r="AC84" s="2">
        <v>3171.75</v>
      </c>
      <c r="AD84" s="3"/>
      <c r="AE84" s="2">
        <f t="shared" si="4"/>
        <v>34357.19</v>
      </c>
    </row>
    <row r="85" spans="1:31" x14ac:dyDescent="0.25">
      <c r="A85" s="1"/>
      <c r="B85" s="1"/>
      <c r="C85" s="1"/>
      <c r="D85" s="1"/>
      <c r="E85" s="1"/>
      <c r="F85" s="1" t="s">
        <v>84</v>
      </c>
      <c r="G85" s="2">
        <v>0</v>
      </c>
      <c r="H85" s="3"/>
      <c r="I85" s="2">
        <v>0</v>
      </c>
      <c r="J85" s="3"/>
      <c r="K85" s="2">
        <v>0</v>
      </c>
      <c r="L85" s="3"/>
      <c r="M85" s="2">
        <v>0</v>
      </c>
      <c r="N85" s="3"/>
      <c r="O85" s="2">
        <v>0</v>
      </c>
      <c r="P85" s="3"/>
      <c r="Q85" s="2">
        <v>0</v>
      </c>
      <c r="R85" s="3"/>
      <c r="S85" s="2">
        <v>0</v>
      </c>
      <c r="T85" s="3"/>
      <c r="U85" s="2">
        <v>0</v>
      </c>
      <c r="V85" s="3"/>
      <c r="W85" s="2">
        <v>0</v>
      </c>
      <c r="X85" s="3"/>
      <c r="Y85" s="2">
        <v>0</v>
      </c>
      <c r="Z85" s="3"/>
      <c r="AA85" s="2">
        <v>0</v>
      </c>
      <c r="AB85" s="3"/>
      <c r="AC85" s="2">
        <v>4341.63</v>
      </c>
      <c r="AD85" s="3"/>
      <c r="AE85" s="2">
        <f t="shared" si="4"/>
        <v>4341.63</v>
      </c>
    </row>
    <row r="86" spans="1:31" ht="15.75" thickBot="1" x14ac:dyDescent="0.3">
      <c r="A86" s="1"/>
      <c r="B86" s="1"/>
      <c r="C86" s="1"/>
      <c r="D86" s="1"/>
      <c r="E86" s="1"/>
      <c r="F86" s="1" t="s">
        <v>85</v>
      </c>
      <c r="G86" s="6">
        <v>1311</v>
      </c>
      <c r="H86" s="3"/>
      <c r="I86" s="6">
        <v>1215</v>
      </c>
      <c r="J86" s="3"/>
      <c r="K86" s="6">
        <v>1590</v>
      </c>
      <c r="L86" s="3"/>
      <c r="M86" s="6">
        <v>1571.22</v>
      </c>
      <c r="N86" s="3"/>
      <c r="O86" s="6">
        <v>1541.72</v>
      </c>
      <c r="P86" s="3"/>
      <c r="Q86" s="6">
        <v>2169.5</v>
      </c>
      <c r="R86" s="3"/>
      <c r="S86" s="6">
        <v>1431.5</v>
      </c>
      <c r="T86" s="3"/>
      <c r="U86" s="6">
        <v>1311.5</v>
      </c>
      <c r="V86" s="3"/>
      <c r="W86" s="6">
        <v>1311.5</v>
      </c>
      <c r="X86" s="3"/>
      <c r="Y86" s="6">
        <v>1311.5</v>
      </c>
      <c r="Z86" s="3"/>
      <c r="AA86" s="6">
        <v>1186.5</v>
      </c>
      <c r="AB86" s="3"/>
      <c r="AC86" s="6">
        <v>1561.5</v>
      </c>
      <c r="AD86" s="3"/>
      <c r="AE86" s="6">
        <f t="shared" si="4"/>
        <v>17512.439999999999</v>
      </c>
    </row>
    <row r="87" spans="1:31" x14ac:dyDescent="0.25">
      <c r="A87" s="1"/>
      <c r="B87" s="1"/>
      <c r="C87" s="1"/>
      <c r="D87" s="1"/>
      <c r="E87" s="1" t="s">
        <v>86</v>
      </c>
      <c r="F87" s="1"/>
      <c r="G87" s="2">
        <f>ROUND(SUM(G76:G86),5)</f>
        <v>47161.53</v>
      </c>
      <c r="H87" s="3"/>
      <c r="I87" s="2">
        <f>ROUND(SUM(I76:I86),5)</f>
        <v>58388.68</v>
      </c>
      <c r="J87" s="3"/>
      <c r="K87" s="2">
        <f>ROUND(SUM(K76:K86),5)</f>
        <v>46993.15</v>
      </c>
      <c r="L87" s="3"/>
      <c r="M87" s="2">
        <f>ROUND(SUM(M76:M86),5)</f>
        <v>49176.81</v>
      </c>
      <c r="N87" s="3"/>
      <c r="O87" s="2">
        <f>ROUND(SUM(O76:O86),5)</f>
        <v>49507.13</v>
      </c>
      <c r="P87" s="3"/>
      <c r="Q87" s="2">
        <f>ROUND(SUM(Q76:Q86),5)</f>
        <v>48900.56</v>
      </c>
      <c r="R87" s="3"/>
      <c r="S87" s="2">
        <f>ROUND(SUM(S76:S86),5)</f>
        <v>55570.17</v>
      </c>
      <c r="T87" s="3"/>
      <c r="U87" s="2">
        <f>ROUND(SUM(U76:U86),5)</f>
        <v>49666.42</v>
      </c>
      <c r="V87" s="3"/>
      <c r="W87" s="2">
        <f>ROUND(SUM(W76:W86),5)</f>
        <v>31580.59</v>
      </c>
      <c r="X87" s="3"/>
      <c r="Y87" s="2">
        <f>ROUND(SUM(Y76:Y86),5)</f>
        <v>43157.36</v>
      </c>
      <c r="Z87" s="3"/>
      <c r="AA87" s="2">
        <f>ROUND(SUM(AA76:AA86),5)</f>
        <v>41819.46</v>
      </c>
      <c r="AB87" s="3"/>
      <c r="AC87" s="2">
        <f>ROUND(SUM(AC76:AC86),5)</f>
        <v>46657.3</v>
      </c>
      <c r="AD87" s="3"/>
      <c r="AE87" s="2">
        <f t="shared" si="4"/>
        <v>568579.16</v>
      </c>
    </row>
    <row r="88" spans="1:31" x14ac:dyDescent="0.25">
      <c r="A88" s="1"/>
      <c r="B88" s="1"/>
      <c r="C88" s="1"/>
      <c r="D88" s="1"/>
      <c r="E88" s="1" t="s">
        <v>87</v>
      </c>
      <c r="F88" s="1"/>
      <c r="G88" s="2"/>
      <c r="H88" s="3"/>
      <c r="I88" s="2"/>
      <c r="J88" s="3"/>
      <c r="K88" s="2"/>
      <c r="L88" s="3"/>
      <c r="M88" s="2"/>
      <c r="N88" s="3"/>
      <c r="O88" s="2"/>
      <c r="P88" s="3"/>
      <c r="Q88" s="2"/>
      <c r="R88" s="3"/>
      <c r="S88" s="2"/>
      <c r="T88" s="3"/>
      <c r="U88" s="2"/>
      <c r="V88" s="3"/>
      <c r="W88" s="2"/>
      <c r="X88" s="3"/>
      <c r="Y88" s="2"/>
      <c r="Z88" s="3"/>
      <c r="AA88" s="2"/>
      <c r="AB88" s="3"/>
      <c r="AC88" s="2"/>
      <c r="AD88" s="3"/>
      <c r="AE88" s="2"/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1462.77</v>
      </c>
      <c r="H89" s="3"/>
      <c r="I89" s="2">
        <v>2000.46</v>
      </c>
      <c r="J89" s="3"/>
      <c r="K89" s="2">
        <v>2708.61</v>
      </c>
      <c r="L89" s="3"/>
      <c r="M89" s="2">
        <v>2696.79</v>
      </c>
      <c r="N89" s="3"/>
      <c r="O89" s="2">
        <v>3622.39</v>
      </c>
      <c r="P89" s="3"/>
      <c r="Q89" s="2">
        <v>2189.25</v>
      </c>
      <c r="R89" s="3"/>
      <c r="S89" s="2">
        <v>1320.54</v>
      </c>
      <c r="T89" s="3"/>
      <c r="U89" s="2">
        <v>1187.1400000000001</v>
      </c>
      <c r="V89" s="3"/>
      <c r="W89" s="2">
        <v>1070.3599999999999</v>
      </c>
      <c r="X89" s="3"/>
      <c r="Y89" s="2">
        <v>965.63</v>
      </c>
      <c r="Z89" s="3"/>
      <c r="AA89" s="2">
        <v>1182.05</v>
      </c>
      <c r="AB89" s="3"/>
      <c r="AC89" s="2">
        <v>1188.48</v>
      </c>
      <c r="AD89" s="3"/>
      <c r="AE89" s="2">
        <f t="shared" ref="AE89:AE95" si="5">ROUND(SUM(G89:AC89),5)</f>
        <v>21594.47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2759.07</v>
      </c>
      <c r="H90" s="3"/>
      <c r="I90" s="2">
        <v>1101.6600000000001</v>
      </c>
      <c r="J90" s="3"/>
      <c r="K90" s="2">
        <v>0</v>
      </c>
      <c r="L90" s="3"/>
      <c r="M90" s="2">
        <v>0</v>
      </c>
      <c r="N90" s="3"/>
      <c r="O90" s="2">
        <v>0</v>
      </c>
      <c r="P90" s="3"/>
      <c r="Q90" s="2">
        <v>1782</v>
      </c>
      <c r="R90" s="3"/>
      <c r="S90" s="2">
        <v>2985.75</v>
      </c>
      <c r="T90" s="3"/>
      <c r="U90" s="2">
        <v>2463.4299999999998</v>
      </c>
      <c r="V90" s="3"/>
      <c r="W90" s="2">
        <v>3005.04</v>
      </c>
      <c r="X90" s="3"/>
      <c r="Y90" s="2">
        <v>2813.14</v>
      </c>
      <c r="Z90" s="3"/>
      <c r="AA90" s="2">
        <v>2515.8200000000002</v>
      </c>
      <c r="AB90" s="3"/>
      <c r="AC90" s="2">
        <v>2952.96</v>
      </c>
      <c r="AD90" s="3"/>
      <c r="AE90" s="2">
        <f t="shared" si="5"/>
        <v>22378.87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0</v>
      </c>
      <c r="H91" s="3"/>
      <c r="I91" s="2">
        <v>384.99</v>
      </c>
      <c r="J91" s="3"/>
      <c r="K91" s="2">
        <v>182.75</v>
      </c>
      <c r="L91" s="3"/>
      <c r="M91" s="2">
        <v>227.02</v>
      </c>
      <c r="N91" s="3"/>
      <c r="O91" s="2">
        <v>0</v>
      </c>
      <c r="P91" s="3"/>
      <c r="Q91" s="2">
        <v>45.92</v>
      </c>
      <c r="R91" s="3"/>
      <c r="S91" s="2">
        <v>151.9</v>
      </c>
      <c r="T91" s="3"/>
      <c r="U91" s="2">
        <v>40.909999999999997</v>
      </c>
      <c r="V91" s="3"/>
      <c r="W91" s="2">
        <v>0</v>
      </c>
      <c r="X91" s="3"/>
      <c r="Y91" s="2">
        <v>121.84</v>
      </c>
      <c r="Z91" s="3"/>
      <c r="AA91" s="2">
        <v>96.49</v>
      </c>
      <c r="AB91" s="3"/>
      <c r="AC91" s="2">
        <v>0</v>
      </c>
      <c r="AD91" s="3"/>
      <c r="AE91" s="2">
        <f t="shared" si="5"/>
        <v>1251.82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4607.07</v>
      </c>
      <c r="H92" s="3"/>
      <c r="I92" s="2">
        <v>5782.72</v>
      </c>
      <c r="J92" s="3"/>
      <c r="K92" s="2">
        <v>5368</v>
      </c>
      <c r="L92" s="3"/>
      <c r="M92" s="2">
        <v>5144.92</v>
      </c>
      <c r="N92" s="3"/>
      <c r="O92" s="2">
        <v>5514.79</v>
      </c>
      <c r="P92" s="3"/>
      <c r="Q92" s="2">
        <v>4783</v>
      </c>
      <c r="R92" s="3"/>
      <c r="S92" s="2">
        <v>3141.57</v>
      </c>
      <c r="T92" s="3"/>
      <c r="U92" s="2">
        <v>1199.6400000000001</v>
      </c>
      <c r="V92" s="3"/>
      <c r="W92" s="2">
        <v>926.79</v>
      </c>
      <c r="X92" s="3"/>
      <c r="Y92" s="2">
        <v>1297.57</v>
      </c>
      <c r="Z92" s="3"/>
      <c r="AA92" s="2">
        <v>1430.24</v>
      </c>
      <c r="AB92" s="3"/>
      <c r="AC92" s="2">
        <v>1281.79</v>
      </c>
      <c r="AD92" s="3"/>
      <c r="AE92" s="2">
        <f t="shared" si="5"/>
        <v>40478.1</v>
      </c>
    </row>
    <row r="93" spans="1:31" x14ac:dyDescent="0.25">
      <c r="A93" s="1"/>
      <c r="B93" s="1"/>
      <c r="C93" s="1"/>
      <c r="D93" s="1"/>
      <c r="E93" s="1"/>
      <c r="F93" s="1" t="s">
        <v>92</v>
      </c>
      <c r="G93" s="2">
        <v>0</v>
      </c>
      <c r="H93" s="3"/>
      <c r="I93" s="2">
        <v>0</v>
      </c>
      <c r="J93" s="3"/>
      <c r="K93" s="2">
        <v>0</v>
      </c>
      <c r="L93" s="3"/>
      <c r="M93" s="2">
        <v>0</v>
      </c>
      <c r="N93" s="3"/>
      <c r="O93" s="2">
        <v>0</v>
      </c>
      <c r="P93" s="3"/>
      <c r="Q93" s="2">
        <v>0</v>
      </c>
      <c r="R93" s="3"/>
      <c r="S93" s="2">
        <v>3026.75</v>
      </c>
      <c r="T93" s="3"/>
      <c r="U93" s="2">
        <v>4157.25</v>
      </c>
      <c r="V93" s="3"/>
      <c r="W93" s="2">
        <v>4505.04</v>
      </c>
      <c r="X93" s="3"/>
      <c r="Y93" s="2">
        <v>4245.3900000000003</v>
      </c>
      <c r="Z93" s="3"/>
      <c r="AA93" s="2">
        <v>4371.75</v>
      </c>
      <c r="AB93" s="3"/>
      <c r="AC93" s="2">
        <v>4431.82</v>
      </c>
      <c r="AD93" s="3"/>
      <c r="AE93" s="2">
        <f t="shared" si="5"/>
        <v>24738</v>
      </c>
    </row>
    <row r="94" spans="1:31" ht="15.75" thickBot="1" x14ac:dyDescent="0.3">
      <c r="A94" s="1"/>
      <c r="B94" s="1"/>
      <c r="C94" s="1"/>
      <c r="D94" s="1"/>
      <c r="E94" s="1"/>
      <c r="F94" s="1" t="s">
        <v>93</v>
      </c>
      <c r="G94" s="6">
        <v>0</v>
      </c>
      <c r="H94" s="3"/>
      <c r="I94" s="6">
        <v>210</v>
      </c>
      <c r="J94" s="3"/>
      <c r="K94" s="6">
        <v>210</v>
      </c>
      <c r="L94" s="3"/>
      <c r="M94" s="6">
        <v>0</v>
      </c>
      <c r="N94" s="3"/>
      <c r="O94" s="6">
        <v>0</v>
      </c>
      <c r="P94" s="3"/>
      <c r="Q94" s="6">
        <v>0</v>
      </c>
      <c r="R94" s="3"/>
      <c r="S94" s="6">
        <v>0</v>
      </c>
      <c r="T94" s="3"/>
      <c r="U94" s="6">
        <v>0</v>
      </c>
      <c r="V94" s="3"/>
      <c r="W94" s="6">
        <v>0</v>
      </c>
      <c r="X94" s="3"/>
      <c r="Y94" s="6">
        <v>2100</v>
      </c>
      <c r="Z94" s="3"/>
      <c r="AA94" s="6">
        <v>0</v>
      </c>
      <c r="AB94" s="3"/>
      <c r="AC94" s="6">
        <v>0</v>
      </c>
      <c r="AD94" s="3"/>
      <c r="AE94" s="6">
        <f t="shared" si="5"/>
        <v>2520</v>
      </c>
    </row>
    <row r="95" spans="1:31" x14ac:dyDescent="0.25">
      <c r="A95" s="1"/>
      <c r="B95" s="1"/>
      <c r="C95" s="1"/>
      <c r="D95" s="1"/>
      <c r="E95" s="1" t="s">
        <v>94</v>
      </c>
      <c r="F95" s="1"/>
      <c r="G95" s="2">
        <f>ROUND(SUM(G88:G94),5)</f>
        <v>8828.91</v>
      </c>
      <c r="H95" s="3"/>
      <c r="I95" s="2">
        <f>ROUND(SUM(I88:I94),5)</f>
        <v>9479.83</v>
      </c>
      <c r="J95" s="3"/>
      <c r="K95" s="2">
        <f>ROUND(SUM(K88:K94),5)</f>
        <v>8469.36</v>
      </c>
      <c r="L95" s="3"/>
      <c r="M95" s="2">
        <f>ROUND(SUM(M88:M94),5)</f>
        <v>8068.73</v>
      </c>
      <c r="N95" s="3"/>
      <c r="O95" s="2">
        <f>ROUND(SUM(O88:O94),5)</f>
        <v>9137.18</v>
      </c>
      <c r="P95" s="3"/>
      <c r="Q95" s="2">
        <f>ROUND(SUM(Q88:Q94),5)</f>
        <v>8800.17</v>
      </c>
      <c r="R95" s="3"/>
      <c r="S95" s="2">
        <f>ROUND(SUM(S88:S94),5)</f>
        <v>10626.51</v>
      </c>
      <c r="T95" s="3"/>
      <c r="U95" s="2">
        <f>ROUND(SUM(U88:U94),5)</f>
        <v>9048.3700000000008</v>
      </c>
      <c r="V95" s="3"/>
      <c r="W95" s="2">
        <f>ROUND(SUM(W88:W94),5)</f>
        <v>9507.23</v>
      </c>
      <c r="X95" s="3"/>
      <c r="Y95" s="2">
        <f>ROUND(SUM(Y88:Y94),5)</f>
        <v>11543.57</v>
      </c>
      <c r="Z95" s="3"/>
      <c r="AA95" s="2">
        <f>ROUND(SUM(AA88:AA94),5)</f>
        <v>9596.35</v>
      </c>
      <c r="AB95" s="3"/>
      <c r="AC95" s="2">
        <f>ROUND(SUM(AC88:AC94),5)</f>
        <v>9855.0499999999993</v>
      </c>
      <c r="AD95" s="3"/>
      <c r="AE95" s="2">
        <f t="shared" si="5"/>
        <v>112961.26</v>
      </c>
    </row>
    <row r="96" spans="1:31" x14ac:dyDescent="0.25">
      <c r="A96" s="1"/>
      <c r="B96" s="1"/>
      <c r="C96" s="1"/>
      <c r="D96" s="1"/>
      <c r="E96" s="1" t="s">
        <v>95</v>
      </c>
      <c r="F96" s="1"/>
      <c r="G96" s="2"/>
      <c r="H96" s="3"/>
      <c r="I96" s="2"/>
      <c r="J96" s="3"/>
      <c r="K96" s="2"/>
      <c r="L96" s="3"/>
      <c r="M96" s="2"/>
      <c r="N96" s="3"/>
      <c r="O96" s="2"/>
      <c r="P96" s="3"/>
      <c r="Q96" s="2"/>
      <c r="R96" s="3"/>
      <c r="S96" s="2"/>
      <c r="T96" s="3"/>
      <c r="U96" s="2"/>
      <c r="V96" s="3"/>
      <c r="W96" s="2"/>
      <c r="X96" s="3"/>
      <c r="Y96" s="2"/>
      <c r="Z96" s="3"/>
      <c r="AA96" s="2"/>
      <c r="AB96" s="3"/>
      <c r="AC96" s="2"/>
      <c r="AD96" s="3"/>
      <c r="AE96" s="2"/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0</v>
      </c>
      <c r="H97" s="3"/>
      <c r="I97" s="2">
        <v>0</v>
      </c>
      <c r="J97" s="3"/>
      <c r="K97" s="2">
        <v>722.77</v>
      </c>
      <c r="L97" s="3"/>
      <c r="M97" s="2">
        <v>0</v>
      </c>
      <c r="N97" s="3"/>
      <c r="O97" s="2">
        <v>0</v>
      </c>
      <c r="P97" s="3"/>
      <c r="Q97" s="2">
        <v>0</v>
      </c>
      <c r="R97" s="3"/>
      <c r="S97" s="2">
        <v>1619.1</v>
      </c>
      <c r="T97" s="3"/>
      <c r="U97" s="2">
        <v>0</v>
      </c>
      <c r="V97" s="3"/>
      <c r="W97" s="2">
        <v>1654.04</v>
      </c>
      <c r="X97" s="3"/>
      <c r="Y97" s="2">
        <v>1118.8800000000001</v>
      </c>
      <c r="Z97" s="3"/>
      <c r="AA97" s="2">
        <v>0</v>
      </c>
      <c r="AB97" s="3"/>
      <c r="AC97" s="2">
        <v>0</v>
      </c>
      <c r="AD97" s="3"/>
      <c r="AE97" s="2">
        <f>ROUND(SUM(G97:AC97),5)</f>
        <v>5114.79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1502.44</v>
      </c>
      <c r="J98" s="3"/>
      <c r="K98" s="2">
        <v>0</v>
      </c>
      <c r="L98" s="3"/>
      <c r="M98" s="2">
        <v>0</v>
      </c>
      <c r="N98" s="3"/>
      <c r="O98" s="2">
        <v>0</v>
      </c>
      <c r="P98" s="3"/>
      <c r="Q98" s="2">
        <v>3588.74</v>
      </c>
      <c r="R98" s="3"/>
      <c r="S98" s="2">
        <v>0</v>
      </c>
      <c r="T98" s="3"/>
      <c r="U98" s="2">
        <v>0</v>
      </c>
      <c r="V98" s="3"/>
      <c r="W98" s="2">
        <v>0</v>
      </c>
      <c r="X98" s="3"/>
      <c r="Y98" s="2">
        <v>0</v>
      </c>
      <c r="Z98" s="3"/>
      <c r="AA98" s="2">
        <v>0</v>
      </c>
      <c r="AB98" s="3"/>
      <c r="AC98" s="2">
        <v>0</v>
      </c>
      <c r="AD98" s="3"/>
      <c r="AE98" s="2">
        <f>ROUND(SUM(G98:AC98),5)</f>
        <v>5091.18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0</v>
      </c>
      <c r="H99" s="3"/>
      <c r="I99" s="2">
        <v>144.63999999999999</v>
      </c>
      <c r="J99" s="3"/>
      <c r="K99" s="2">
        <v>0</v>
      </c>
      <c r="L99" s="3"/>
      <c r="M99" s="2">
        <v>0</v>
      </c>
      <c r="N99" s="3"/>
      <c r="O99" s="2">
        <v>0</v>
      </c>
      <c r="P99" s="3"/>
      <c r="Q99" s="2">
        <v>601.91</v>
      </c>
      <c r="R99" s="3"/>
      <c r="S99" s="2">
        <v>0</v>
      </c>
      <c r="T99" s="3"/>
      <c r="U99" s="2">
        <v>0</v>
      </c>
      <c r="V99" s="3"/>
      <c r="W99" s="2">
        <v>429</v>
      </c>
      <c r="X99" s="3"/>
      <c r="Y99" s="2">
        <v>0</v>
      </c>
      <c r="Z99" s="3"/>
      <c r="AA99" s="2">
        <v>0</v>
      </c>
      <c r="AB99" s="3"/>
      <c r="AC99" s="2">
        <v>1327.84</v>
      </c>
      <c r="AD99" s="3"/>
      <c r="AE99" s="2">
        <f>ROUND(SUM(G99:AC99),5)</f>
        <v>2503.39</v>
      </c>
    </row>
    <row r="100" spans="1:31" ht="15.75" thickBot="1" x14ac:dyDescent="0.3">
      <c r="A100" s="1"/>
      <c r="B100" s="1"/>
      <c r="C100" s="1"/>
      <c r="D100" s="1"/>
      <c r="E100" s="1"/>
      <c r="F100" s="1" t="s">
        <v>99</v>
      </c>
      <c r="G100" s="6">
        <v>2354.36</v>
      </c>
      <c r="H100" s="3"/>
      <c r="I100" s="6">
        <v>1788.3</v>
      </c>
      <c r="J100" s="3"/>
      <c r="K100" s="6">
        <v>2266.88</v>
      </c>
      <c r="L100" s="3"/>
      <c r="M100" s="6">
        <v>2717.45</v>
      </c>
      <c r="N100" s="3"/>
      <c r="O100" s="6">
        <v>2395.27</v>
      </c>
      <c r="P100" s="3"/>
      <c r="Q100" s="6">
        <v>2529.73</v>
      </c>
      <c r="R100" s="3"/>
      <c r="S100" s="6">
        <v>1747.04</v>
      </c>
      <c r="T100" s="3"/>
      <c r="U100" s="6">
        <v>1708.64</v>
      </c>
      <c r="V100" s="3"/>
      <c r="W100" s="6">
        <v>1447.56</v>
      </c>
      <c r="X100" s="3"/>
      <c r="Y100" s="6">
        <v>2885.06</v>
      </c>
      <c r="Z100" s="3"/>
      <c r="AA100" s="6">
        <v>2887.11</v>
      </c>
      <c r="AB100" s="3"/>
      <c r="AC100" s="6">
        <v>1914.66</v>
      </c>
      <c r="AD100" s="3"/>
      <c r="AE100" s="6">
        <f>ROUND(SUM(G100:AC100),5)</f>
        <v>26642.06</v>
      </c>
    </row>
    <row r="101" spans="1:31" x14ac:dyDescent="0.25">
      <c r="A101" s="1"/>
      <c r="B101" s="1"/>
      <c r="C101" s="1"/>
      <c r="D101" s="1"/>
      <c r="E101" s="1" t="s">
        <v>100</v>
      </c>
      <c r="F101" s="1"/>
      <c r="G101" s="2">
        <f>ROUND(SUM(G96:G100),5)</f>
        <v>2354.36</v>
      </c>
      <c r="H101" s="3"/>
      <c r="I101" s="2">
        <f>ROUND(SUM(I96:I100),5)</f>
        <v>3435.38</v>
      </c>
      <c r="J101" s="3"/>
      <c r="K101" s="2">
        <f>ROUND(SUM(K96:K100),5)</f>
        <v>2989.65</v>
      </c>
      <c r="L101" s="3"/>
      <c r="M101" s="2">
        <f>ROUND(SUM(M96:M100),5)</f>
        <v>2717.45</v>
      </c>
      <c r="N101" s="3"/>
      <c r="O101" s="2">
        <f>ROUND(SUM(O96:O100),5)</f>
        <v>2395.27</v>
      </c>
      <c r="P101" s="3"/>
      <c r="Q101" s="2">
        <f>ROUND(SUM(Q96:Q100),5)</f>
        <v>6720.38</v>
      </c>
      <c r="R101" s="3"/>
      <c r="S101" s="2">
        <f>ROUND(SUM(S96:S100),5)</f>
        <v>3366.14</v>
      </c>
      <c r="T101" s="3"/>
      <c r="U101" s="2">
        <f>ROUND(SUM(U96:U100),5)</f>
        <v>1708.64</v>
      </c>
      <c r="V101" s="3"/>
      <c r="W101" s="2">
        <f>ROUND(SUM(W96:W100),5)</f>
        <v>3530.6</v>
      </c>
      <c r="X101" s="3"/>
      <c r="Y101" s="2">
        <f>ROUND(SUM(Y96:Y100),5)</f>
        <v>4003.94</v>
      </c>
      <c r="Z101" s="3"/>
      <c r="AA101" s="2">
        <f>ROUND(SUM(AA96:AA100),5)</f>
        <v>2887.11</v>
      </c>
      <c r="AB101" s="3"/>
      <c r="AC101" s="2">
        <f>ROUND(SUM(AC96:AC100),5)</f>
        <v>3242.5</v>
      </c>
      <c r="AD101" s="3"/>
      <c r="AE101" s="2">
        <f>ROUND(SUM(G101:AC101),5)</f>
        <v>39351.42</v>
      </c>
    </row>
    <row r="102" spans="1:31" x14ac:dyDescent="0.25">
      <c r="A102" s="1"/>
      <c r="B102" s="1"/>
      <c r="C102" s="1"/>
      <c r="D102" s="1"/>
      <c r="E102" s="1" t="s">
        <v>101</v>
      </c>
      <c r="F102" s="1"/>
      <c r="G102" s="2"/>
      <c r="H102" s="3"/>
      <c r="I102" s="2"/>
      <c r="J102" s="3"/>
      <c r="K102" s="2"/>
      <c r="L102" s="3"/>
      <c r="M102" s="2"/>
      <c r="N102" s="3"/>
      <c r="O102" s="2"/>
      <c r="P102" s="3"/>
      <c r="Q102" s="2"/>
      <c r="R102" s="3"/>
      <c r="S102" s="2"/>
      <c r="T102" s="3"/>
      <c r="U102" s="2"/>
      <c r="V102" s="3"/>
      <c r="W102" s="2"/>
      <c r="X102" s="3"/>
      <c r="Y102" s="2"/>
      <c r="Z102" s="3"/>
      <c r="AA102" s="2"/>
      <c r="AB102" s="3"/>
      <c r="AC102" s="2"/>
      <c r="AD102" s="3"/>
      <c r="AE102" s="2"/>
    </row>
    <row r="103" spans="1:31" x14ac:dyDescent="0.25">
      <c r="A103" s="1"/>
      <c r="B103" s="1"/>
      <c r="C103" s="1"/>
      <c r="D103" s="1"/>
      <c r="E103" s="1"/>
      <c r="F103" s="1" t="s">
        <v>102</v>
      </c>
      <c r="G103" s="2">
        <v>1391.88</v>
      </c>
      <c r="H103" s="3"/>
      <c r="I103" s="2">
        <v>1605.59</v>
      </c>
      <c r="J103" s="3"/>
      <c r="K103" s="2">
        <v>1318.1</v>
      </c>
      <c r="L103" s="3"/>
      <c r="M103" s="2">
        <v>973.86</v>
      </c>
      <c r="N103" s="3"/>
      <c r="O103" s="2">
        <v>2103.75</v>
      </c>
      <c r="P103" s="3"/>
      <c r="Q103" s="2">
        <v>2299.25</v>
      </c>
      <c r="R103" s="3"/>
      <c r="S103" s="2">
        <v>2148.5300000000002</v>
      </c>
      <c r="T103" s="3"/>
      <c r="U103" s="2">
        <v>2564.69</v>
      </c>
      <c r="V103" s="3"/>
      <c r="W103" s="2">
        <v>2243.91</v>
      </c>
      <c r="X103" s="3"/>
      <c r="Y103" s="2">
        <v>2123.13</v>
      </c>
      <c r="Z103" s="3"/>
      <c r="AA103" s="2">
        <v>2397.5</v>
      </c>
      <c r="AB103" s="3"/>
      <c r="AC103" s="2">
        <v>1961.26</v>
      </c>
      <c r="AD103" s="3"/>
      <c r="AE103" s="2">
        <f t="shared" ref="AE103:AE136" si="6">ROUND(SUM(G103:AC103),5)</f>
        <v>23131.45</v>
      </c>
    </row>
    <row r="104" spans="1:31" x14ac:dyDescent="0.25">
      <c r="A104" s="1"/>
      <c r="B104" s="1"/>
      <c r="C104" s="1"/>
      <c r="D104" s="1"/>
      <c r="E104" s="1"/>
      <c r="F104" s="1" t="s">
        <v>103</v>
      </c>
      <c r="G104" s="2">
        <v>16900</v>
      </c>
      <c r="H104" s="3"/>
      <c r="I104" s="2">
        <v>16900</v>
      </c>
      <c r="J104" s="3"/>
      <c r="K104" s="2">
        <v>16900</v>
      </c>
      <c r="L104" s="3"/>
      <c r="M104" s="2">
        <v>16900</v>
      </c>
      <c r="N104" s="3"/>
      <c r="O104" s="2">
        <v>16900</v>
      </c>
      <c r="P104" s="3"/>
      <c r="Q104" s="2">
        <v>16900</v>
      </c>
      <c r="R104" s="3"/>
      <c r="S104" s="2">
        <v>16900</v>
      </c>
      <c r="T104" s="3"/>
      <c r="U104" s="2">
        <v>16900</v>
      </c>
      <c r="V104" s="3"/>
      <c r="W104" s="2">
        <v>16900</v>
      </c>
      <c r="X104" s="3"/>
      <c r="Y104" s="2">
        <v>16900</v>
      </c>
      <c r="Z104" s="3"/>
      <c r="AA104" s="2">
        <v>16900</v>
      </c>
      <c r="AB104" s="3"/>
      <c r="AC104" s="2">
        <v>16900</v>
      </c>
      <c r="AD104" s="3"/>
      <c r="AE104" s="2">
        <f t="shared" si="6"/>
        <v>202800</v>
      </c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12409.85</v>
      </c>
      <c r="H105" s="3"/>
      <c r="I105" s="2">
        <v>12493.41</v>
      </c>
      <c r="J105" s="3"/>
      <c r="K105" s="2">
        <v>12635.23</v>
      </c>
      <c r="L105" s="3"/>
      <c r="M105" s="2">
        <v>13340.63</v>
      </c>
      <c r="N105" s="3"/>
      <c r="O105" s="2">
        <v>13340.63</v>
      </c>
      <c r="P105" s="3"/>
      <c r="Q105" s="2">
        <v>11447.12</v>
      </c>
      <c r="R105" s="3"/>
      <c r="S105" s="2">
        <v>13340.63</v>
      </c>
      <c r="T105" s="3"/>
      <c r="U105" s="2">
        <v>12910.29</v>
      </c>
      <c r="V105" s="3"/>
      <c r="W105" s="2">
        <v>13340.62</v>
      </c>
      <c r="X105" s="3"/>
      <c r="Y105" s="2">
        <v>12910.29</v>
      </c>
      <c r="Z105" s="3"/>
      <c r="AA105" s="2">
        <v>13340.63</v>
      </c>
      <c r="AB105" s="3"/>
      <c r="AC105" s="2">
        <v>13340.63</v>
      </c>
      <c r="AD105" s="3"/>
      <c r="AE105" s="2">
        <f t="shared" si="6"/>
        <v>154849.96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7031.08</v>
      </c>
      <c r="H106" s="3"/>
      <c r="I106" s="2">
        <v>8523.07</v>
      </c>
      <c r="J106" s="3"/>
      <c r="K106" s="2">
        <v>8032.89</v>
      </c>
      <c r="L106" s="3"/>
      <c r="M106" s="2">
        <v>6596.42</v>
      </c>
      <c r="N106" s="3"/>
      <c r="O106" s="2">
        <v>6574.36</v>
      </c>
      <c r="P106" s="3"/>
      <c r="Q106" s="2">
        <v>7532.98</v>
      </c>
      <c r="R106" s="3"/>
      <c r="S106" s="2">
        <v>4392.1000000000004</v>
      </c>
      <c r="T106" s="3"/>
      <c r="U106" s="2">
        <v>384.01</v>
      </c>
      <c r="V106" s="3"/>
      <c r="W106" s="2">
        <v>435.21</v>
      </c>
      <c r="X106" s="3"/>
      <c r="Y106" s="2">
        <v>873.6</v>
      </c>
      <c r="Z106" s="3"/>
      <c r="AA106" s="2">
        <v>560</v>
      </c>
      <c r="AB106" s="3"/>
      <c r="AC106" s="2">
        <v>1272</v>
      </c>
      <c r="AD106" s="3"/>
      <c r="AE106" s="2">
        <f t="shared" si="6"/>
        <v>52207.72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4081</v>
      </c>
      <c r="H107" s="3"/>
      <c r="I107" s="2">
        <v>4081</v>
      </c>
      <c r="J107" s="3"/>
      <c r="K107" s="2">
        <v>4081</v>
      </c>
      <c r="L107" s="3"/>
      <c r="M107" s="2">
        <v>4758</v>
      </c>
      <c r="N107" s="3"/>
      <c r="O107" s="2">
        <v>4758</v>
      </c>
      <c r="P107" s="3"/>
      <c r="Q107" s="2">
        <v>4758</v>
      </c>
      <c r="R107" s="3"/>
      <c r="S107" s="2">
        <v>4758</v>
      </c>
      <c r="T107" s="3"/>
      <c r="U107" s="2">
        <v>4758</v>
      </c>
      <c r="V107" s="3"/>
      <c r="W107" s="2">
        <v>4758</v>
      </c>
      <c r="X107" s="3"/>
      <c r="Y107" s="2">
        <v>4758</v>
      </c>
      <c r="Z107" s="3"/>
      <c r="AA107" s="2">
        <v>4758</v>
      </c>
      <c r="AB107" s="3"/>
      <c r="AC107" s="2">
        <v>4758</v>
      </c>
      <c r="AD107" s="3"/>
      <c r="AE107" s="2">
        <f t="shared" si="6"/>
        <v>55065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2210.31</v>
      </c>
      <c r="H108" s="3"/>
      <c r="I108" s="2">
        <v>2382.1999999999998</v>
      </c>
      <c r="J108" s="3"/>
      <c r="K108" s="2">
        <v>2101.25</v>
      </c>
      <c r="L108" s="3"/>
      <c r="M108" s="2">
        <v>2280.9499999999998</v>
      </c>
      <c r="N108" s="3"/>
      <c r="O108" s="2">
        <v>2083.44</v>
      </c>
      <c r="P108" s="3"/>
      <c r="Q108" s="2">
        <v>1820</v>
      </c>
      <c r="R108" s="3"/>
      <c r="S108" s="2">
        <v>1877.81</v>
      </c>
      <c r="T108" s="3"/>
      <c r="U108" s="2">
        <v>1595.95</v>
      </c>
      <c r="V108" s="3"/>
      <c r="W108" s="2">
        <v>2728.13</v>
      </c>
      <c r="X108" s="3"/>
      <c r="Y108" s="2">
        <v>2725.94</v>
      </c>
      <c r="Z108" s="3"/>
      <c r="AA108" s="2">
        <v>2800.62</v>
      </c>
      <c r="AB108" s="3"/>
      <c r="AC108" s="2">
        <v>2629.72</v>
      </c>
      <c r="AD108" s="3"/>
      <c r="AE108" s="2">
        <f t="shared" si="6"/>
        <v>27236.32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1931</v>
      </c>
      <c r="H109" s="3"/>
      <c r="I109" s="2">
        <v>1931</v>
      </c>
      <c r="J109" s="3"/>
      <c r="K109" s="2">
        <v>1931</v>
      </c>
      <c r="L109" s="3"/>
      <c r="M109" s="2">
        <v>3772</v>
      </c>
      <c r="N109" s="3"/>
      <c r="O109" s="2">
        <v>3772</v>
      </c>
      <c r="P109" s="3"/>
      <c r="Q109" s="2">
        <v>3772</v>
      </c>
      <c r="R109" s="3"/>
      <c r="S109" s="2">
        <v>3772</v>
      </c>
      <c r="T109" s="3"/>
      <c r="U109" s="2">
        <v>3772</v>
      </c>
      <c r="V109" s="3"/>
      <c r="W109" s="2">
        <v>3772</v>
      </c>
      <c r="X109" s="3"/>
      <c r="Y109" s="2">
        <v>3772</v>
      </c>
      <c r="Z109" s="3"/>
      <c r="AA109" s="2">
        <v>3772</v>
      </c>
      <c r="AB109" s="3"/>
      <c r="AC109" s="2">
        <v>3772</v>
      </c>
      <c r="AD109" s="3"/>
      <c r="AE109" s="2">
        <f t="shared" si="6"/>
        <v>39741</v>
      </c>
    </row>
    <row r="110" spans="1:31" x14ac:dyDescent="0.25">
      <c r="A110" s="1"/>
      <c r="B110" s="1"/>
      <c r="C110" s="1"/>
      <c r="D110" s="1"/>
      <c r="E110" s="1"/>
      <c r="F110" s="1" t="s">
        <v>109</v>
      </c>
      <c r="G110" s="2">
        <v>29501</v>
      </c>
      <c r="H110" s="3"/>
      <c r="I110" s="2">
        <v>29501</v>
      </c>
      <c r="J110" s="3"/>
      <c r="K110" s="2">
        <v>29501</v>
      </c>
      <c r="L110" s="3"/>
      <c r="M110" s="2">
        <v>29501</v>
      </c>
      <c r="N110" s="3"/>
      <c r="O110" s="2">
        <v>29501</v>
      </c>
      <c r="P110" s="3"/>
      <c r="Q110" s="2">
        <v>29501</v>
      </c>
      <c r="R110" s="3"/>
      <c r="S110" s="2">
        <v>29501</v>
      </c>
      <c r="T110" s="3"/>
      <c r="U110" s="2">
        <v>29501</v>
      </c>
      <c r="V110" s="3"/>
      <c r="W110" s="2">
        <v>29501</v>
      </c>
      <c r="X110" s="3"/>
      <c r="Y110" s="2">
        <v>29501</v>
      </c>
      <c r="Z110" s="3"/>
      <c r="AA110" s="2">
        <v>29501</v>
      </c>
      <c r="AB110" s="3"/>
      <c r="AC110" s="2">
        <v>29501</v>
      </c>
      <c r="AD110" s="3"/>
      <c r="AE110" s="2">
        <f t="shared" si="6"/>
        <v>354012</v>
      </c>
    </row>
    <row r="111" spans="1:31" x14ac:dyDescent="0.25">
      <c r="A111" s="1"/>
      <c r="B111" s="1"/>
      <c r="C111" s="1"/>
      <c r="D111" s="1"/>
      <c r="E111" s="1"/>
      <c r="F111" s="1" t="s">
        <v>110</v>
      </c>
      <c r="G111" s="2">
        <v>8878</v>
      </c>
      <c r="H111" s="3"/>
      <c r="I111" s="2">
        <v>9389.7800000000007</v>
      </c>
      <c r="J111" s="3"/>
      <c r="K111" s="2">
        <v>9264.5400000000009</v>
      </c>
      <c r="L111" s="3"/>
      <c r="M111" s="2">
        <v>7628.56</v>
      </c>
      <c r="N111" s="3"/>
      <c r="O111" s="2">
        <v>8460.11</v>
      </c>
      <c r="P111" s="3"/>
      <c r="Q111" s="2">
        <v>7663.92</v>
      </c>
      <c r="R111" s="3"/>
      <c r="S111" s="2">
        <v>9016.51</v>
      </c>
      <c r="T111" s="3"/>
      <c r="U111" s="2">
        <v>7784.7</v>
      </c>
      <c r="V111" s="3"/>
      <c r="W111" s="2">
        <v>10755.16</v>
      </c>
      <c r="X111" s="3"/>
      <c r="Y111" s="2">
        <v>9028.24</v>
      </c>
      <c r="Z111" s="3"/>
      <c r="AA111" s="2">
        <v>7678.28</v>
      </c>
      <c r="AB111" s="3"/>
      <c r="AC111" s="2">
        <v>8966.83</v>
      </c>
      <c r="AD111" s="3"/>
      <c r="AE111" s="2">
        <f t="shared" si="6"/>
        <v>104514.63</v>
      </c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0</v>
      </c>
      <c r="H112" s="3"/>
      <c r="I112" s="2">
        <v>4000</v>
      </c>
      <c r="J112" s="3"/>
      <c r="K112" s="2">
        <v>0</v>
      </c>
      <c r="L112" s="3"/>
      <c r="M112" s="2">
        <v>0</v>
      </c>
      <c r="N112" s="3"/>
      <c r="O112" s="2">
        <v>0</v>
      </c>
      <c r="P112" s="3"/>
      <c r="Q112" s="2">
        <v>0</v>
      </c>
      <c r="R112" s="3"/>
      <c r="S112" s="2">
        <v>0</v>
      </c>
      <c r="T112" s="3"/>
      <c r="U112" s="2">
        <v>0</v>
      </c>
      <c r="V112" s="3"/>
      <c r="W112" s="2">
        <v>0</v>
      </c>
      <c r="X112" s="3"/>
      <c r="Y112" s="2">
        <v>0</v>
      </c>
      <c r="Z112" s="3"/>
      <c r="AA112" s="2">
        <v>0</v>
      </c>
      <c r="AB112" s="3"/>
      <c r="AC112" s="2">
        <v>0</v>
      </c>
      <c r="AD112" s="3"/>
      <c r="AE112" s="2">
        <f t="shared" si="6"/>
        <v>4000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0</v>
      </c>
      <c r="H113" s="3"/>
      <c r="I113" s="2">
        <v>0</v>
      </c>
      <c r="J113" s="3"/>
      <c r="K113" s="2">
        <v>0</v>
      </c>
      <c r="L113" s="3"/>
      <c r="M113" s="2">
        <v>0</v>
      </c>
      <c r="N113" s="3"/>
      <c r="O113" s="2">
        <v>130</v>
      </c>
      <c r="P113" s="3"/>
      <c r="Q113" s="2">
        <v>0</v>
      </c>
      <c r="R113" s="3"/>
      <c r="S113" s="2">
        <v>0</v>
      </c>
      <c r="T113" s="3"/>
      <c r="U113" s="2">
        <v>134</v>
      </c>
      <c r="V113" s="3"/>
      <c r="W113" s="2">
        <v>0</v>
      </c>
      <c r="X113" s="3"/>
      <c r="Y113" s="2">
        <v>0</v>
      </c>
      <c r="Z113" s="3"/>
      <c r="AA113" s="2">
        <v>1769.2</v>
      </c>
      <c r="AB113" s="3"/>
      <c r="AC113" s="2">
        <v>0</v>
      </c>
      <c r="AD113" s="3"/>
      <c r="AE113" s="2">
        <f t="shared" si="6"/>
        <v>2033.2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292</v>
      </c>
      <c r="H114" s="3"/>
      <c r="I114" s="2">
        <v>275</v>
      </c>
      <c r="J114" s="3"/>
      <c r="K114" s="2">
        <v>50</v>
      </c>
      <c r="L114" s="3"/>
      <c r="M114" s="2">
        <v>45</v>
      </c>
      <c r="N114" s="3"/>
      <c r="O114" s="2">
        <v>190</v>
      </c>
      <c r="P114" s="3"/>
      <c r="Q114" s="2">
        <v>45</v>
      </c>
      <c r="R114" s="3"/>
      <c r="S114" s="2">
        <v>464</v>
      </c>
      <c r="T114" s="3"/>
      <c r="U114" s="2">
        <v>292</v>
      </c>
      <c r="V114" s="3"/>
      <c r="W114" s="2">
        <v>292</v>
      </c>
      <c r="X114" s="3"/>
      <c r="Y114" s="2">
        <v>230</v>
      </c>
      <c r="Z114" s="3"/>
      <c r="AA114" s="2">
        <v>0</v>
      </c>
      <c r="AB114" s="3"/>
      <c r="AC114" s="2">
        <v>160</v>
      </c>
      <c r="AD114" s="3"/>
      <c r="AE114" s="2">
        <f t="shared" si="6"/>
        <v>2335</v>
      </c>
    </row>
    <row r="115" spans="1:31" x14ac:dyDescent="0.25">
      <c r="A115" s="1"/>
      <c r="B115" s="1"/>
      <c r="C115" s="1"/>
      <c r="D115" s="1"/>
      <c r="E115" s="1"/>
      <c r="F115" s="1" t="s">
        <v>114</v>
      </c>
      <c r="G115" s="2">
        <v>2113.23</v>
      </c>
      <c r="H115" s="3"/>
      <c r="I115" s="2">
        <v>9802.6</v>
      </c>
      <c r="J115" s="3"/>
      <c r="K115" s="2">
        <v>3256.99</v>
      </c>
      <c r="L115" s="3"/>
      <c r="M115" s="2">
        <v>2856.63</v>
      </c>
      <c r="N115" s="3"/>
      <c r="O115" s="2">
        <v>8727.73</v>
      </c>
      <c r="P115" s="3"/>
      <c r="Q115" s="2">
        <v>3928.71</v>
      </c>
      <c r="R115" s="3"/>
      <c r="S115" s="2">
        <v>7940.41</v>
      </c>
      <c r="T115" s="3"/>
      <c r="U115" s="2">
        <v>6441.96</v>
      </c>
      <c r="V115" s="3"/>
      <c r="W115" s="2">
        <v>4503.0200000000004</v>
      </c>
      <c r="X115" s="3"/>
      <c r="Y115" s="2">
        <v>2677.95</v>
      </c>
      <c r="Z115" s="3"/>
      <c r="AA115" s="2">
        <v>5274.65</v>
      </c>
      <c r="AB115" s="3"/>
      <c r="AC115" s="2">
        <v>4559.5</v>
      </c>
      <c r="AD115" s="3"/>
      <c r="AE115" s="2">
        <f t="shared" si="6"/>
        <v>62083.38</v>
      </c>
    </row>
    <row r="116" spans="1:31" x14ac:dyDescent="0.25">
      <c r="A116" s="1"/>
      <c r="B116" s="1"/>
      <c r="C116" s="1"/>
      <c r="D116" s="1"/>
      <c r="E116" s="1"/>
      <c r="F116" s="1" t="s">
        <v>115</v>
      </c>
      <c r="G116" s="2">
        <v>0</v>
      </c>
      <c r="H116" s="3"/>
      <c r="I116" s="2">
        <v>0</v>
      </c>
      <c r="J116" s="3"/>
      <c r="K116" s="2">
        <v>107.49</v>
      </c>
      <c r="L116" s="3"/>
      <c r="M116" s="2">
        <v>4014.91</v>
      </c>
      <c r="N116" s="3"/>
      <c r="O116" s="2">
        <v>31.27</v>
      </c>
      <c r="P116" s="3"/>
      <c r="Q116" s="2">
        <v>0</v>
      </c>
      <c r="R116" s="3"/>
      <c r="S116" s="2">
        <v>94.4</v>
      </c>
      <c r="T116" s="3"/>
      <c r="U116" s="2">
        <v>0</v>
      </c>
      <c r="V116" s="3"/>
      <c r="W116" s="2">
        <v>2827.49</v>
      </c>
      <c r="X116" s="3"/>
      <c r="Y116" s="2">
        <v>599.29</v>
      </c>
      <c r="Z116" s="3"/>
      <c r="AA116" s="2">
        <v>89.68</v>
      </c>
      <c r="AB116" s="3"/>
      <c r="AC116" s="2">
        <v>1261.67</v>
      </c>
      <c r="AD116" s="3"/>
      <c r="AE116" s="2">
        <f t="shared" si="6"/>
        <v>9026.2000000000007</v>
      </c>
    </row>
    <row r="117" spans="1:31" x14ac:dyDescent="0.25">
      <c r="A117" s="1"/>
      <c r="B117" s="1"/>
      <c r="C117" s="1"/>
      <c r="D117" s="1"/>
      <c r="E117" s="1"/>
      <c r="F117" s="1" t="s">
        <v>116</v>
      </c>
      <c r="G117" s="2">
        <v>0</v>
      </c>
      <c r="H117" s="3"/>
      <c r="I117" s="2">
        <v>0</v>
      </c>
      <c r="J117" s="3"/>
      <c r="K117" s="2">
        <v>31.2</v>
      </c>
      <c r="L117" s="3"/>
      <c r="M117" s="2">
        <v>0</v>
      </c>
      <c r="N117" s="3"/>
      <c r="O117" s="2">
        <v>88.48</v>
      </c>
      <c r="P117" s="3"/>
      <c r="Q117" s="2">
        <v>0</v>
      </c>
      <c r="R117" s="3"/>
      <c r="S117" s="2">
        <v>78</v>
      </c>
      <c r="T117" s="3"/>
      <c r="U117" s="2">
        <v>0</v>
      </c>
      <c r="V117" s="3"/>
      <c r="W117" s="2">
        <v>0</v>
      </c>
      <c r="X117" s="3"/>
      <c r="Y117" s="2">
        <v>0</v>
      </c>
      <c r="Z117" s="3"/>
      <c r="AA117" s="2">
        <v>0</v>
      </c>
      <c r="AB117" s="3"/>
      <c r="AC117" s="2">
        <v>0</v>
      </c>
      <c r="AD117" s="3"/>
      <c r="AE117" s="2">
        <f t="shared" si="6"/>
        <v>197.68</v>
      </c>
    </row>
    <row r="118" spans="1:31" x14ac:dyDescent="0.25">
      <c r="A118" s="1"/>
      <c r="B118" s="1"/>
      <c r="C118" s="1"/>
      <c r="D118" s="1"/>
      <c r="E118" s="1"/>
      <c r="F118" s="1" t="s">
        <v>117</v>
      </c>
      <c r="G118" s="2">
        <v>118.65</v>
      </c>
      <c r="H118" s="3"/>
      <c r="I118" s="2">
        <v>146.21</v>
      </c>
      <c r="J118" s="3"/>
      <c r="K118" s="2">
        <v>149.04</v>
      </c>
      <c r="L118" s="3"/>
      <c r="M118" s="2">
        <v>112.45</v>
      </c>
      <c r="N118" s="3"/>
      <c r="O118" s="2">
        <v>146.11000000000001</v>
      </c>
      <c r="P118" s="3"/>
      <c r="Q118" s="2">
        <v>108.56</v>
      </c>
      <c r="R118" s="3"/>
      <c r="S118" s="2">
        <v>110.15</v>
      </c>
      <c r="T118" s="3"/>
      <c r="U118" s="2">
        <v>115.36</v>
      </c>
      <c r="V118" s="3"/>
      <c r="W118" s="2">
        <v>221.08</v>
      </c>
      <c r="X118" s="3"/>
      <c r="Y118" s="2">
        <v>116.99</v>
      </c>
      <c r="Z118" s="3"/>
      <c r="AA118" s="2">
        <v>214.85</v>
      </c>
      <c r="AB118" s="3"/>
      <c r="AC118" s="2">
        <v>117.5</v>
      </c>
      <c r="AD118" s="3"/>
      <c r="AE118" s="2">
        <f t="shared" si="6"/>
        <v>1676.95</v>
      </c>
    </row>
    <row r="119" spans="1:31" x14ac:dyDescent="0.25">
      <c r="A119" s="1"/>
      <c r="B119" s="1"/>
      <c r="C119" s="1"/>
      <c r="D119" s="1"/>
      <c r="E119" s="1"/>
      <c r="F119" s="1" t="s">
        <v>118</v>
      </c>
      <c r="G119" s="2">
        <v>392.24</v>
      </c>
      <c r="H119" s="3"/>
      <c r="I119" s="2">
        <v>206.39</v>
      </c>
      <c r="J119" s="3"/>
      <c r="K119" s="2">
        <v>1871.25</v>
      </c>
      <c r="L119" s="3"/>
      <c r="M119" s="2">
        <v>1165.01</v>
      </c>
      <c r="N119" s="3"/>
      <c r="O119" s="2">
        <v>206.8</v>
      </c>
      <c r="P119" s="3"/>
      <c r="Q119" s="2">
        <v>417.06</v>
      </c>
      <c r="R119" s="3"/>
      <c r="S119" s="2">
        <v>3697.03</v>
      </c>
      <c r="T119" s="3"/>
      <c r="U119" s="2">
        <v>413.01</v>
      </c>
      <c r="V119" s="3"/>
      <c r="W119" s="2">
        <v>413.21</v>
      </c>
      <c r="X119" s="3"/>
      <c r="Y119" s="2">
        <v>413.21</v>
      </c>
      <c r="Z119" s="3"/>
      <c r="AA119" s="2">
        <v>413.21</v>
      </c>
      <c r="AB119" s="3"/>
      <c r="AC119" s="2">
        <v>413.74</v>
      </c>
      <c r="AD119" s="3"/>
      <c r="AE119" s="2">
        <f t="shared" si="6"/>
        <v>10022.16</v>
      </c>
    </row>
    <row r="120" spans="1:31" x14ac:dyDescent="0.25">
      <c r="A120" s="1"/>
      <c r="B120" s="1"/>
      <c r="C120" s="1"/>
      <c r="D120" s="1"/>
      <c r="E120" s="1"/>
      <c r="F120" s="1" t="s">
        <v>119</v>
      </c>
      <c r="G120" s="2">
        <v>1192.79</v>
      </c>
      <c r="H120" s="3"/>
      <c r="I120" s="2">
        <v>1494.86</v>
      </c>
      <c r="J120" s="3"/>
      <c r="K120" s="2">
        <v>1259.49</v>
      </c>
      <c r="L120" s="3"/>
      <c r="M120" s="2">
        <v>1299.7</v>
      </c>
      <c r="N120" s="3"/>
      <c r="O120" s="2">
        <v>1392.31</v>
      </c>
      <c r="P120" s="3"/>
      <c r="Q120" s="2">
        <v>1334.97</v>
      </c>
      <c r="R120" s="3"/>
      <c r="S120" s="2">
        <v>1706.83</v>
      </c>
      <c r="T120" s="3"/>
      <c r="U120" s="2">
        <v>1495.58</v>
      </c>
      <c r="V120" s="3"/>
      <c r="W120" s="2">
        <v>1136.5</v>
      </c>
      <c r="X120" s="3"/>
      <c r="Y120" s="2">
        <v>1559.68</v>
      </c>
      <c r="Z120" s="3"/>
      <c r="AA120" s="2">
        <v>1399.8</v>
      </c>
      <c r="AB120" s="3"/>
      <c r="AC120" s="2">
        <v>1380.62</v>
      </c>
      <c r="AD120" s="3"/>
      <c r="AE120" s="2">
        <f t="shared" si="6"/>
        <v>16653.13</v>
      </c>
    </row>
    <row r="121" spans="1:31" x14ac:dyDescent="0.25">
      <c r="A121" s="1"/>
      <c r="B121" s="1"/>
      <c r="C121" s="1"/>
      <c r="D121" s="1"/>
      <c r="E121" s="1"/>
      <c r="F121" s="1" t="s">
        <v>120</v>
      </c>
      <c r="G121" s="2">
        <v>4983.9399999999996</v>
      </c>
      <c r="H121" s="3"/>
      <c r="I121" s="2">
        <v>1846.79</v>
      </c>
      <c r="J121" s="3"/>
      <c r="K121" s="2">
        <v>1275</v>
      </c>
      <c r="L121" s="3"/>
      <c r="M121" s="2">
        <v>1825.16</v>
      </c>
      <c r="N121" s="3"/>
      <c r="O121" s="2">
        <v>0</v>
      </c>
      <c r="P121" s="3"/>
      <c r="Q121" s="2">
        <v>2438.77</v>
      </c>
      <c r="R121" s="3"/>
      <c r="S121" s="2">
        <v>3256.58</v>
      </c>
      <c r="T121" s="3"/>
      <c r="U121" s="2">
        <v>1791.54</v>
      </c>
      <c r="V121" s="3"/>
      <c r="W121" s="2">
        <v>2981.04</v>
      </c>
      <c r="X121" s="3"/>
      <c r="Y121" s="2">
        <v>0</v>
      </c>
      <c r="Z121" s="3"/>
      <c r="AA121" s="2">
        <v>2090</v>
      </c>
      <c r="AB121" s="3"/>
      <c r="AC121" s="2">
        <v>2550</v>
      </c>
      <c r="AD121" s="3"/>
      <c r="AE121" s="2">
        <f t="shared" si="6"/>
        <v>25038.82</v>
      </c>
    </row>
    <row r="122" spans="1:31" x14ac:dyDescent="0.25">
      <c r="A122" s="1"/>
      <c r="B122" s="1"/>
      <c r="C122" s="1"/>
      <c r="D122" s="1"/>
      <c r="E122" s="1"/>
      <c r="F122" s="1" t="s">
        <v>121</v>
      </c>
      <c r="G122" s="2">
        <v>1110.79</v>
      </c>
      <c r="H122" s="3"/>
      <c r="I122" s="2">
        <v>2306.2199999999998</v>
      </c>
      <c r="J122" s="3"/>
      <c r="K122" s="2">
        <v>141.22999999999999</v>
      </c>
      <c r="L122" s="3"/>
      <c r="M122" s="2">
        <v>792.89</v>
      </c>
      <c r="N122" s="3"/>
      <c r="O122" s="2">
        <v>685.31</v>
      </c>
      <c r="P122" s="3"/>
      <c r="Q122" s="2">
        <v>124.99</v>
      </c>
      <c r="R122" s="3"/>
      <c r="S122" s="2">
        <v>293.58</v>
      </c>
      <c r="T122" s="3"/>
      <c r="U122" s="2">
        <v>190.01</v>
      </c>
      <c r="V122" s="3"/>
      <c r="W122" s="2">
        <v>117.84</v>
      </c>
      <c r="X122" s="3"/>
      <c r="Y122" s="2">
        <v>110.69</v>
      </c>
      <c r="Z122" s="3"/>
      <c r="AA122" s="2">
        <v>58.48</v>
      </c>
      <c r="AB122" s="3"/>
      <c r="AC122" s="2">
        <v>63.24</v>
      </c>
      <c r="AD122" s="3"/>
      <c r="AE122" s="2">
        <f t="shared" si="6"/>
        <v>5995.27</v>
      </c>
    </row>
    <row r="123" spans="1:31" x14ac:dyDescent="0.25">
      <c r="A123" s="1"/>
      <c r="B123" s="1"/>
      <c r="C123" s="1"/>
      <c r="D123" s="1"/>
      <c r="E123" s="1"/>
      <c r="F123" s="1" t="s">
        <v>122</v>
      </c>
      <c r="G123" s="2">
        <v>1972</v>
      </c>
      <c r="H123" s="3"/>
      <c r="I123" s="2">
        <v>1972</v>
      </c>
      <c r="J123" s="3"/>
      <c r="K123" s="2">
        <v>1972</v>
      </c>
      <c r="L123" s="3"/>
      <c r="M123" s="2">
        <v>1972</v>
      </c>
      <c r="N123" s="3"/>
      <c r="O123" s="2">
        <v>1972</v>
      </c>
      <c r="P123" s="3"/>
      <c r="Q123" s="2">
        <v>1972</v>
      </c>
      <c r="R123" s="3"/>
      <c r="S123" s="2">
        <v>0</v>
      </c>
      <c r="T123" s="3"/>
      <c r="U123" s="2">
        <v>0</v>
      </c>
      <c r="V123" s="3"/>
      <c r="W123" s="2">
        <v>5916</v>
      </c>
      <c r="X123" s="3"/>
      <c r="Y123" s="2">
        <v>1972</v>
      </c>
      <c r="Z123" s="3"/>
      <c r="AA123" s="2">
        <v>1972</v>
      </c>
      <c r="AB123" s="3"/>
      <c r="AC123" s="2">
        <v>0</v>
      </c>
      <c r="AD123" s="3"/>
      <c r="AE123" s="2">
        <f t="shared" si="6"/>
        <v>21692</v>
      </c>
    </row>
    <row r="124" spans="1:31" x14ac:dyDescent="0.25">
      <c r="A124" s="1"/>
      <c r="B124" s="1"/>
      <c r="C124" s="1"/>
      <c r="D124" s="1"/>
      <c r="E124" s="1"/>
      <c r="F124" s="1" t="s">
        <v>123</v>
      </c>
      <c r="G124" s="2">
        <v>40876.97</v>
      </c>
      <c r="H124" s="3"/>
      <c r="I124" s="2">
        <v>6600</v>
      </c>
      <c r="J124" s="3"/>
      <c r="K124" s="2">
        <v>1990.85</v>
      </c>
      <c r="L124" s="3"/>
      <c r="M124" s="2">
        <v>937</v>
      </c>
      <c r="N124" s="3"/>
      <c r="O124" s="2">
        <v>0</v>
      </c>
      <c r="P124" s="3"/>
      <c r="Q124" s="2">
        <v>670</v>
      </c>
      <c r="R124" s="3"/>
      <c r="S124" s="2">
        <v>248</v>
      </c>
      <c r="T124" s="3"/>
      <c r="U124" s="2">
        <v>0</v>
      </c>
      <c r="V124" s="3"/>
      <c r="W124" s="2">
        <v>0</v>
      </c>
      <c r="X124" s="3"/>
      <c r="Y124" s="2">
        <v>0</v>
      </c>
      <c r="Z124" s="3"/>
      <c r="AA124" s="2">
        <v>0</v>
      </c>
      <c r="AB124" s="3"/>
      <c r="AC124" s="2">
        <v>57651.19</v>
      </c>
      <c r="AD124" s="3"/>
      <c r="AE124" s="2">
        <f t="shared" si="6"/>
        <v>108974.01</v>
      </c>
    </row>
    <row r="125" spans="1:31" x14ac:dyDescent="0.25">
      <c r="A125" s="1"/>
      <c r="B125" s="1"/>
      <c r="C125" s="1"/>
      <c r="D125" s="1"/>
      <c r="E125" s="1"/>
      <c r="F125" s="1" t="s">
        <v>124</v>
      </c>
      <c r="G125" s="2">
        <v>0</v>
      </c>
      <c r="H125" s="3"/>
      <c r="I125" s="2">
        <v>0</v>
      </c>
      <c r="J125" s="3"/>
      <c r="K125" s="2">
        <v>0</v>
      </c>
      <c r="L125" s="3"/>
      <c r="M125" s="2">
        <v>2478.11</v>
      </c>
      <c r="N125" s="3"/>
      <c r="O125" s="2">
        <v>0</v>
      </c>
      <c r="P125" s="3"/>
      <c r="Q125" s="2">
        <v>0</v>
      </c>
      <c r="R125" s="3"/>
      <c r="S125" s="2">
        <v>0</v>
      </c>
      <c r="T125" s="3"/>
      <c r="U125" s="2">
        <v>3971.81</v>
      </c>
      <c r="V125" s="3"/>
      <c r="W125" s="2">
        <v>0</v>
      </c>
      <c r="X125" s="3"/>
      <c r="Y125" s="2">
        <v>2432.96</v>
      </c>
      <c r="Z125" s="3"/>
      <c r="AA125" s="2">
        <v>1506</v>
      </c>
      <c r="AB125" s="3"/>
      <c r="AC125" s="2">
        <v>368.63</v>
      </c>
      <c r="AD125" s="3"/>
      <c r="AE125" s="2">
        <f t="shared" si="6"/>
        <v>10757.51</v>
      </c>
    </row>
    <row r="126" spans="1:31" x14ac:dyDescent="0.25">
      <c r="A126" s="1"/>
      <c r="B126" s="1"/>
      <c r="C126" s="1"/>
      <c r="D126" s="1"/>
      <c r="E126" s="1"/>
      <c r="F126" s="1" t="s">
        <v>125</v>
      </c>
      <c r="G126" s="2">
        <v>200</v>
      </c>
      <c r="H126" s="3"/>
      <c r="I126" s="2">
        <v>500</v>
      </c>
      <c r="J126" s="3"/>
      <c r="K126" s="2">
        <v>300</v>
      </c>
      <c r="L126" s="3"/>
      <c r="M126" s="2">
        <v>300</v>
      </c>
      <c r="N126" s="3"/>
      <c r="O126" s="2">
        <v>800</v>
      </c>
      <c r="P126" s="3"/>
      <c r="Q126" s="2">
        <v>1743.53</v>
      </c>
      <c r="R126" s="3"/>
      <c r="S126" s="2">
        <v>0</v>
      </c>
      <c r="T126" s="3"/>
      <c r="U126" s="2">
        <v>0</v>
      </c>
      <c r="V126" s="3"/>
      <c r="W126" s="2">
        <v>0</v>
      </c>
      <c r="X126" s="3"/>
      <c r="Y126" s="2">
        <v>300</v>
      </c>
      <c r="Z126" s="3"/>
      <c r="AA126" s="2">
        <v>300</v>
      </c>
      <c r="AB126" s="3"/>
      <c r="AC126" s="2">
        <v>200</v>
      </c>
      <c r="AD126" s="3"/>
      <c r="AE126" s="2">
        <f t="shared" si="6"/>
        <v>4643.53</v>
      </c>
    </row>
    <row r="127" spans="1:31" x14ac:dyDescent="0.25">
      <c r="A127" s="1"/>
      <c r="B127" s="1"/>
      <c r="C127" s="1"/>
      <c r="D127" s="1"/>
      <c r="E127" s="1"/>
      <c r="F127" s="1" t="s">
        <v>126</v>
      </c>
      <c r="G127" s="2">
        <v>3028.1</v>
      </c>
      <c r="H127" s="3"/>
      <c r="I127" s="2">
        <v>3527.43</v>
      </c>
      <c r="J127" s="3"/>
      <c r="K127" s="2">
        <v>3648.31</v>
      </c>
      <c r="L127" s="3"/>
      <c r="M127" s="2">
        <v>13777.91</v>
      </c>
      <c r="N127" s="3"/>
      <c r="O127" s="2">
        <v>7893.83</v>
      </c>
      <c r="P127" s="3"/>
      <c r="Q127" s="2">
        <v>0</v>
      </c>
      <c r="R127" s="3"/>
      <c r="S127" s="2">
        <v>6930.78</v>
      </c>
      <c r="T127" s="3"/>
      <c r="U127" s="2">
        <v>3332.93</v>
      </c>
      <c r="V127" s="3"/>
      <c r="W127" s="2">
        <v>0</v>
      </c>
      <c r="X127" s="3"/>
      <c r="Y127" s="2">
        <v>2363.31</v>
      </c>
      <c r="Z127" s="3"/>
      <c r="AA127" s="2">
        <v>13467.98</v>
      </c>
      <c r="AB127" s="3"/>
      <c r="AC127" s="2">
        <v>2815.24</v>
      </c>
      <c r="AD127" s="3"/>
      <c r="AE127" s="2">
        <f t="shared" si="6"/>
        <v>60785.82</v>
      </c>
    </row>
    <row r="128" spans="1:31" x14ac:dyDescent="0.25">
      <c r="A128" s="1"/>
      <c r="B128" s="1"/>
      <c r="C128" s="1"/>
      <c r="D128" s="1"/>
      <c r="E128" s="1"/>
      <c r="F128" s="1" t="s">
        <v>127</v>
      </c>
      <c r="G128" s="2">
        <v>1365.9</v>
      </c>
      <c r="H128" s="3"/>
      <c r="I128" s="2">
        <v>0</v>
      </c>
      <c r="J128" s="3"/>
      <c r="K128" s="2">
        <v>0</v>
      </c>
      <c r="L128" s="3"/>
      <c r="M128" s="2">
        <v>0</v>
      </c>
      <c r="N128" s="3"/>
      <c r="O128" s="2">
        <v>0</v>
      </c>
      <c r="P128" s="3"/>
      <c r="Q128" s="2">
        <v>0</v>
      </c>
      <c r="R128" s="3"/>
      <c r="S128" s="2">
        <v>0</v>
      </c>
      <c r="T128" s="3"/>
      <c r="U128" s="2">
        <v>0</v>
      </c>
      <c r="V128" s="3"/>
      <c r="W128" s="2">
        <v>0</v>
      </c>
      <c r="X128" s="3"/>
      <c r="Y128" s="2">
        <v>0</v>
      </c>
      <c r="Z128" s="3"/>
      <c r="AA128" s="2">
        <v>0</v>
      </c>
      <c r="AB128" s="3"/>
      <c r="AC128" s="2">
        <v>0</v>
      </c>
      <c r="AD128" s="3"/>
      <c r="AE128" s="2">
        <f t="shared" si="6"/>
        <v>1365.9</v>
      </c>
    </row>
    <row r="129" spans="1:31" x14ac:dyDescent="0.25">
      <c r="A129" s="1"/>
      <c r="B129" s="1"/>
      <c r="C129" s="1"/>
      <c r="D129" s="1"/>
      <c r="E129" s="1"/>
      <c r="F129" s="1" t="s">
        <v>128</v>
      </c>
      <c r="G129" s="2">
        <v>12057.76</v>
      </c>
      <c r="H129" s="3"/>
      <c r="I129" s="2">
        <v>12057.8</v>
      </c>
      <c r="J129" s="3"/>
      <c r="K129" s="2">
        <v>10661.41</v>
      </c>
      <c r="L129" s="3"/>
      <c r="M129" s="2">
        <v>10869.34</v>
      </c>
      <c r="N129" s="3"/>
      <c r="O129" s="2">
        <v>12612.91</v>
      </c>
      <c r="P129" s="3"/>
      <c r="Q129" s="2">
        <v>12612.91</v>
      </c>
      <c r="R129" s="3"/>
      <c r="S129" s="2">
        <v>12612.91</v>
      </c>
      <c r="T129" s="3"/>
      <c r="U129" s="2">
        <v>12612.91</v>
      </c>
      <c r="V129" s="3"/>
      <c r="W129" s="2">
        <v>13502.91</v>
      </c>
      <c r="X129" s="3"/>
      <c r="Y129" s="2">
        <v>12612.91</v>
      </c>
      <c r="Z129" s="3"/>
      <c r="AA129" s="2">
        <v>12612.91</v>
      </c>
      <c r="AB129" s="3"/>
      <c r="AC129" s="2">
        <v>12612.91</v>
      </c>
      <c r="AD129" s="3"/>
      <c r="AE129" s="2">
        <f t="shared" si="6"/>
        <v>147439.59</v>
      </c>
    </row>
    <row r="130" spans="1:31" x14ac:dyDescent="0.25">
      <c r="A130" s="1"/>
      <c r="B130" s="1"/>
      <c r="C130" s="1"/>
      <c r="D130" s="1"/>
      <c r="E130" s="1"/>
      <c r="F130" s="1" t="s">
        <v>129</v>
      </c>
      <c r="G130" s="2">
        <v>0</v>
      </c>
      <c r="H130" s="3"/>
      <c r="I130" s="2">
        <v>0</v>
      </c>
      <c r="J130" s="3"/>
      <c r="K130" s="2">
        <v>0</v>
      </c>
      <c r="L130" s="3"/>
      <c r="M130" s="2">
        <v>0</v>
      </c>
      <c r="N130" s="3"/>
      <c r="O130" s="2">
        <v>0</v>
      </c>
      <c r="P130" s="3"/>
      <c r="Q130" s="2">
        <v>0</v>
      </c>
      <c r="R130" s="3"/>
      <c r="S130" s="2">
        <v>0</v>
      </c>
      <c r="T130" s="3"/>
      <c r="U130" s="2">
        <v>0</v>
      </c>
      <c r="V130" s="3"/>
      <c r="W130" s="2">
        <v>0</v>
      </c>
      <c r="X130" s="3"/>
      <c r="Y130" s="2">
        <v>2299.4899999999998</v>
      </c>
      <c r="Z130" s="3"/>
      <c r="AA130" s="2">
        <v>0</v>
      </c>
      <c r="AB130" s="3"/>
      <c r="AC130" s="2">
        <v>0</v>
      </c>
      <c r="AD130" s="3"/>
      <c r="AE130" s="2">
        <f t="shared" si="6"/>
        <v>2299.4899999999998</v>
      </c>
    </row>
    <row r="131" spans="1:31" x14ac:dyDescent="0.25">
      <c r="A131" s="1"/>
      <c r="B131" s="1"/>
      <c r="C131" s="1"/>
      <c r="D131" s="1"/>
      <c r="E131" s="1"/>
      <c r="F131" s="1" t="s">
        <v>130</v>
      </c>
      <c r="G131" s="2">
        <v>0</v>
      </c>
      <c r="H131" s="3"/>
      <c r="I131" s="2">
        <v>0</v>
      </c>
      <c r="J131" s="3"/>
      <c r="K131" s="2">
        <v>1200</v>
      </c>
      <c r="L131" s="3"/>
      <c r="M131" s="2">
        <v>350</v>
      </c>
      <c r="N131" s="3"/>
      <c r="O131" s="2">
        <v>0</v>
      </c>
      <c r="P131" s="3"/>
      <c r="Q131" s="2">
        <v>0</v>
      </c>
      <c r="R131" s="3"/>
      <c r="S131" s="2">
        <v>0</v>
      </c>
      <c r="T131" s="3"/>
      <c r="U131" s="2">
        <v>0</v>
      </c>
      <c r="V131" s="3"/>
      <c r="W131" s="2">
        <v>0</v>
      </c>
      <c r="X131" s="3"/>
      <c r="Y131" s="2">
        <v>0</v>
      </c>
      <c r="Z131" s="3"/>
      <c r="AA131" s="2">
        <v>0</v>
      </c>
      <c r="AB131" s="3"/>
      <c r="AC131" s="2">
        <v>0</v>
      </c>
      <c r="AD131" s="3"/>
      <c r="AE131" s="2">
        <f t="shared" si="6"/>
        <v>1550</v>
      </c>
    </row>
    <row r="132" spans="1:31" x14ac:dyDescent="0.25">
      <c r="A132" s="1"/>
      <c r="B132" s="1"/>
      <c r="C132" s="1"/>
      <c r="D132" s="1"/>
      <c r="E132" s="1"/>
      <c r="F132" s="1" t="s">
        <v>131</v>
      </c>
      <c r="G132" s="2">
        <v>0</v>
      </c>
      <c r="H132" s="3"/>
      <c r="I132" s="2">
        <v>0</v>
      </c>
      <c r="J132" s="3"/>
      <c r="K132" s="2">
        <v>0</v>
      </c>
      <c r="L132" s="3"/>
      <c r="M132" s="2">
        <v>0</v>
      </c>
      <c r="N132" s="3"/>
      <c r="O132" s="2">
        <v>515.42999999999995</v>
      </c>
      <c r="P132" s="3"/>
      <c r="Q132" s="2">
        <v>0</v>
      </c>
      <c r="R132" s="3"/>
      <c r="S132" s="2">
        <v>0</v>
      </c>
      <c r="T132" s="3"/>
      <c r="U132" s="2">
        <v>0</v>
      </c>
      <c r="V132" s="3"/>
      <c r="W132" s="2">
        <v>0</v>
      </c>
      <c r="X132" s="3"/>
      <c r="Y132" s="2">
        <v>0</v>
      </c>
      <c r="Z132" s="3"/>
      <c r="AA132" s="2">
        <v>0</v>
      </c>
      <c r="AB132" s="3"/>
      <c r="AC132" s="2">
        <v>0</v>
      </c>
      <c r="AD132" s="3"/>
      <c r="AE132" s="2">
        <f t="shared" si="6"/>
        <v>515.42999999999995</v>
      </c>
    </row>
    <row r="133" spans="1:31" ht="15.75" thickBot="1" x14ac:dyDescent="0.3">
      <c r="A133" s="1"/>
      <c r="B133" s="1"/>
      <c r="C133" s="1"/>
      <c r="D133" s="1"/>
      <c r="E133" s="1"/>
      <c r="F133" s="1" t="s">
        <v>132</v>
      </c>
      <c r="G133" s="4">
        <v>0</v>
      </c>
      <c r="H133" s="3"/>
      <c r="I133" s="4">
        <v>0</v>
      </c>
      <c r="J133" s="3"/>
      <c r="K133" s="4">
        <v>0</v>
      </c>
      <c r="L133" s="3"/>
      <c r="M133" s="4">
        <v>0</v>
      </c>
      <c r="N133" s="3"/>
      <c r="O133" s="4">
        <v>0</v>
      </c>
      <c r="P133" s="3"/>
      <c r="Q133" s="4">
        <v>0</v>
      </c>
      <c r="R133" s="3"/>
      <c r="S133" s="4">
        <v>0</v>
      </c>
      <c r="T133" s="3"/>
      <c r="U133" s="4">
        <v>285.94</v>
      </c>
      <c r="V133" s="3"/>
      <c r="W133" s="4">
        <v>-285.94</v>
      </c>
      <c r="X133" s="3"/>
      <c r="Y133" s="4">
        <v>0</v>
      </c>
      <c r="Z133" s="3"/>
      <c r="AA133" s="4">
        <v>0</v>
      </c>
      <c r="AB133" s="3"/>
      <c r="AC133" s="4">
        <v>0</v>
      </c>
      <c r="AD133" s="3"/>
      <c r="AE133" s="4">
        <f t="shared" si="6"/>
        <v>0</v>
      </c>
    </row>
    <row r="134" spans="1:31" ht="15.75" thickBot="1" x14ac:dyDescent="0.3">
      <c r="A134" s="1"/>
      <c r="B134" s="1"/>
      <c r="C134" s="1"/>
      <c r="D134" s="1"/>
      <c r="E134" s="1" t="s">
        <v>133</v>
      </c>
      <c r="F134" s="1"/>
      <c r="G134" s="7">
        <f>ROUND(SUM(G102:G133),5)</f>
        <v>154038.49</v>
      </c>
      <c r="H134" s="3"/>
      <c r="I134" s="7">
        <f>ROUND(SUM(I102:I133),5)</f>
        <v>131542.35</v>
      </c>
      <c r="J134" s="3"/>
      <c r="K134" s="7">
        <f>ROUND(SUM(K102:K133),5)</f>
        <v>113679.27</v>
      </c>
      <c r="L134" s="3"/>
      <c r="M134" s="7">
        <f>ROUND(SUM(M102:M133),5)</f>
        <v>128547.53</v>
      </c>
      <c r="N134" s="3"/>
      <c r="O134" s="7">
        <f>ROUND(SUM(O102:O133),5)</f>
        <v>122885.47</v>
      </c>
      <c r="P134" s="3"/>
      <c r="Q134" s="7">
        <f>ROUND(SUM(Q102:Q133),5)</f>
        <v>111090.77</v>
      </c>
      <c r="R134" s="3"/>
      <c r="S134" s="7">
        <f>ROUND(SUM(S102:S133),5)</f>
        <v>123139.25</v>
      </c>
      <c r="T134" s="3"/>
      <c r="U134" s="7">
        <f>ROUND(SUM(U102:U133),5)</f>
        <v>111247.69</v>
      </c>
      <c r="V134" s="3"/>
      <c r="W134" s="7">
        <f>ROUND(SUM(W102:W133),5)</f>
        <v>116059.18</v>
      </c>
      <c r="X134" s="3"/>
      <c r="Y134" s="7">
        <f>ROUND(SUM(Y102:Y133),5)</f>
        <v>110280.68</v>
      </c>
      <c r="Z134" s="3"/>
      <c r="AA134" s="7">
        <f>ROUND(SUM(AA102:AA133),5)</f>
        <v>122876.79</v>
      </c>
      <c r="AB134" s="3"/>
      <c r="AC134" s="7">
        <f>ROUND(SUM(AC102:AC133),5)</f>
        <v>167255.67999999999</v>
      </c>
      <c r="AD134" s="3"/>
      <c r="AE134" s="7">
        <f t="shared" si="6"/>
        <v>1512643.15</v>
      </c>
    </row>
    <row r="135" spans="1:31" ht="15.75" thickBot="1" x14ac:dyDescent="0.3">
      <c r="A135" s="1"/>
      <c r="B135" s="1"/>
      <c r="C135" s="1"/>
      <c r="D135" s="1" t="s">
        <v>134</v>
      </c>
      <c r="E135" s="1"/>
      <c r="F135" s="1"/>
      <c r="G135" s="5">
        <f>ROUND(G27+G54+G63+G75+G87+G95+G101+G134,5)</f>
        <v>444382.89</v>
      </c>
      <c r="H135" s="3"/>
      <c r="I135" s="5">
        <f>ROUND(I27+I54+I63+I75+I87+I95+I101+I134,5)</f>
        <v>459315.95</v>
      </c>
      <c r="J135" s="3"/>
      <c r="K135" s="5">
        <f>ROUND(K27+K54+K63+K75+K87+K95+K101+K134,5)</f>
        <v>404939.46</v>
      </c>
      <c r="L135" s="3"/>
      <c r="M135" s="5">
        <f>ROUND(M27+M54+M63+M75+M87+M95+M101+M134,5)</f>
        <v>429882.91</v>
      </c>
      <c r="N135" s="3"/>
      <c r="O135" s="5">
        <f>ROUND(O27+O54+O63+O75+O87+O95+O101+O134,5)</f>
        <v>426524.81</v>
      </c>
      <c r="P135" s="3"/>
      <c r="Q135" s="5">
        <f>ROUND(Q27+Q54+Q63+Q75+Q87+Q95+Q101+Q134,5)</f>
        <v>400240.72</v>
      </c>
      <c r="R135" s="3"/>
      <c r="S135" s="5">
        <f>ROUND(S27+S54+S63+S75+S87+S95+S101+S134,5)</f>
        <v>441680.11</v>
      </c>
      <c r="T135" s="3"/>
      <c r="U135" s="5">
        <f>ROUND(U27+U54+U63+U75+U87+U95+U101+U134,5)</f>
        <v>414560.5</v>
      </c>
      <c r="V135" s="3"/>
      <c r="W135" s="5">
        <f>ROUND(W27+W54+W63+W75+W87+W95+W101+W134,5)</f>
        <v>403739.63</v>
      </c>
      <c r="X135" s="3"/>
      <c r="Y135" s="5">
        <f>ROUND(Y27+Y54+Y63+Y75+Y87+Y95+Y101+Y134,5)</f>
        <v>427312.07</v>
      </c>
      <c r="Z135" s="3"/>
      <c r="AA135" s="5">
        <f>ROUND(AA27+AA54+AA63+AA75+AA87+AA95+AA101+AA134,5)</f>
        <v>437566.67</v>
      </c>
      <c r="AB135" s="3"/>
      <c r="AC135" s="5">
        <f>ROUND(AC27+AC54+AC63+AC75+AC87+AC95+AC101+AC134,5)</f>
        <v>484692.9</v>
      </c>
      <c r="AD135" s="3"/>
      <c r="AE135" s="5">
        <f t="shared" si="6"/>
        <v>5174838.62</v>
      </c>
    </row>
    <row r="136" spans="1:31" x14ac:dyDescent="0.25">
      <c r="A136" s="1"/>
      <c r="B136" s="1" t="s">
        <v>135</v>
      </c>
      <c r="C136" s="1"/>
      <c r="D136" s="1"/>
      <c r="E136" s="1"/>
      <c r="F136" s="1"/>
      <c r="G136" s="2">
        <f>ROUND(G2+G26-G135,5)</f>
        <v>20712.38</v>
      </c>
      <c r="H136" s="3"/>
      <c r="I136" s="2">
        <f>ROUND(I2+I26-I135,5)</f>
        <v>51489.4</v>
      </c>
      <c r="J136" s="3"/>
      <c r="K136" s="2">
        <f>ROUND(K2+K26-K135,5)</f>
        <v>66895.55</v>
      </c>
      <c r="L136" s="3"/>
      <c r="M136" s="2">
        <f>ROUND(M2+M26-M135,5)</f>
        <v>53394.21</v>
      </c>
      <c r="N136" s="3"/>
      <c r="O136" s="2">
        <f>ROUND(O2+O26-O135,5)</f>
        <v>66188.86</v>
      </c>
      <c r="P136" s="3"/>
      <c r="Q136" s="2">
        <f>ROUND(Q2+Q26-Q135,5)</f>
        <v>38181.81</v>
      </c>
      <c r="R136" s="3"/>
      <c r="S136" s="2">
        <f>ROUND(S2+S26-S135,5)</f>
        <v>-2573.6799999999998</v>
      </c>
      <c r="T136" s="3"/>
      <c r="U136" s="2">
        <f>ROUND(U2+U26-U135,5)</f>
        <v>22111.77</v>
      </c>
      <c r="V136" s="3"/>
      <c r="W136" s="2">
        <f>ROUND(W2+W26-W135,5)</f>
        <v>78252.89</v>
      </c>
      <c r="X136" s="3"/>
      <c r="Y136" s="2">
        <f>ROUND(Y2+Y26-Y135,5)</f>
        <v>29888.01</v>
      </c>
      <c r="Z136" s="3"/>
      <c r="AA136" s="2">
        <f>ROUND(AA2+AA26-AA135,5)</f>
        <v>66630.98</v>
      </c>
      <c r="AB136" s="3"/>
      <c r="AC136" s="2">
        <f>ROUND(AC2+AC26-AC135,5)</f>
        <v>33279.47</v>
      </c>
      <c r="AD136" s="3"/>
      <c r="AE136" s="2">
        <f t="shared" si="6"/>
        <v>524451.65</v>
      </c>
    </row>
    <row r="137" spans="1:31" x14ac:dyDescent="0.25">
      <c r="A137" s="1"/>
      <c r="B137" s="1" t="s">
        <v>136</v>
      </c>
      <c r="C137" s="1"/>
      <c r="D137" s="1"/>
      <c r="E137" s="1"/>
      <c r="F137" s="1"/>
      <c r="G137" s="2"/>
      <c r="H137" s="3"/>
      <c r="I137" s="2"/>
      <c r="J137" s="3"/>
      <c r="K137" s="2"/>
      <c r="L137" s="3"/>
      <c r="M137" s="2"/>
      <c r="N137" s="3"/>
      <c r="O137" s="2"/>
      <c r="P137" s="3"/>
      <c r="Q137" s="2"/>
      <c r="R137" s="3"/>
      <c r="S137" s="2"/>
      <c r="T137" s="3"/>
      <c r="U137" s="2"/>
      <c r="V137" s="3"/>
      <c r="W137" s="2"/>
      <c r="X137" s="3"/>
      <c r="Y137" s="2"/>
      <c r="Z137" s="3"/>
      <c r="AA137" s="2"/>
      <c r="AB137" s="3"/>
      <c r="AC137" s="2"/>
      <c r="AD137" s="3"/>
      <c r="AE137" s="2"/>
    </row>
    <row r="138" spans="1:31" x14ac:dyDescent="0.25">
      <c r="A138" s="1"/>
      <c r="B138" s="1"/>
      <c r="C138" s="1" t="s">
        <v>137</v>
      </c>
      <c r="D138" s="1"/>
      <c r="E138" s="1"/>
      <c r="F138" s="1"/>
      <c r="G138" s="2"/>
      <c r="H138" s="3"/>
      <c r="I138" s="2"/>
      <c r="J138" s="3"/>
      <c r="K138" s="2"/>
      <c r="L138" s="3"/>
      <c r="M138" s="2"/>
      <c r="N138" s="3"/>
      <c r="O138" s="2"/>
      <c r="P138" s="3"/>
      <c r="Q138" s="2"/>
      <c r="R138" s="3"/>
      <c r="S138" s="2"/>
      <c r="T138" s="3"/>
      <c r="U138" s="2"/>
      <c r="V138" s="3"/>
      <c r="W138" s="2"/>
      <c r="X138" s="3"/>
      <c r="Y138" s="2"/>
      <c r="Z138" s="3"/>
      <c r="AA138" s="2"/>
      <c r="AB138" s="3"/>
      <c r="AC138" s="2"/>
      <c r="AD138" s="3"/>
      <c r="AE138" s="2"/>
    </row>
    <row r="139" spans="1:31" x14ac:dyDescent="0.25">
      <c r="A139" s="1"/>
      <c r="B139" s="1"/>
      <c r="C139" s="1"/>
      <c r="D139" s="1" t="s">
        <v>138</v>
      </c>
      <c r="E139" s="1"/>
      <c r="F139" s="1"/>
      <c r="G139" s="2"/>
      <c r="H139" s="3"/>
      <c r="I139" s="2"/>
      <c r="J139" s="3"/>
      <c r="K139" s="2"/>
      <c r="L139" s="3"/>
      <c r="M139" s="2"/>
      <c r="N139" s="3"/>
      <c r="O139" s="2"/>
      <c r="P139" s="3"/>
      <c r="Q139" s="2"/>
      <c r="R139" s="3"/>
      <c r="S139" s="2"/>
      <c r="T139" s="3"/>
      <c r="U139" s="2"/>
      <c r="V139" s="3"/>
      <c r="W139" s="2"/>
      <c r="X139" s="3"/>
      <c r="Y139" s="2"/>
      <c r="Z139" s="3"/>
      <c r="AA139" s="2"/>
      <c r="AB139" s="3"/>
      <c r="AC139" s="2"/>
      <c r="AD139" s="3"/>
      <c r="AE139" s="2"/>
    </row>
    <row r="140" spans="1:31" x14ac:dyDescent="0.25">
      <c r="A140" s="1"/>
      <c r="B140" s="1"/>
      <c r="C140" s="1"/>
      <c r="D140" s="1"/>
      <c r="E140" s="1" t="s">
        <v>139</v>
      </c>
      <c r="F140" s="1"/>
      <c r="G140" s="2">
        <v>31915</v>
      </c>
      <c r="H140" s="3"/>
      <c r="I140" s="2">
        <v>31915</v>
      </c>
      <c r="J140" s="3"/>
      <c r="K140" s="2">
        <v>31915</v>
      </c>
      <c r="L140" s="3"/>
      <c r="M140" s="2">
        <v>34574.47</v>
      </c>
      <c r="N140" s="3"/>
      <c r="O140" s="2">
        <v>34574.47</v>
      </c>
      <c r="P140" s="3"/>
      <c r="Q140" s="2">
        <v>34574.47</v>
      </c>
      <c r="R140" s="3"/>
      <c r="S140" s="2">
        <v>34574.47</v>
      </c>
      <c r="T140" s="3"/>
      <c r="U140" s="2">
        <v>34574.47</v>
      </c>
      <c r="V140" s="3"/>
      <c r="W140" s="2">
        <v>34574.47</v>
      </c>
      <c r="X140" s="3"/>
      <c r="Y140" s="2">
        <v>34574.47</v>
      </c>
      <c r="Z140" s="3"/>
      <c r="AA140" s="2">
        <v>34574.47</v>
      </c>
      <c r="AB140" s="3"/>
      <c r="AC140" s="2">
        <v>34574.47</v>
      </c>
      <c r="AD140" s="3"/>
      <c r="AE140" s="2">
        <f t="shared" ref="AE140:AE146" si="7">ROUND(SUM(G140:AC140),5)</f>
        <v>406915.23</v>
      </c>
    </row>
    <row r="141" spans="1:31" ht="15.75" thickBot="1" x14ac:dyDescent="0.3">
      <c r="A141" s="1"/>
      <c r="B141" s="1"/>
      <c r="C141" s="1"/>
      <c r="D141" s="1"/>
      <c r="E141" s="1" t="s">
        <v>140</v>
      </c>
      <c r="F141" s="1"/>
      <c r="G141" s="6">
        <v>6055.33</v>
      </c>
      <c r="H141" s="3"/>
      <c r="I141" s="6">
        <v>6055.33</v>
      </c>
      <c r="J141" s="3"/>
      <c r="K141" s="6">
        <v>6055.33</v>
      </c>
      <c r="L141" s="3"/>
      <c r="M141" s="6">
        <v>3730.38</v>
      </c>
      <c r="N141" s="3"/>
      <c r="O141" s="6">
        <v>6146.67</v>
      </c>
      <c r="P141" s="3"/>
      <c r="Q141" s="6">
        <v>6146.67</v>
      </c>
      <c r="R141" s="3"/>
      <c r="S141" s="6">
        <v>6146.67</v>
      </c>
      <c r="T141" s="3"/>
      <c r="U141" s="6">
        <v>6146.67</v>
      </c>
      <c r="V141" s="3"/>
      <c r="W141" s="6">
        <v>6146.67</v>
      </c>
      <c r="X141" s="3"/>
      <c r="Y141" s="6">
        <v>6088.13</v>
      </c>
      <c r="Z141" s="3"/>
      <c r="AA141" s="6">
        <v>6088.13</v>
      </c>
      <c r="AB141" s="3"/>
      <c r="AC141" s="6">
        <v>6088.13</v>
      </c>
      <c r="AD141" s="3"/>
      <c r="AE141" s="6">
        <f t="shared" si="7"/>
        <v>70894.11</v>
      </c>
    </row>
    <row r="142" spans="1:31" x14ac:dyDescent="0.25">
      <c r="A142" s="1"/>
      <c r="B142" s="1"/>
      <c r="C142" s="1"/>
      <c r="D142" s="1" t="s">
        <v>141</v>
      </c>
      <c r="E142" s="1"/>
      <c r="F142" s="1"/>
      <c r="G142" s="2">
        <f>ROUND(SUM(G139:G141),5)</f>
        <v>37970.33</v>
      </c>
      <c r="H142" s="3"/>
      <c r="I142" s="2">
        <f>ROUND(SUM(I139:I141),5)</f>
        <v>37970.33</v>
      </c>
      <c r="J142" s="3"/>
      <c r="K142" s="2">
        <f>ROUND(SUM(K139:K141),5)</f>
        <v>37970.33</v>
      </c>
      <c r="L142" s="3"/>
      <c r="M142" s="2">
        <f>ROUND(SUM(M139:M141),5)</f>
        <v>38304.85</v>
      </c>
      <c r="N142" s="3"/>
      <c r="O142" s="2">
        <f>ROUND(SUM(O139:O141),5)</f>
        <v>40721.14</v>
      </c>
      <c r="P142" s="3"/>
      <c r="Q142" s="2">
        <f>ROUND(SUM(Q139:Q141),5)</f>
        <v>40721.14</v>
      </c>
      <c r="R142" s="3"/>
      <c r="S142" s="2">
        <f>ROUND(SUM(S139:S141),5)</f>
        <v>40721.14</v>
      </c>
      <c r="T142" s="3"/>
      <c r="U142" s="2">
        <f>ROUND(SUM(U139:U141),5)</f>
        <v>40721.14</v>
      </c>
      <c r="V142" s="3"/>
      <c r="W142" s="2">
        <f>ROUND(SUM(W139:W141),5)</f>
        <v>40721.14</v>
      </c>
      <c r="X142" s="3"/>
      <c r="Y142" s="2">
        <f>ROUND(SUM(Y139:Y141),5)</f>
        <v>40662.6</v>
      </c>
      <c r="Z142" s="3"/>
      <c r="AA142" s="2">
        <f>ROUND(SUM(AA139:AA141),5)</f>
        <v>40662.6</v>
      </c>
      <c r="AB142" s="3"/>
      <c r="AC142" s="2">
        <f>ROUND(SUM(AC139:AC141),5)</f>
        <v>40662.6</v>
      </c>
      <c r="AD142" s="3"/>
      <c r="AE142" s="2">
        <f t="shared" si="7"/>
        <v>477809.34</v>
      </c>
    </row>
    <row r="143" spans="1:31" ht="15.75" thickBot="1" x14ac:dyDescent="0.3">
      <c r="A143" s="1"/>
      <c r="B143" s="1"/>
      <c r="C143" s="1"/>
      <c r="D143" s="1" t="s">
        <v>142</v>
      </c>
      <c r="E143" s="1"/>
      <c r="F143" s="1"/>
      <c r="G143" s="4">
        <v>0</v>
      </c>
      <c r="H143" s="3"/>
      <c r="I143" s="4">
        <v>0</v>
      </c>
      <c r="J143" s="3"/>
      <c r="K143" s="4">
        <v>0</v>
      </c>
      <c r="L143" s="3"/>
      <c r="M143" s="4">
        <v>0</v>
      </c>
      <c r="N143" s="3"/>
      <c r="O143" s="4">
        <v>0</v>
      </c>
      <c r="P143" s="3"/>
      <c r="Q143" s="4">
        <v>1321</v>
      </c>
      <c r="R143" s="3"/>
      <c r="S143" s="4">
        <v>0</v>
      </c>
      <c r="T143" s="3"/>
      <c r="U143" s="4">
        <v>0</v>
      </c>
      <c r="V143" s="3"/>
      <c r="W143" s="4">
        <v>0</v>
      </c>
      <c r="X143" s="3"/>
      <c r="Y143" s="4">
        <v>0</v>
      </c>
      <c r="Z143" s="3"/>
      <c r="AA143" s="4">
        <v>0</v>
      </c>
      <c r="AB143" s="3"/>
      <c r="AC143" s="4">
        <v>0</v>
      </c>
      <c r="AD143" s="3"/>
      <c r="AE143" s="4">
        <f t="shared" si="7"/>
        <v>1321</v>
      </c>
    </row>
    <row r="144" spans="1:31" ht="15.75" thickBot="1" x14ac:dyDescent="0.3">
      <c r="A144" s="1"/>
      <c r="B144" s="1"/>
      <c r="C144" s="1" t="s">
        <v>143</v>
      </c>
      <c r="D144" s="1"/>
      <c r="E144" s="1"/>
      <c r="F144" s="1"/>
      <c r="G144" s="7">
        <f>ROUND(G138+SUM(G142:G143),5)</f>
        <v>37970.33</v>
      </c>
      <c r="H144" s="3"/>
      <c r="I144" s="7">
        <f>ROUND(I138+SUM(I142:I143),5)</f>
        <v>37970.33</v>
      </c>
      <c r="J144" s="3"/>
      <c r="K144" s="7">
        <f>ROUND(K138+SUM(K142:K143),5)</f>
        <v>37970.33</v>
      </c>
      <c r="L144" s="3"/>
      <c r="M144" s="7">
        <f>ROUND(M138+SUM(M142:M143),5)</f>
        <v>38304.85</v>
      </c>
      <c r="N144" s="3"/>
      <c r="O144" s="7">
        <f>ROUND(O138+SUM(O142:O143),5)</f>
        <v>40721.14</v>
      </c>
      <c r="P144" s="3"/>
      <c r="Q144" s="7">
        <f>ROUND(Q138+SUM(Q142:Q143),5)</f>
        <v>42042.14</v>
      </c>
      <c r="R144" s="3"/>
      <c r="S144" s="7">
        <f>ROUND(S138+SUM(S142:S143),5)</f>
        <v>40721.14</v>
      </c>
      <c r="T144" s="3"/>
      <c r="U144" s="7">
        <f>ROUND(U138+SUM(U142:U143),5)</f>
        <v>40721.14</v>
      </c>
      <c r="V144" s="3"/>
      <c r="W144" s="7">
        <f>ROUND(W138+SUM(W142:W143),5)</f>
        <v>40721.14</v>
      </c>
      <c r="X144" s="3"/>
      <c r="Y144" s="7">
        <f>ROUND(Y138+SUM(Y142:Y143),5)</f>
        <v>40662.6</v>
      </c>
      <c r="Z144" s="3"/>
      <c r="AA144" s="7">
        <f>ROUND(AA138+SUM(AA142:AA143),5)</f>
        <v>40662.6</v>
      </c>
      <c r="AB144" s="3"/>
      <c r="AC144" s="7">
        <f>ROUND(AC138+SUM(AC142:AC143),5)</f>
        <v>40662.6</v>
      </c>
      <c r="AD144" s="3"/>
      <c r="AE144" s="7">
        <f t="shared" si="7"/>
        <v>479130.34</v>
      </c>
    </row>
    <row r="145" spans="1:31" ht="15.75" thickBot="1" x14ac:dyDescent="0.3">
      <c r="A145" s="1"/>
      <c r="B145" s="1" t="s">
        <v>144</v>
      </c>
      <c r="C145" s="1"/>
      <c r="D145" s="1"/>
      <c r="E145" s="1"/>
      <c r="F145" s="1"/>
      <c r="G145" s="7">
        <f>ROUND(G137-G144,5)</f>
        <v>-37970.33</v>
      </c>
      <c r="H145" s="3"/>
      <c r="I145" s="7">
        <f>ROUND(I137-I144,5)</f>
        <v>-37970.33</v>
      </c>
      <c r="J145" s="3"/>
      <c r="K145" s="7">
        <f>ROUND(K137-K144,5)</f>
        <v>-37970.33</v>
      </c>
      <c r="L145" s="3"/>
      <c r="M145" s="7">
        <f>ROUND(M137-M144,5)</f>
        <v>-38304.85</v>
      </c>
      <c r="N145" s="3"/>
      <c r="O145" s="7">
        <f>ROUND(O137-O144,5)</f>
        <v>-40721.14</v>
      </c>
      <c r="P145" s="3"/>
      <c r="Q145" s="7">
        <f>ROUND(Q137-Q144,5)</f>
        <v>-42042.14</v>
      </c>
      <c r="R145" s="3"/>
      <c r="S145" s="7">
        <f>ROUND(S137-S144,5)</f>
        <v>-40721.14</v>
      </c>
      <c r="T145" s="3"/>
      <c r="U145" s="7">
        <f>ROUND(U137-U144,5)</f>
        <v>-40721.14</v>
      </c>
      <c r="V145" s="3"/>
      <c r="W145" s="7">
        <f>ROUND(W137-W144,5)</f>
        <v>-40721.14</v>
      </c>
      <c r="X145" s="3"/>
      <c r="Y145" s="7">
        <f>ROUND(Y137-Y144,5)</f>
        <v>-40662.6</v>
      </c>
      <c r="Z145" s="3"/>
      <c r="AA145" s="7">
        <f>ROUND(AA137-AA144,5)</f>
        <v>-40662.6</v>
      </c>
      <c r="AB145" s="3"/>
      <c r="AC145" s="7">
        <f>ROUND(AC137-AC144,5)</f>
        <v>-40662.6</v>
      </c>
      <c r="AD145" s="3"/>
      <c r="AE145" s="7">
        <f t="shared" si="7"/>
        <v>-479130.34</v>
      </c>
    </row>
    <row r="146" spans="1:31" s="9" customFormat="1" ht="12" thickBot="1" x14ac:dyDescent="0.25">
      <c r="A146" s="1" t="s">
        <v>145</v>
      </c>
      <c r="B146" s="1"/>
      <c r="C146" s="1"/>
      <c r="D146" s="1"/>
      <c r="E146" s="1"/>
      <c r="F146" s="1"/>
      <c r="G146" s="8">
        <f>ROUND(G136+G145,5)</f>
        <v>-17257.95</v>
      </c>
      <c r="H146" s="1"/>
      <c r="I146" s="8">
        <f>ROUND(I136+I145,5)</f>
        <v>13519.07</v>
      </c>
      <c r="J146" s="1"/>
      <c r="K146" s="8">
        <f>ROUND(K136+K145,5)</f>
        <v>28925.22</v>
      </c>
      <c r="L146" s="1"/>
      <c r="M146" s="8">
        <f>ROUND(M136+M145,5)</f>
        <v>15089.36</v>
      </c>
      <c r="N146" s="1"/>
      <c r="O146" s="8">
        <f>ROUND(O136+O145,5)</f>
        <v>25467.72</v>
      </c>
      <c r="P146" s="1"/>
      <c r="Q146" s="8">
        <f>ROUND(Q136+Q145,5)</f>
        <v>-3860.33</v>
      </c>
      <c r="R146" s="1"/>
      <c r="S146" s="8">
        <f>ROUND(S136+S145,5)</f>
        <v>-43294.82</v>
      </c>
      <c r="T146" s="1"/>
      <c r="U146" s="8">
        <f>ROUND(U136+U145,5)</f>
        <v>-18609.37</v>
      </c>
      <c r="V146" s="1"/>
      <c r="W146" s="8">
        <f>ROUND(W136+W145,5)</f>
        <v>37531.75</v>
      </c>
      <c r="X146" s="1"/>
      <c r="Y146" s="8">
        <f>ROUND(Y136+Y145,5)</f>
        <v>-10774.59</v>
      </c>
      <c r="Z146" s="1"/>
      <c r="AA146" s="8">
        <f>ROUND(AA136+AA145,5)</f>
        <v>25968.38</v>
      </c>
      <c r="AB146" s="1"/>
      <c r="AC146" s="8">
        <f>ROUND(AC136+AC145,5)</f>
        <v>-7383.13</v>
      </c>
      <c r="AD146" s="1"/>
      <c r="AE146" s="8">
        <f t="shared" si="7"/>
        <v>45321.31</v>
      </c>
    </row>
    <row r="147" spans="1:31" ht="15.75" thickTop="1" x14ac:dyDescent="0.25"/>
  </sheetData>
  <pageMargins left="0.7" right="0.7" top="0.75" bottom="0.75" header="0.1" footer="0.3"/>
  <pageSetup orientation="portrait" r:id="rId1"/>
  <headerFooter>
    <oddHeader>&amp;L&amp;"Arial,Bold"&amp;8 1:30 PM
&amp;"Arial,Bold"&amp;8 10/14/26
&amp;"Arial,Bold"&amp;8 Accrual Basis&amp;C&amp;"Arial,Bold"&amp;12 South Elgin Living and Rehab Center LLC
&amp;"Arial,Bold"&amp;14 Profit &amp;&amp; Loss
&amp;"Arial,Bold"&amp;10 September 2025 through August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F3D618-C98D-436A-990A-6BB2B059FB62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2.xml><?xml version="1.0" encoding="utf-8"?>
<ds:datastoreItem xmlns:ds="http://schemas.openxmlformats.org/officeDocument/2006/customXml" ds:itemID="{4481B4E2-845D-4B18-9F33-2C5285C4D09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5FA6B0-E41E-49E1-A561-867A02EEC4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2026-10-14T18:30:06Z</dcterms:created>
  <dcterms:modified xsi:type="dcterms:W3CDTF">2026-10-14T18:50:07Z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