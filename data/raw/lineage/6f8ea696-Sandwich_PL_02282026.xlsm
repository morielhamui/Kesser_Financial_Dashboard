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defaultThemeVersion="202300"/>
  <mc:AlternateContent xmlns:mc="http://schemas.openxmlformats.org/markup-compatibility/2006">
    <mc:Choice Requires="x15">
      <x15ac:absPath xmlns:x15ac="http://schemas.microsoft.com/office/spreadsheetml/2010/11/ac" url="https://staycare.sharepoint.com/sites/LineageHCCcorpdocs/Shared Documents/corp docs/Other/Petersen/Kesser Reporting/"/>
    </mc:Choice>
  </mc:AlternateContent>
  <xr:revisionPtr revIDLastSave="0" documentId="8_{53919105-F280-49EF-9F60-DDF51604635D}" xr6:coauthVersionLast="47" xr6:coauthVersionMax="47" xr10:uidLastSave="{00000000-0000-0000-0000-000000000000}"/>
  <bookViews>
    <workbookView xWindow="-28920" yWindow="-1095" windowWidth="29040" windowHeight="15720" activeTab="1" xr2:uid="{BE5565B3-2257-4F77-9469-A39E182B5F26}"/>
  </bookViews>
  <sheets>
    <sheet name="QuickBooks Desktop Export Tips" sheetId="2" r:id="rId1"/>
    <sheet name="Sheet1" sheetId="1" r:id="rId2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_xlnm.Print_Titles" localSheetId="1">Sheet1!$A:$F,Sheet1!$1:$1</definedName>
    <definedName name="QB_COLUMN_2921" localSheetId="1" hidden="1">Sheet1!$G$1</definedName>
    <definedName name="QB_COLUMN_29210" localSheetId="1" hidden="1">Sheet1!$Y$1</definedName>
    <definedName name="QB_COLUMN_29211" localSheetId="1" hidden="1">Sheet1!$AA$1</definedName>
    <definedName name="QB_COLUMN_29212" localSheetId="1" hidden="1">Sheet1!$AC$1</definedName>
    <definedName name="QB_COLUMN_29213" localSheetId="1" hidden="1">Sheet1!$AE$1</definedName>
    <definedName name="QB_COLUMN_29214" localSheetId="1" hidden="1">Sheet1!$AG$1</definedName>
    <definedName name="QB_COLUMN_29215" localSheetId="1" hidden="1">Sheet1!$AI$1</definedName>
    <definedName name="QB_COLUMN_29216" localSheetId="1" hidden="1">Sheet1!$AK$1</definedName>
    <definedName name="QB_COLUMN_2922" localSheetId="1" hidden="1">Sheet1!$I$1</definedName>
    <definedName name="QB_COLUMN_2923" localSheetId="1" hidden="1">Sheet1!$K$1</definedName>
    <definedName name="QB_COLUMN_2924" localSheetId="1" hidden="1">Sheet1!$M$1</definedName>
    <definedName name="QB_COLUMN_2925" localSheetId="1" hidden="1">Sheet1!$O$1</definedName>
    <definedName name="QB_COLUMN_2926" localSheetId="1" hidden="1">Sheet1!$Q$1</definedName>
    <definedName name="QB_COLUMN_2927" localSheetId="1" hidden="1">Sheet1!$S$1</definedName>
    <definedName name="QB_COLUMN_2928" localSheetId="1" hidden="1">Sheet1!$U$1</definedName>
    <definedName name="QB_COLUMN_2929" localSheetId="1" hidden="1">Sheet1!$W$1</definedName>
    <definedName name="QB_COLUMN_2930" localSheetId="1" hidden="1">Sheet1!$AM$1</definedName>
    <definedName name="QB_DATA_0" localSheetId="1" hidden="1">Sheet1!$4:$4,Sheet1!$5:$5,Sheet1!$6:$6,Sheet1!$7:$7,Sheet1!$8:$8,Sheet1!$9:$9,Sheet1!$10:$10,Sheet1!$11:$11,Sheet1!$12:$12,Sheet1!$13:$13,Sheet1!$14:$14,Sheet1!$15:$15,Sheet1!$16:$16,Sheet1!$17:$17,Sheet1!$18:$18,Sheet1!$19:$19</definedName>
    <definedName name="QB_DATA_1" localSheetId="1" hidden="1">Sheet1!$20:$20,Sheet1!$21:$21,Sheet1!$22:$22,Sheet1!$23:$23,Sheet1!$24:$24,Sheet1!$25:$25,Sheet1!$30:$30,Sheet1!$31:$31,Sheet1!$32:$32,Sheet1!$33:$33,Sheet1!$34:$34,Sheet1!$35:$35,Sheet1!$36:$36,Sheet1!$37:$37,Sheet1!$38:$38,Sheet1!$39:$39</definedName>
    <definedName name="QB_DATA_2" localSheetId="1" hidden="1">Sheet1!$40:$40,Sheet1!$41:$41,Sheet1!$42:$42,Sheet1!$43:$43,Sheet1!$44:$44,Sheet1!$45:$45,Sheet1!$46:$46,Sheet1!$47:$47,Sheet1!$48:$48,Sheet1!$49:$49,Sheet1!$50:$50,Sheet1!$51:$51,Sheet1!$52:$52,Sheet1!$53:$53,Sheet1!$56:$56,Sheet1!$57:$57</definedName>
    <definedName name="QB_DATA_3" localSheetId="1" hidden="1">Sheet1!$58:$58,Sheet1!$59:$59,Sheet1!$60:$60,Sheet1!$61:$61,Sheet1!$62:$62,Sheet1!$63:$63,Sheet1!$66:$66,Sheet1!$67:$67,Sheet1!$68:$68,Sheet1!$69:$69,Sheet1!$70:$70,Sheet1!$71:$71,Sheet1!$72:$72,Sheet1!$73:$73,Sheet1!$76:$76,Sheet1!$77:$77</definedName>
    <definedName name="QB_DATA_4" localSheetId="1" hidden="1">Sheet1!$78:$78,Sheet1!$79:$79,Sheet1!$80:$80,Sheet1!$81:$81,Sheet1!$82:$82,Sheet1!$85:$85,Sheet1!$86:$86,Sheet1!$87:$87,Sheet1!$88:$88,Sheet1!$89:$89,Sheet1!$90:$90,Sheet1!$93:$93,Sheet1!$94:$94,Sheet1!$95:$95,Sheet1!$96:$96,Sheet1!$97:$97</definedName>
    <definedName name="QB_DATA_5" localSheetId="1" hidden="1">Sheet1!$98:$98,Sheet1!$101:$101,Sheet1!$102:$102,Sheet1!$103:$103,Sheet1!$104:$104,Sheet1!$105:$105,Sheet1!$106:$106,Sheet1!$107:$107,Sheet1!$108:$108,Sheet1!$109:$109,Sheet1!$110:$110,Sheet1!$111:$111,Sheet1!$112:$112,Sheet1!$113:$113,Sheet1!$114:$114,Sheet1!$115:$115</definedName>
    <definedName name="QB_DATA_6" localSheetId="1" hidden="1">Sheet1!$116:$116,Sheet1!$117:$117,Sheet1!$118:$118,Sheet1!$119:$119,Sheet1!$120:$120,Sheet1!$121:$121,Sheet1!$122:$122,Sheet1!$123:$123,Sheet1!$124:$124,Sheet1!$125:$125,Sheet1!$126:$126,Sheet1!$127:$127,Sheet1!$134:$134,Sheet1!$135:$135</definedName>
    <definedName name="QB_FORMULA_0" localSheetId="1" hidden="1">Sheet1!$AM$4,Sheet1!$AM$5,Sheet1!$AM$6,Sheet1!$AM$7,Sheet1!$AM$8,Sheet1!$AM$9,Sheet1!$AM$10,Sheet1!$AM$11,Sheet1!$AM$12,Sheet1!$AM$13,Sheet1!$AM$14,Sheet1!$AM$15,Sheet1!$AM$16,Sheet1!$AM$17,Sheet1!$AM$18,Sheet1!$AM$19</definedName>
    <definedName name="QB_FORMULA_1" localSheetId="1" hidden="1">Sheet1!$AM$20,Sheet1!$AM$21,Sheet1!$AM$22,Sheet1!$AM$23,Sheet1!$AM$24,Sheet1!$AM$25,Sheet1!$G$26,Sheet1!$I$26,Sheet1!$K$26,Sheet1!$M$26,Sheet1!$O$26,Sheet1!$Q$26,Sheet1!$S$26,Sheet1!$U$26,Sheet1!$W$26,Sheet1!$Y$26</definedName>
    <definedName name="QB_FORMULA_10" localSheetId="1" hidden="1">Sheet1!$S$83,Sheet1!$U$83,Sheet1!$W$83,Sheet1!$Y$83,Sheet1!$AA$83,Sheet1!$AC$83,Sheet1!$AE$83,Sheet1!$AG$83,Sheet1!$AI$83,Sheet1!$AK$83,Sheet1!$AM$83,Sheet1!$AM$85,Sheet1!$AM$86,Sheet1!$AM$87,Sheet1!$AM$88,Sheet1!$AM$89</definedName>
    <definedName name="QB_FORMULA_11" localSheetId="1" hidden="1">Sheet1!$AM$90,Sheet1!$G$91,Sheet1!$I$91,Sheet1!$K$91,Sheet1!$M$91,Sheet1!$O$91,Sheet1!$Q$91,Sheet1!$S$91,Sheet1!$U$91,Sheet1!$W$91,Sheet1!$Y$91,Sheet1!$AA$91,Sheet1!$AC$91,Sheet1!$AE$91,Sheet1!$AG$91,Sheet1!$AI$91</definedName>
    <definedName name="QB_FORMULA_12" localSheetId="1" hidden="1">Sheet1!$AK$91,Sheet1!$AM$91,Sheet1!$AM$93,Sheet1!$AM$94,Sheet1!$AM$95,Sheet1!$AM$96,Sheet1!$AM$97,Sheet1!$AM$98,Sheet1!$G$99,Sheet1!$I$99,Sheet1!$K$99,Sheet1!$M$99,Sheet1!$O$99,Sheet1!$Q$99,Sheet1!$S$99,Sheet1!$U$99</definedName>
    <definedName name="QB_FORMULA_13" localSheetId="1" hidden="1">Sheet1!$W$99,Sheet1!$Y$99,Sheet1!$AA$99,Sheet1!$AC$99,Sheet1!$AE$99,Sheet1!$AG$99,Sheet1!$AI$99,Sheet1!$AK$99,Sheet1!$AM$99,Sheet1!$AM$101,Sheet1!$AM$102,Sheet1!$AM$103,Sheet1!$AM$104,Sheet1!$AM$105,Sheet1!$AM$106,Sheet1!$AM$107</definedName>
    <definedName name="QB_FORMULA_14" localSheetId="1" hidden="1">Sheet1!$AM$108,Sheet1!$AM$109,Sheet1!$AM$110,Sheet1!$AM$111,Sheet1!$AM$112,Sheet1!$AM$113,Sheet1!$AM$114,Sheet1!$AM$115,Sheet1!$AM$116,Sheet1!$AM$117,Sheet1!$AM$118,Sheet1!$AM$119,Sheet1!$AM$120,Sheet1!$AM$121,Sheet1!$AM$122,Sheet1!$AM$123</definedName>
    <definedName name="QB_FORMULA_15" localSheetId="1" hidden="1">Sheet1!$AM$124,Sheet1!$AM$125,Sheet1!$AM$126,Sheet1!$AM$127,Sheet1!$G$128,Sheet1!$I$128,Sheet1!$K$128,Sheet1!$M$128,Sheet1!$O$128,Sheet1!$Q$128,Sheet1!$S$128,Sheet1!$U$128,Sheet1!$W$128,Sheet1!$Y$128,Sheet1!$AA$128,Sheet1!$AC$128</definedName>
    <definedName name="QB_FORMULA_16" localSheetId="1" hidden="1">Sheet1!$AE$128,Sheet1!$AG$128,Sheet1!$AI$128,Sheet1!$AK$128,Sheet1!$AM$128,Sheet1!$G$129,Sheet1!$I$129,Sheet1!$K$129,Sheet1!$M$129,Sheet1!$O$129,Sheet1!$Q$129,Sheet1!$S$129,Sheet1!$U$129,Sheet1!$W$129,Sheet1!$Y$129,Sheet1!$AA$129</definedName>
    <definedName name="QB_FORMULA_17" localSheetId="1" hidden="1">Sheet1!$AC$129,Sheet1!$AE$129,Sheet1!$AG$129,Sheet1!$AI$129,Sheet1!$AK$129,Sheet1!$AM$129,Sheet1!$G$130,Sheet1!$I$130,Sheet1!$K$130,Sheet1!$M$130,Sheet1!$O$130,Sheet1!$Q$130,Sheet1!$S$130,Sheet1!$U$130,Sheet1!$W$130,Sheet1!$Y$130</definedName>
    <definedName name="QB_FORMULA_18" localSheetId="1" hidden="1">Sheet1!$AA$130,Sheet1!$AC$130,Sheet1!$AE$130,Sheet1!$AG$130,Sheet1!$AI$130,Sheet1!$AK$130,Sheet1!$AM$130,Sheet1!$AM$134,Sheet1!$AM$135,Sheet1!$G$136,Sheet1!$I$136,Sheet1!$K$136,Sheet1!$M$136,Sheet1!$O$136,Sheet1!$Q$136,Sheet1!$S$136</definedName>
    <definedName name="QB_FORMULA_19" localSheetId="1" hidden="1">Sheet1!$U$136,Sheet1!$W$136,Sheet1!$Y$136,Sheet1!$AA$136,Sheet1!$AC$136,Sheet1!$AE$136,Sheet1!$AG$136,Sheet1!$AI$136,Sheet1!$AK$136,Sheet1!$AM$136,Sheet1!$G$137,Sheet1!$I$137,Sheet1!$K$137,Sheet1!$M$137,Sheet1!$O$137,Sheet1!$Q$137</definedName>
    <definedName name="QB_FORMULA_2" localSheetId="1" hidden="1">Sheet1!$AA$26,Sheet1!$AC$26,Sheet1!$AE$26,Sheet1!$AG$26,Sheet1!$AI$26,Sheet1!$AK$26,Sheet1!$AM$26,Sheet1!$G$27,Sheet1!$I$27,Sheet1!$K$27,Sheet1!$M$27,Sheet1!$O$27,Sheet1!$Q$27,Sheet1!$S$27,Sheet1!$U$27,Sheet1!$W$27</definedName>
    <definedName name="QB_FORMULA_20" localSheetId="1" hidden="1">Sheet1!$S$137,Sheet1!$U$137,Sheet1!$W$137,Sheet1!$Y$137,Sheet1!$AA$137,Sheet1!$AC$137,Sheet1!$AE$137,Sheet1!$AG$137,Sheet1!$AI$137,Sheet1!$AK$137,Sheet1!$AM$137,Sheet1!$G$138,Sheet1!$I$138,Sheet1!$K$138,Sheet1!$M$138,Sheet1!$O$138</definedName>
    <definedName name="QB_FORMULA_21" localSheetId="1" hidden="1">Sheet1!$Q$138,Sheet1!$S$138,Sheet1!$U$138,Sheet1!$W$138,Sheet1!$Y$138,Sheet1!$AA$138,Sheet1!$AC$138,Sheet1!$AE$138,Sheet1!$AG$138,Sheet1!$AI$138,Sheet1!$AK$138,Sheet1!$AM$138,Sheet1!$G$139,Sheet1!$I$139,Sheet1!$K$139,Sheet1!$M$139</definedName>
    <definedName name="QB_FORMULA_22" localSheetId="1" hidden="1">Sheet1!$O$139,Sheet1!$Q$139,Sheet1!$S$139,Sheet1!$U$139,Sheet1!$W$139,Sheet1!$Y$139,Sheet1!$AA$139,Sheet1!$AC$139,Sheet1!$AE$139,Sheet1!$AG$139,Sheet1!$AI$139,Sheet1!$AK$139,Sheet1!$AM$139</definedName>
    <definedName name="QB_FORMULA_3" localSheetId="1" hidden="1">Sheet1!$Y$27,Sheet1!$AA$27,Sheet1!$AC$27,Sheet1!$AE$27,Sheet1!$AG$27,Sheet1!$AI$27,Sheet1!$AK$27,Sheet1!$AM$27,Sheet1!$AM$30,Sheet1!$AM$31,Sheet1!$AM$32,Sheet1!$AM$33,Sheet1!$AM$34,Sheet1!$AM$35,Sheet1!$AM$36,Sheet1!$AM$37</definedName>
    <definedName name="QB_FORMULA_4" localSheetId="1" hidden="1">Sheet1!$AM$38,Sheet1!$AM$39,Sheet1!$AM$40,Sheet1!$AM$41,Sheet1!$AM$42,Sheet1!$AM$43,Sheet1!$AM$44,Sheet1!$AM$45,Sheet1!$AM$46,Sheet1!$AM$47,Sheet1!$AM$48,Sheet1!$AM$49,Sheet1!$AM$50,Sheet1!$AM$51,Sheet1!$AM$52,Sheet1!$AM$53</definedName>
    <definedName name="QB_FORMULA_5" localSheetId="1" hidden="1">Sheet1!$G$54,Sheet1!$I$54,Sheet1!$K$54,Sheet1!$M$54,Sheet1!$O$54,Sheet1!$Q$54,Sheet1!$S$54,Sheet1!$U$54,Sheet1!$W$54,Sheet1!$Y$54,Sheet1!$AA$54,Sheet1!$AC$54,Sheet1!$AE$54,Sheet1!$AG$54,Sheet1!$AI$54,Sheet1!$AK$54</definedName>
    <definedName name="QB_FORMULA_6" localSheetId="1" hidden="1">Sheet1!$AM$54,Sheet1!$AM$56,Sheet1!$AM$57,Sheet1!$AM$58,Sheet1!$AM$59,Sheet1!$AM$60,Sheet1!$AM$61,Sheet1!$AM$62,Sheet1!$AM$63,Sheet1!$G$64,Sheet1!$I$64,Sheet1!$K$64,Sheet1!$M$64,Sheet1!$O$64,Sheet1!$Q$64,Sheet1!$S$64</definedName>
    <definedName name="QB_FORMULA_7" localSheetId="1" hidden="1">Sheet1!$U$64,Sheet1!$W$64,Sheet1!$Y$64,Sheet1!$AA$64,Sheet1!$AC$64,Sheet1!$AE$64,Sheet1!$AG$64,Sheet1!$AI$64,Sheet1!$AK$64,Sheet1!$AM$64,Sheet1!$AM$66,Sheet1!$AM$67,Sheet1!$AM$68,Sheet1!$AM$69,Sheet1!$AM$70,Sheet1!$AM$71</definedName>
    <definedName name="QB_FORMULA_8" localSheetId="1" hidden="1">Sheet1!$AM$72,Sheet1!$AM$73,Sheet1!$G$74,Sheet1!$I$74,Sheet1!$K$74,Sheet1!$M$74,Sheet1!$O$74,Sheet1!$Q$74,Sheet1!$S$74,Sheet1!$U$74,Sheet1!$W$74,Sheet1!$Y$74,Sheet1!$AA$74,Sheet1!$AC$74,Sheet1!$AE$74,Sheet1!$AG$74</definedName>
    <definedName name="QB_FORMULA_9" localSheetId="1" hidden="1">Sheet1!$AI$74,Sheet1!$AK$74,Sheet1!$AM$74,Sheet1!$AM$76,Sheet1!$AM$77,Sheet1!$AM$78,Sheet1!$AM$79,Sheet1!$AM$80,Sheet1!$AM$81,Sheet1!$AM$82,Sheet1!$G$83,Sheet1!$I$83,Sheet1!$K$83,Sheet1!$M$83,Sheet1!$O$83,Sheet1!$Q$83</definedName>
    <definedName name="QB_ROW_100240" localSheetId="1" hidden="1">Sheet1!$E$20</definedName>
    <definedName name="QB_ROW_101240" localSheetId="1" hidden="1">Sheet1!$E$21</definedName>
    <definedName name="QB_ROW_102240" localSheetId="1" hidden="1">Sheet1!$E$22</definedName>
    <definedName name="QB_ROW_103240" localSheetId="1" hidden="1">Sheet1!$E$24</definedName>
    <definedName name="QB_ROW_105240" localSheetId="1" hidden="1">Sheet1!$E$25</definedName>
    <definedName name="QB_ROW_112040" localSheetId="1" hidden="1">Sheet1!$E$29</definedName>
    <definedName name="QB_ROW_112340" localSheetId="1" hidden="1">Sheet1!$E$54</definedName>
    <definedName name="QB_ROW_113250" localSheetId="1" hidden="1">Sheet1!$F$30</definedName>
    <definedName name="QB_ROW_114250" localSheetId="1" hidden="1">Sheet1!$F$31</definedName>
    <definedName name="QB_ROW_115250" localSheetId="1" hidden="1">Sheet1!$F$32</definedName>
    <definedName name="QB_ROW_119250" localSheetId="1" hidden="1">Sheet1!$F$33</definedName>
    <definedName name="QB_ROW_121250" localSheetId="1" hidden="1">Sheet1!$F$34</definedName>
    <definedName name="QB_ROW_122250" localSheetId="1" hidden="1">Sheet1!$F$35</definedName>
    <definedName name="QB_ROW_125250" localSheetId="1" hidden="1">Sheet1!$F$36</definedName>
    <definedName name="QB_ROW_126250" localSheetId="1" hidden="1">Sheet1!$F$37</definedName>
    <definedName name="QB_ROW_129250" localSheetId="1" hidden="1">Sheet1!$F$38</definedName>
    <definedName name="QB_ROW_130250" localSheetId="1" hidden="1">Sheet1!$F$39</definedName>
    <definedName name="QB_ROW_132250" localSheetId="1" hidden="1">Sheet1!$F$40</definedName>
    <definedName name="QB_ROW_133250" localSheetId="1" hidden="1">Sheet1!$F$41</definedName>
    <definedName name="QB_ROW_136250" localSheetId="1" hidden="1">Sheet1!$F$42</definedName>
    <definedName name="QB_ROW_138250" localSheetId="1" hidden="1">Sheet1!$F$43</definedName>
    <definedName name="QB_ROW_139250" localSheetId="1" hidden="1">Sheet1!$F$44</definedName>
    <definedName name="QB_ROW_140250" localSheetId="1" hidden="1">Sheet1!$F$45</definedName>
    <definedName name="QB_ROW_141250" localSheetId="1" hidden="1">Sheet1!$F$46</definedName>
    <definedName name="QB_ROW_143250" localSheetId="1" hidden="1">Sheet1!$F$47</definedName>
    <definedName name="QB_ROW_144250" localSheetId="1" hidden="1">Sheet1!$F$48</definedName>
    <definedName name="QB_ROW_145250" localSheetId="1" hidden="1">Sheet1!$F$49</definedName>
    <definedName name="QB_ROW_146250" localSheetId="1" hidden="1">Sheet1!$F$50</definedName>
    <definedName name="QB_ROW_148250" localSheetId="1" hidden="1">Sheet1!$F$51</definedName>
    <definedName name="QB_ROW_150250" localSheetId="1" hidden="1">Sheet1!$F$52</definedName>
    <definedName name="QB_ROW_154250" localSheetId="1" hidden="1">Sheet1!$F$53</definedName>
    <definedName name="QB_ROW_157040" localSheetId="1" hidden="1">Sheet1!$E$55</definedName>
    <definedName name="QB_ROW_157340" localSheetId="1" hidden="1">Sheet1!$E$64</definedName>
    <definedName name="QB_ROW_158250" localSheetId="1" hidden="1">Sheet1!$F$56</definedName>
    <definedName name="QB_ROW_159250" localSheetId="1" hidden="1">Sheet1!$F$57</definedName>
    <definedName name="QB_ROW_161250" localSheetId="1" hidden="1">Sheet1!$F$58</definedName>
    <definedName name="QB_ROW_163250" localSheetId="1" hidden="1">Sheet1!$F$59</definedName>
    <definedName name="QB_ROW_165250" localSheetId="1" hidden="1">Sheet1!$F$60</definedName>
    <definedName name="QB_ROW_168250" localSheetId="1" hidden="1">Sheet1!$F$61</definedName>
    <definedName name="QB_ROW_171040" localSheetId="1" hidden="1">Sheet1!$E$65</definedName>
    <definedName name="QB_ROW_171340" localSheetId="1" hidden="1">Sheet1!$E$74</definedName>
    <definedName name="QB_ROW_172250" localSheetId="1" hidden="1">Sheet1!$F$66</definedName>
    <definedName name="QB_ROW_173250" localSheetId="1" hidden="1">Sheet1!$F$67</definedName>
    <definedName name="QB_ROW_174250" localSheetId="1" hidden="1">Sheet1!$F$68</definedName>
    <definedName name="QB_ROW_175250" localSheetId="1" hidden="1">Sheet1!$F$69</definedName>
    <definedName name="QB_ROW_176250" localSheetId="1" hidden="1">Sheet1!$F$70</definedName>
    <definedName name="QB_ROW_177250" localSheetId="1" hidden="1">Sheet1!$F$71</definedName>
    <definedName name="QB_ROW_178250" localSheetId="1" hidden="1">Sheet1!$F$72</definedName>
    <definedName name="QB_ROW_180250" localSheetId="1" hidden="1">Sheet1!$F$73</definedName>
    <definedName name="QB_ROW_182040" localSheetId="1" hidden="1">Sheet1!$E$75</definedName>
    <definedName name="QB_ROW_182340" localSheetId="1" hidden="1">Sheet1!$E$83</definedName>
    <definedName name="QB_ROW_18301" localSheetId="1" hidden="1">Sheet1!$A$139</definedName>
    <definedName name="QB_ROW_183250" localSheetId="1" hidden="1">Sheet1!$F$76</definedName>
    <definedName name="QB_ROW_184250" localSheetId="1" hidden="1">Sheet1!$F$77</definedName>
    <definedName name="QB_ROW_187250" localSheetId="1" hidden="1">Sheet1!$F$78</definedName>
    <definedName name="QB_ROW_188250" localSheetId="1" hidden="1">Sheet1!$F$79</definedName>
    <definedName name="QB_ROW_19011" localSheetId="1" hidden="1">Sheet1!$B$2</definedName>
    <definedName name="QB_ROW_190250" localSheetId="1" hidden="1">Sheet1!$F$80</definedName>
    <definedName name="QB_ROW_192250" localSheetId="1" hidden="1">Sheet1!$F$81</definedName>
    <definedName name="QB_ROW_19311" localSheetId="1" hidden="1">Sheet1!$B$130</definedName>
    <definedName name="QB_ROW_194250" localSheetId="1" hidden="1">Sheet1!$F$82</definedName>
    <definedName name="QB_ROW_197040" localSheetId="1" hidden="1">Sheet1!$E$84</definedName>
    <definedName name="QB_ROW_197340" localSheetId="1" hidden="1">Sheet1!$E$91</definedName>
    <definedName name="QB_ROW_198250" localSheetId="1" hidden="1">Sheet1!$F$85</definedName>
    <definedName name="QB_ROW_199250" localSheetId="1" hidden="1">Sheet1!$F$86</definedName>
    <definedName name="QB_ROW_200250" localSheetId="1" hidden="1">Sheet1!$F$87</definedName>
    <definedName name="QB_ROW_20031" localSheetId="1" hidden="1">Sheet1!$D$3</definedName>
    <definedName name="QB_ROW_202250" localSheetId="1" hidden="1">Sheet1!$F$88</definedName>
    <definedName name="QB_ROW_203250" localSheetId="1" hidden="1">Sheet1!$F$89</definedName>
    <definedName name="QB_ROW_20331" localSheetId="1" hidden="1">Sheet1!$D$26</definedName>
    <definedName name="QB_ROW_205250" localSheetId="1" hidden="1">Sheet1!$F$90</definedName>
    <definedName name="QB_ROW_206040" localSheetId="1" hidden="1">Sheet1!$E$92</definedName>
    <definedName name="QB_ROW_206250" localSheetId="1" hidden="1">Sheet1!$F$98</definedName>
    <definedName name="QB_ROW_206340" localSheetId="1" hidden="1">Sheet1!$E$99</definedName>
    <definedName name="QB_ROW_207250" localSheetId="1" hidden="1">Sheet1!$F$93</definedName>
    <definedName name="QB_ROW_208250" localSheetId="1" hidden="1">Sheet1!$F$94</definedName>
    <definedName name="QB_ROW_21031" localSheetId="1" hidden="1">Sheet1!$D$28</definedName>
    <definedName name="QB_ROW_211250" localSheetId="1" hidden="1">Sheet1!$F$95</definedName>
    <definedName name="QB_ROW_212250" localSheetId="1" hidden="1">Sheet1!$F$96</definedName>
    <definedName name="QB_ROW_213250" localSheetId="1" hidden="1">Sheet1!$F$97</definedName>
    <definedName name="QB_ROW_21331" localSheetId="1" hidden="1">Sheet1!$D$129</definedName>
    <definedName name="QB_ROW_215040" localSheetId="1" hidden="1">Sheet1!$E$100</definedName>
    <definedName name="QB_ROW_215340" localSheetId="1" hidden="1">Sheet1!$E$128</definedName>
    <definedName name="QB_ROW_216250" localSheetId="1" hidden="1">Sheet1!$F$101</definedName>
    <definedName name="QB_ROW_217250" localSheetId="1" hidden="1">Sheet1!$F$102</definedName>
    <definedName name="QB_ROW_218250" localSheetId="1" hidden="1">Sheet1!$F$103</definedName>
    <definedName name="QB_ROW_219250" localSheetId="1" hidden="1">Sheet1!$F$104</definedName>
    <definedName name="QB_ROW_22011" localSheetId="1" hidden="1">Sheet1!$B$131</definedName>
    <definedName name="QB_ROW_220250" localSheetId="1" hidden="1">Sheet1!$F$105</definedName>
    <definedName name="QB_ROW_22311" localSheetId="1" hidden="1">Sheet1!$B$138</definedName>
    <definedName name="QB_ROW_224250" localSheetId="1" hidden="1">Sheet1!$F$106</definedName>
    <definedName name="QB_ROW_226250" localSheetId="1" hidden="1">Sheet1!$F$107</definedName>
    <definedName name="QB_ROW_227250" localSheetId="1" hidden="1">Sheet1!$F$108</definedName>
    <definedName name="QB_ROW_228250" localSheetId="1" hidden="1">Sheet1!$F$109</definedName>
    <definedName name="QB_ROW_229250" localSheetId="1" hidden="1">Sheet1!$F$110</definedName>
    <definedName name="QB_ROW_230250" localSheetId="1" hidden="1">Sheet1!$F$111</definedName>
    <definedName name="QB_ROW_232250" localSheetId="1" hidden="1">Sheet1!$F$112</definedName>
    <definedName name="QB_ROW_233250" localSheetId="1" hidden="1">Sheet1!$F$113</definedName>
    <definedName name="QB_ROW_234250" localSheetId="1" hidden="1">Sheet1!$F$114</definedName>
    <definedName name="QB_ROW_236250" localSheetId="1" hidden="1">Sheet1!$F$115</definedName>
    <definedName name="QB_ROW_237250" localSheetId="1" hidden="1">Sheet1!$F$116</definedName>
    <definedName name="QB_ROW_238250" localSheetId="1" hidden="1">Sheet1!$F$117</definedName>
    <definedName name="QB_ROW_24021" localSheetId="1" hidden="1">Sheet1!$C$132</definedName>
    <definedName name="QB_ROW_240250" localSheetId="1" hidden="1">Sheet1!$F$118</definedName>
    <definedName name="QB_ROW_24321" localSheetId="1" hidden="1">Sheet1!$C$137</definedName>
    <definedName name="QB_ROW_243250" localSheetId="1" hidden="1">Sheet1!$F$119</definedName>
    <definedName name="QB_ROW_246250" localSheetId="1" hidden="1">Sheet1!$F$120</definedName>
    <definedName name="QB_ROW_247250" localSheetId="1" hidden="1">Sheet1!$F$121</definedName>
    <definedName name="QB_ROW_250250" localSheetId="1" hidden="1">Sheet1!$F$122</definedName>
    <definedName name="QB_ROW_256250" localSheetId="1" hidden="1">Sheet1!$F$123</definedName>
    <definedName name="QB_ROW_258250" localSheetId="1" hidden="1">Sheet1!$F$124</definedName>
    <definedName name="QB_ROW_264250" localSheetId="1" hidden="1">Sheet1!$F$125</definedName>
    <definedName name="QB_ROW_265250" localSheetId="1" hidden="1">Sheet1!$F$126</definedName>
    <definedName name="QB_ROW_266250" localSheetId="1" hidden="1">Sheet1!$F$127</definedName>
    <definedName name="QB_ROW_272030" localSheetId="1" hidden="1">Sheet1!$D$133</definedName>
    <definedName name="QB_ROW_272330" localSheetId="1" hidden="1">Sheet1!$D$136</definedName>
    <definedName name="QB_ROW_273240" localSheetId="1" hidden="1">Sheet1!$E$134</definedName>
    <definedName name="QB_ROW_274240" localSheetId="1" hidden="1">Sheet1!$E$135</definedName>
    <definedName name="QB_ROW_275240" localSheetId="1" hidden="1">Sheet1!$E$19</definedName>
    <definedName name="QB_ROW_276240" localSheetId="1" hidden="1">Sheet1!$E$23</definedName>
    <definedName name="QB_ROW_380250" localSheetId="1" hidden="1">Sheet1!$F$62</definedName>
    <definedName name="QB_ROW_382250" localSheetId="1" hidden="1">Sheet1!$F$63</definedName>
    <definedName name="QB_ROW_383240" localSheetId="1" hidden="1">Sheet1!$E$12</definedName>
    <definedName name="QB_ROW_52240" localSheetId="1" hidden="1">Sheet1!$E$4</definedName>
    <definedName name="QB_ROW_53240" localSheetId="1" hidden="1">Sheet1!$E$5</definedName>
    <definedName name="QB_ROW_57240" localSheetId="1" hidden="1">Sheet1!$E$6</definedName>
    <definedName name="QB_ROW_59240" localSheetId="1" hidden="1">Sheet1!$E$7</definedName>
    <definedName name="QB_ROW_60240" localSheetId="1" hidden="1">Sheet1!$E$8</definedName>
    <definedName name="QB_ROW_63240" localSheetId="1" hidden="1">Sheet1!$E$9</definedName>
    <definedName name="QB_ROW_68240" localSheetId="1" hidden="1">Sheet1!$E$10</definedName>
    <definedName name="QB_ROW_83240" localSheetId="1" hidden="1">Sheet1!$E$11</definedName>
    <definedName name="QB_ROW_86240" localSheetId="1" hidden="1">Sheet1!$E$13</definedName>
    <definedName name="QB_ROW_86321" localSheetId="1" hidden="1">Sheet1!$C$27</definedName>
    <definedName name="QB_ROW_89240" localSheetId="1" hidden="1">Sheet1!$E$14</definedName>
    <definedName name="QB_ROW_90240" localSheetId="1" hidden="1">Sheet1!$E$15</definedName>
    <definedName name="QB_ROW_91240" localSheetId="1" hidden="1">Sheet1!$E$16</definedName>
    <definedName name="QB_ROW_92240" localSheetId="1" hidden="1">Sheet1!$E$17</definedName>
    <definedName name="QB_ROW_99240" localSheetId="1" hidden="1">Sheet1!$E$18</definedName>
    <definedName name="QBCANSUPPORTUPDATE" localSheetId="1">TRUE</definedName>
    <definedName name="QBCOMPANYFILENAME" localSheetId="1">"S:\Quickbooks\Sandwich Living and Rehab Center LLC.qbw"</definedName>
    <definedName name="QBENDDATE" localSheetId="1">20260228</definedName>
    <definedName name="QBHEADERSONSCREEN" localSheetId="1">FALSE</definedName>
    <definedName name="QBMETADATASIZE" localSheetId="1">6146</definedName>
    <definedName name="QBPRESERVECOLOR" localSheetId="1">TRUE</definedName>
    <definedName name="QBPRESERVEFONT" localSheetId="1">TRUE</definedName>
    <definedName name="QBPRESERVEROWHEIGHT" localSheetId="1">TRUE</definedName>
    <definedName name="QBPRESERVESPACE" localSheetId="1">TRUE</definedName>
    <definedName name="QBREPORTCOLAXIS" localSheetId="1">6</definedName>
    <definedName name="QBREPORTCOMPANYID" localSheetId="1">"d3726a9f636f43b6963ba6ed872b5453"</definedName>
    <definedName name="QBREPORTCOMPARECOL_ANNUALBUDGET" localSheetId="1">FALSE</definedName>
    <definedName name="QBREPORTCOMPARECOL_AVGCOGS" localSheetId="1">FALSE</definedName>
    <definedName name="QBREPORTCOMPARECOL_AVGPRICE" localSheetId="1">FALSE</definedName>
    <definedName name="QBREPORTCOMPARECOL_BUDDIFF" localSheetId="1">FALSE</definedName>
    <definedName name="QBREPORTCOMPARECOL_BUDGET" localSheetId="1">FALSE</definedName>
    <definedName name="QBREPORTCOMPARECOL_BUDPCT" localSheetId="1">FALSE</definedName>
    <definedName name="QBREPORTCOMPARECOL_COGS" localSheetId="1">FALSE</definedName>
    <definedName name="QBREPORTCOMPARECOL_EXCLUDEAMOUNT" localSheetId="1">FALSE</definedName>
    <definedName name="QBREPORTCOMPARECOL_EXCLUDECURPERIOD" localSheetId="1">FALSE</definedName>
    <definedName name="QBREPORTCOMPARECOL_FORECAST" localSheetId="1">FALSE</definedName>
    <definedName name="QBREPORTCOMPARECOL_GROSSMARGIN" localSheetId="1">FALSE</definedName>
    <definedName name="QBREPORTCOMPARECOL_GROSSMARGINPCT" localSheetId="1">FALSE</definedName>
    <definedName name="QBREPORTCOMPARECOL_HOURS" localSheetId="1">FALSE</definedName>
    <definedName name="QBREPORTCOMPARECOL_PCTCOL" localSheetId="1">FALSE</definedName>
    <definedName name="QBREPORTCOMPARECOL_PCTEXPENSE" localSheetId="1">FALSE</definedName>
    <definedName name="QBREPORTCOMPARECOL_PCTINCOME" localSheetId="1">FALSE</definedName>
    <definedName name="QBREPORTCOMPARECOL_PCTOFSALES" localSheetId="1">FALSE</definedName>
    <definedName name="QBREPORTCOMPARECOL_PCTROW" localSheetId="1">FALSE</definedName>
    <definedName name="QBREPORTCOMPARECOL_PPDIFF" localSheetId="1">FALSE</definedName>
    <definedName name="QBREPORTCOMPARECOL_PPPCT" localSheetId="1">FALSE</definedName>
    <definedName name="QBREPORTCOMPARECOL_PREVPERIOD" localSheetId="1">FALSE</definedName>
    <definedName name="QBREPORTCOMPARECOL_PREVYEAR" localSheetId="1">FALSE</definedName>
    <definedName name="QBREPORTCOMPARECOL_PYDIFF" localSheetId="1">FALSE</definedName>
    <definedName name="QBREPORTCOMPARECOL_PYPCT" localSheetId="1">FALSE</definedName>
    <definedName name="QBREPORTCOMPARECOL_QTY" localSheetId="1">FALSE</definedName>
    <definedName name="QBREPORTCOMPARECOL_RATE" localSheetId="1">FALSE</definedName>
    <definedName name="QBREPORTCOMPARECOL_TRIPBILLEDMILES" localSheetId="1">FALSE</definedName>
    <definedName name="QBREPORTCOMPARECOL_TRIPBILLINGAMOUNT" localSheetId="1">FALSE</definedName>
    <definedName name="QBREPORTCOMPARECOL_TRIPMILES" localSheetId="1">FALSE</definedName>
    <definedName name="QBREPORTCOMPARECOL_TRIPNOTBILLABLEMILES" localSheetId="1">FALSE</definedName>
    <definedName name="QBREPORTCOMPARECOL_TRIPTAXDEDUCTIBLEAMOUNT" localSheetId="1">FALSE</definedName>
    <definedName name="QBREPORTCOMPARECOL_TRIPUNBILLEDMILES" localSheetId="1">FALSE</definedName>
    <definedName name="QBREPORTCOMPARECOL_YTD" localSheetId="1">FALSE</definedName>
    <definedName name="QBREPORTCOMPARECOL_YTDBUDGET" localSheetId="1">FALSE</definedName>
    <definedName name="QBREPORTCOMPARECOL_YTDPCT" localSheetId="1">FALSE</definedName>
    <definedName name="QBREPORTROWAXIS" localSheetId="1">11</definedName>
    <definedName name="QBREPORTSUBCOLAXIS" localSheetId="1">0</definedName>
    <definedName name="QBREPORTTYPE" localSheetId="1">0</definedName>
    <definedName name="QBROWHEADERS" localSheetId="1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M139" i="1" l="1"/>
  <c r="AK139" i="1"/>
  <c r="AI139" i="1"/>
  <c r="AG139" i="1"/>
  <c r="AE139" i="1"/>
  <c r="AC139" i="1"/>
  <c r="AA139" i="1"/>
  <c r="Y139" i="1"/>
  <c r="W139" i="1"/>
  <c r="U139" i="1"/>
  <c r="S139" i="1"/>
  <c r="Q139" i="1"/>
  <c r="O139" i="1"/>
  <c r="M139" i="1"/>
  <c r="K139" i="1"/>
  <c r="I139" i="1"/>
  <c r="G139" i="1"/>
  <c r="AM138" i="1"/>
  <c r="AK138" i="1"/>
  <c r="AI138" i="1"/>
  <c r="AG138" i="1"/>
  <c r="AE138" i="1"/>
  <c r="AC138" i="1"/>
  <c r="AA138" i="1"/>
  <c r="Y138" i="1"/>
  <c r="W138" i="1"/>
  <c r="U138" i="1"/>
  <c r="S138" i="1"/>
  <c r="Q138" i="1"/>
  <c r="O138" i="1"/>
  <c r="M138" i="1"/>
  <c r="K138" i="1"/>
  <c r="I138" i="1"/>
  <c r="G138" i="1"/>
  <c r="AM137" i="1"/>
  <c r="AK137" i="1"/>
  <c r="AI137" i="1"/>
  <c r="AG137" i="1"/>
  <c r="AE137" i="1"/>
  <c r="AC137" i="1"/>
  <c r="AA137" i="1"/>
  <c r="Y137" i="1"/>
  <c r="W137" i="1"/>
  <c r="U137" i="1"/>
  <c r="S137" i="1"/>
  <c r="Q137" i="1"/>
  <c r="O137" i="1"/>
  <c r="M137" i="1"/>
  <c r="K137" i="1"/>
  <c r="I137" i="1"/>
  <c r="G137" i="1"/>
  <c r="AM136" i="1"/>
  <c r="AK136" i="1"/>
  <c r="AI136" i="1"/>
  <c r="AG136" i="1"/>
  <c r="AE136" i="1"/>
  <c r="AC136" i="1"/>
  <c r="AA136" i="1"/>
  <c r="Y136" i="1"/>
  <c r="W136" i="1"/>
  <c r="U136" i="1"/>
  <c r="S136" i="1"/>
  <c r="Q136" i="1"/>
  <c r="O136" i="1"/>
  <c r="M136" i="1"/>
  <c r="K136" i="1"/>
  <c r="I136" i="1"/>
  <c r="G136" i="1"/>
  <c r="AM135" i="1"/>
  <c r="AM134" i="1"/>
  <c r="AM130" i="1"/>
  <c r="AK130" i="1"/>
  <c r="AI130" i="1"/>
  <c r="AG130" i="1"/>
  <c r="AE130" i="1"/>
  <c r="AC130" i="1"/>
  <c r="AA130" i="1"/>
  <c r="Y130" i="1"/>
  <c r="W130" i="1"/>
  <c r="U130" i="1"/>
  <c r="S130" i="1"/>
  <c r="Q130" i="1"/>
  <c r="O130" i="1"/>
  <c r="M130" i="1"/>
  <c r="K130" i="1"/>
  <c r="I130" i="1"/>
  <c r="G130" i="1"/>
  <c r="AM129" i="1"/>
  <c r="AK129" i="1"/>
  <c r="AI129" i="1"/>
  <c r="AG129" i="1"/>
  <c r="AE129" i="1"/>
  <c r="AC129" i="1"/>
  <c r="AA129" i="1"/>
  <c r="Y129" i="1"/>
  <c r="W129" i="1"/>
  <c r="U129" i="1"/>
  <c r="S129" i="1"/>
  <c r="Q129" i="1"/>
  <c r="O129" i="1"/>
  <c r="M129" i="1"/>
  <c r="K129" i="1"/>
  <c r="I129" i="1"/>
  <c r="G129" i="1"/>
  <c r="AM128" i="1"/>
  <c r="AK128" i="1"/>
  <c r="AI128" i="1"/>
  <c r="AG128" i="1"/>
  <c r="AE128" i="1"/>
  <c r="AC128" i="1"/>
  <c r="AA128" i="1"/>
  <c r="Y128" i="1"/>
  <c r="W128" i="1"/>
  <c r="U128" i="1"/>
  <c r="S128" i="1"/>
  <c r="Q128" i="1"/>
  <c r="O128" i="1"/>
  <c r="M128" i="1"/>
  <c r="K128" i="1"/>
  <c r="I128" i="1"/>
  <c r="G128" i="1"/>
  <c r="AM127" i="1"/>
  <c r="AM126" i="1"/>
  <c r="AM125" i="1"/>
  <c r="AM124" i="1"/>
  <c r="AM123" i="1"/>
  <c r="AM122" i="1"/>
  <c r="AM121" i="1"/>
  <c r="AM120" i="1"/>
  <c r="AM119" i="1"/>
  <c r="AM118" i="1"/>
  <c r="AM117" i="1"/>
  <c r="AM116" i="1"/>
  <c r="AM115" i="1"/>
  <c r="AM114" i="1"/>
  <c r="AM113" i="1"/>
  <c r="AM112" i="1"/>
  <c r="AM111" i="1"/>
  <c r="AM110" i="1"/>
  <c r="AM109" i="1"/>
  <c r="AM108" i="1"/>
  <c r="AM107" i="1"/>
  <c r="AM106" i="1"/>
  <c r="AM105" i="1"/>
  <c r="AM104" i="1"/>
  <c r="AM103" i="1"/>
  <c r="AM102" i="1"/>
  <c r="AM101" i="1"/>
  <c r="AM99" i="1"/>
  <c r="AK99" i="1"/>
  <c r="AI99" i="1"/>
  <c r="AG99" i="1"/>
  <c r="AE99" i="1"/>
  <c r="AC99" i="1"/>
  <c r="AA99" i="1"/>
  <c r="Y99" i="1"/>
  <c r="W99" i="1"/>
  <c r="U99" i="1"/>
  <c r="S99" i="1"/>
  <c r="Q99" i="1"/>
  <c r="O99" i="1"/>
  <c r="M99" i="1"/>
  <c r="K99" i="1"/>
  <c r="I99" i="1"/>
  <c r="G99" i="1"/>
  <c r="AM98" i="1"/>
  <c r="AM97" i="1"/>
  <c r="AM96" i="1"/>
  <c r="AM95" i="1"/>
  <c r="AM94" i="1"/>
  <c r="AM93" i="1"/>
  <c r="AM91" i="1"/>
  <c r="AK91" i="1"/>
  <c r="AI91" i="1"/>
  <c r="AG91" i="1"/>
  <c r="AE91" i="1"/>
  <c r="AC91" i="1"/>
  <c r="AA91" i="1"/>
  <c r="Y91" i="1"/>
  <c r="W91" i="1"/>
  <c r="U91" i="1"/>
  <c r="S91" i="1"/>
  <c r="Q91" i="1"/>
  <c r="O91" i="1"/>
  <c r="M91" i="1"/>
  <c r="K91" i="1"/>
  <c r="I91" i="1"/>
  <c r="G91" i="1"/>
  <c r="AM90" i="1"/>
  <c r="AM89" i="1"/>
  <c r="AM88" i="1"/>
  <c r="AM87" i="1"/>
  <c r="AM86" i="1"/>
  <c r="AM85" i="1"/>
  <c r="AM83" i="1"/>
  <c r="AK83" i="1"/>
  <c r="AI83" i="1"/>
  <c r="AG83" i="1"/>
  <c r="AE83" i="1"/>
  <c r="AC83" i="1"/>
  <c r="AA83" i="1"/>
  <c r="Y83" i="1"/>
  <c r="W83" i="1"/>
  <c r="U83" i="1"/>
  <c r="S83" i="1"/>
  <c r="Q83" i="1"/>
  <c r="O83" i="1"/>
  <c r="M83" i="1"/>
  <c r="K83" i="1"/>
  <c r="I83" i="1"/>
  <c r="G83" i="1"/>
  <c r="AM82" i="1"/>
  <c r="AM81" i="1"/>
  <c r="AM80" i="1"/>
  <c r="AM79" i="1"/>
  <c r="AM78" i="1"/>
  <c r="AM77" i="1"/>
  <c r="AM76" i="1"/>
  <c r="AM74" i="1"/>
  <c r="AK74" i="1"/>
  <c r="AI74" i="1"/>
  <c r="AG74" i="1"/>
  <c r="AE74" i="1"/>
  <c r="AC74" i="1"/>
  <c r="AA74" i="1"/>
  <c r="Y74" i="1"/>
  <c r="W74" i="1"/>
  <c r="U74" i="1"/>
  <c r="S74" i="1"/>
  <c r="Q74" i="1"/>
  <c r="O74" i="1"/>
  <c r="M74" i="1"/>
  <c r="K74" i="1"/>
  <c r="I74" i="1"/>
  <c r="G74" i="1"/>
  <c r="AM73" i="1"/>
  <c r="AM72" i="1"/>
  <c r="AM71" i="1"/>
  <c r="AM70" i="1"/>
  <c r="AM69" i="1"/>
  <c r="AM68" i="1"/>
  <c r="AM67" i="1"/>
  <c r="AM66" i="1"/>
  <c r="AM64" i="1"/>
  <c r="AK64" i="1"/>
  <c r="AI64" i="1"/>
  <c r="AG64" i="1"/>
  <c r="AE64" i="1"/>
  <c r="AC64" i="1"/>
  <c r="AA64" i="1"/>
  <c r="Y64" i="1"/>
  <c r="W64" i="1"/>
  <c r="U64" i="1"/>
  <c r="S64" i="1"/>
  <c r="Q64" i="1"/>
  <c r="O64" i="1"/>
  <c r="M64" i="1"/>
  <c r="K64" i="1"/>
  <c r="I64" i="1"/>
  <c r="G64" i="1"/>
  <c r="AM63" i="1"/>
  <c r="AM62" i="1"/>
  <c r="AM61" i="1"/>
  <c r="AM60" i="1"/>
  <c r="AM59" i="1"/>
  <c r="AM58" i="1"/>
  <c r="AM57" i="1"/>
  <c r="AM56" i="1"/>
  <c r="AM54" i="1"/>
  <c r="AK54" i="1"/>
  <c r="AI54" i="1"/>
  <c r="AG54" i="1"/>
  <c r="AE54" i="1"/>
  <c r="AC54" i="1"/>
  <c r="AA54" i="1"/>
  <c r="Y54" i="1"/>
  <c r="W54" i="1"/>
  <c r="U54" i="1"/>
  <c r="S54" i="1"/>
  <c r="Q54" i="1"/>
  <c r="O54" i="1"/>
  <c r="M54" i="1"/>
  <c r="K54" i="1"/>
  <c r="I54" i="1"/>
  <c r="G54" i="1"/>
  <c r="AM53" i="1"/>
  <c r="AM52" i="1"/>
  <c r="AM51" i="1"/>
  <c r="AM50" i="1"/>
  <c r="AM49" i="1"/>
  <c r="AM48" i="1"/>
  <c r="AM47" i="1"/>
  <c r="AM46" i="1"/>
  <c r="AM45" i="1"/>
  <c r="AM44" i="1"/>
  <c r="AM43" i="1"/>
  <c r="AM42" i="1"/>
  <c r="AM41" i="1"/>
  <c r="AM40" i="1"/>
  <c r="AM39" i="1"/>
  <c r="AM38" i="1"/>
  <c r="AM37" i="1"/>
  <c r="AM36" i="1"/>
  <c r="AM35" i="1"/>
  <c r="AM34" i="1"/>
  <c r="AM33" i="1"/>
  <c r="AM32" i="1"/>
  <c r="AM31" i="1"/>
  <c r="AM30" i="1"/>
  <c r="AM27" i="1"/>
  <c r="AK27" i="1"/>
  <c r="AI27" i="1"/>
  <c r="AG27" i="1"/>
  <c r="AE27" i="1"/>
  <c r="AC27" i="1"/>
  <c r="AA27" i="1"/>
  <c r="Y27" i="1"/>
  <c r="W27" i="1"/>
  <c r="U27" i="1"/>
  <c r="S27" i="1"/>
  <c r="Q27" i="1"/>
  <c r="O27" i="1"/>
  <c r="M27" i="1"/>
  <c r="K27" i="1"/>
  <c r="I27" i="1"/>
  <c r="G27" i="1"/>
  <c r="AM26" i="1"/>
  <c r="AK26" i="1"/>
  <c r="AI26" i="1"/>
  <c r="AG26" i="1"/>
  <c r="AE26" i="1"/>
  <c r="AC26" i="1"/>
  <c r="AA26" i="1"/>
  <c r="Y26" i="1"/>
  <c r="W26" i="1"/>
  <c r="U26" i="1"/>
  <c r="S26" i="1"/>
  <c r="Q26" i="1"/>
  <c r="O26" i="1"/>
  <c r="M26" i="1"/>
  <c r="K26" i="1"/>
  <c r="I26" i="1"/>
  <c r="G26" i="1"/>
  <c r="AM25" i="1"/>
  <c r="AM24" i="1"/>
  <c r="AM23" i="1"/>
  <c r="AM22" i="1"/>
  <c r="AM21" i="1"/>
  <c r="AM20" i="1"/>
  <c r="AM19" i="1"/>
  <c r="AM18" i="1"/>
  <c r="AM17" i="1"/>
  <c r="AM16" i="1"/>
  <c r="AM15" i="1"/>
  <c r="AM14" i="1"/>
  <c r="AM13" i="1"/>
  <c r="AM12" i="1"/>
  <c r="AM11" i="1"/>
  <c r="AM10" i="1"/>
  <c r="AM9" i="1"/>
  <c r="AM8" i="1"/>
  <c r="AM7" i="1"/>
  <c r="AM6" i="1"/>
  <c r="AM5" i="1"/>
  <c r="AM4" i="1"/>
</calcChain>
</file>

<file path=xl/sharedStrings.xml><?xml version="1.0" encoding="utf-8"?>
<sst xmlns="http://schemas.openxmlformats.org/spreadsheetml/2006/main" count="155" uniqueCount="155">
  <si>
    <t>Nov 30, 24</t>
  </si>
  <si>
    <t>Dec 31, 24</t>
  </si>
  <si>
    <t>Jan 31, 25</t>
  </si>
  <si>
    <t>Feb 28, 25</t>
  </si>
  <si>
    <t>Mar 31, 25</t>
  </si>
  <si>
    <t>Apr 30, 25</t>
  </si>
  <si>
    <t>May 31, 25</t>
  </si>
  <si>
    <t>Jun 30, 25</t>
  </si>
  <si>
    <t>Jul 31, 25</t>
  </si>
  <si>
    <t>Aug 31, 25</t>
  </si>
  <si>
    <t>Sep 30, 25</t>
  </si>
  <si>
    <t>Oct 31, 25</t>
  </si>
  <si>
    <t>Nov 30, 25</t>
  </si>
  <si>
    <t>Dec 31, 25</t>
  </si>
  <si>
    <t>Jan 31, 26</t>
  </si>
  <si>
    <t>Feb 28, 26</t>
  </si>
  <si>
    <t>TOTAL</t>
  </si>
  <si>
    <t>Ordinary Income/Expense</t>
  </si>
  <si>
    <t>Income</t>
  </si>
  <si>
    <t>310100-INTEREST INCOME</t>
  </si>
  <si>
    <t>311000-PRIVATE PATIENT INCOME</t>
  </si>
  <si>
    <t>312000-PUBLIC AID</t>
  </si>
  <si>
    <t>312010-MLTSS</t>
  </si>
  <si>
    <t>312020-HOSPICE INCOME</t>
  </si>
  <si>
    <t>312060-INCENTIVE INCOME</t>
  </si>
  <si>
    <t>313050-MEDICARE A INCOME</t>
  </si>
  <si>
    <t>313100-MC - A ANC WRITE OFF</t>
  </si>
  <si>
    <t>313500-CONTRACTUAL ADJUSTMENT</t>
  </si>
  <si>
    <t>314000-MISC. INCOME</t>
  </si>
  <si>
    <t>315000-MEDICARE B - SPEECH INC</t>
  </si>
  <si>
    <t>315020-MEDICARE B - PT INC</t>
  </si>
  <si>
    <t>315050-MEDICARE B - OT INCOME</t>
  </si>
  <si>
    <t>315060-MCB FLU VACCINE INC</t>
  </si>
  <si>
    <t>318050- MEDICARE A MMAI</t>
  </si>
  <si>
    <t>318100- MEDICARE A HMO</t>
  </si>
  <si>
    <t>318110- MEDICARE B MMAI PT</t>
  </si>
  <si>
    <t>318120- MEDICARE B MMAI OT</t>
  </si>
  <si>
    <t>318130- MEDICARE B MMAI ST</t>
  </si>
  <si>
    <t>318150- MEDICARE B HMO PT</t>
  </si>
  <si>
    <t>318160- MEDICARE B HMO OT</t>
  </si>
  <si>
    <t>319000-REFUNDS</t>
  </si>
  <si>
    <t>Total Income</t>
  </si>
  <si>
    <t>Gross Profit</t>
  </si>
  <si>
    <t>Expense</t>
  </si>
  <si>
    <t>4-Nursing Expense</t>
  </si>
  <si>
    <t>401001-RN SALARIES</t>
  </si>
  <si>
    <t>401002-LPN SALARIES</t>
  </si>
  <si>
    <t>401003-AIDES &amp; ORDERLIES</t>
  </si>
  <si>
    <t>401061-DIRECTOR OF NURSING</t>
  </si>
  <si>
    <t>402000-PHARMACY-HOUSE</t>
  </si>
  <si>
    <t>402500-PHARMACY MEDICARE</t>
  </si>
  <si>
    <t>403900-PERSONAL CARE ITEMS</t>
  </si>
  <si>
    <t>404000-NURSING SUPPLIES</t>
  </si>
  <si>
    <t>404050-OXYGEN</t>
  </si>
  <si>
    <t>404100-IV SUPPLIES</t>
  </si>
  <si>
    <t>406000-PHARMACY CONSULTANT</t>
  </si>
  <si>
    <t>406100-RN CONSULTANT</t>
  </si>
  <si>
    <t>407200-LAB &amp; X-RAY</t>
  </si>
  <si>
    <t>408000-SPEECH THER CONSULT</t>
  </si>
  <si>
    <t>409000-OCC REHAB CONSULTANT</t>
  </si>
  <si>
    <t>409050-MEDICARE B - SPEECH EXP</t>
  </si>
  <si>
    <t>409052-MEDICARE A -SPEECH EXP</t>
  </si>
  <si>
    <t>409055-MEDICARE B - OT EXPENSE</t>
  </si>
  <si>
    <t>409057-MEDICARE A - OT EXP</t>
  </si>
  <si>
    <t>409058-MEDICARE A PT EXP</t>
  </si>
  <si>
    <t>409059-MEDICARE B - PT EXP</t>
  </si>
  <si>
    <t>409070-MEDICARE ANC EXPENSES</t>
  </si>
  <si>
    <t>409100-RESTORATIVE</t>
  </si>
  <si>
    <t>410000-P.T. REHAB CONSULTANT</t>
  </si>
  <si>
    <t>Total 4-Nursing Expense</t>
  </si>
  <si>
    <t>5-Employee Welfare Costs</t>
  </si>
  <si>
    <t>501000-FED UNEMPLOYMENT EXPENSE</t>
  </si>
  <si>
    <t>501500-STATE UI TAX EXPENSE</t>
  </si>
  <si>
    <t>502000-FICA EXPENSE</t>
  </si>
  <si>
    <t>504000-HOSPITALIZATION INS</t>
  </si>
  <si>
    <t>504050-EMPLOYEE BENEFITS</t>
  </si>
  <si>
    <t>506000-WORKMANS COMP. INS.</t>
  </si>
  <si>
    <t>600148 PTO  GRP 4</t>
  </si>
  <si>
    <t>600149 HOLIDAY PTO</t>
  </si>
  <si>
    <t>Total 5-Employee Welfare Costs</t>
  </si>
  <si>
    <t>60-Dietary Costs</t>
  </si>
  <si>
    <t>601005-DIETARY SALARIES</t>
  </si>
  <si>
    <t>601014-FOOD SERVICE SUPERVISOR</t>
  </si>
  <si>
    <t>603000-FOOD COSTS</t>
  </si>
  <si>
    <t>603050-FOOD SUPPLEMENT</t>
  </si>
  <si>
    <t>603500-ENSURE EXPENSE</t>
  </si>
  <si>
    <t>604000-KITCHEN SUPPLIES</t>
  </si>
  <si>
    <t>604100-DISHWASHING EXPENSE</t>
  </si>
  <si>
    <t>606000-DIETARY CONSULTANT</t>
  </si>
  <si>
    <t>Total 60-Dietary Costs</t>
  </si>
  <si>
    <t>62-Housekeeping Costs</t>
  </si>
  <si>
    <t>621005-MAINTENANCE SUPERVISOR</t>
  </si>
  <si>
    <t>621006-HSKPG/MAINT SALARIES</t>
  </si>
  <si>
    <t>623050-ELECTRICITY/GAS</t>
  </si>
  <si>
    <t>624000-HOUSEKEEPING SUPPLIES</t>
  </si>
  <si>
    <t>625000-REPAIRS &amp; MAINT EXP</t>
  </si>
  <si>
    <t>625050-MAINTENANCE SUPPLIES</t>
  </si>
  <si>
    <t>626000-SCAVENGER &amp; EXTERMINATOR</t>
  </si>
  <si>
    <t>Total 62-Housekeeping Costs</t>
  </si>
  <si>
    <t>64-Activity Costs</t>
  </si>
  <si>
    <t>641007-ACTIVITIES SALARIES</t>
  </si>
  <si>
    <t>641017-ACTIVITY DIR SALARIES</t>
  </si>
  <si>
    <t>644000-ACTIVITY EXPENSES</t>
  </si>
  <si>
    <t>645000-ACTIVITY CONSULTANT</t>
  </si>
  <si>
    <t>646000-SOCIAL SERVICES</t>
  </si>
  <si>
    <t>646100-SOCIAL SERVICE CONSULT</t>
  </si>
  <si>
    <t>Total 64-Activity Costs</t>
  </si>
  <si>
    <t>66- Laundry and Linen Costs</t>
  </si>
  <si>
    <t>661009-LAUNDRY SALARIES</t>
  </si>
  <si>
    <t>661020-LAUNDRY EXPENSE</t>
  </si>
  <si>
    <t>662000-LINEN REPLACEMENT</t>
  </si>
  <si>
    <t>662010-MATTRESS REPLACEMENT</t>
  </si>
  <si>
    <t>662020-DIAPER EXPENSE</t>
  </si>
  <si>
    <t>66- Laundry and Linen Costs - Other</t>
  </si>
  <si>
    <t>Total 66- Laundry and Linen Costs</t>
  </si>
  <si>
    <t>8-General and Administrative</t>
  </si>
  <si>
    <t>801060-OFFICE SALARIES</t>
  </si>
  <si>
    <t>801061-MANAGEMENT FEES</t>
  </si>
  <si>
    <t>801062-ADMINISTRATIVE SALARIES</t>
  </si>
  <si>
    <t>801063-MDS/CARE PLAN</t>
  </si>
  <si>
    <t>801064-ADMISSIONS COORDINATOR</t>
  </si>
  <si>
    <t>801068-REIMBURSEMENT CONS</t>
  </si>
  <si>
    <t>801500-IDPA TAX ASSESSMENT</t>
  </si>
  <si>
    <t>802000-MISC PROF EXP</t>
  </si>
  <si>
    <t>803000-PROF SERV.-ACCOUNTING</t>
  </si>
  <si>
    <t>803100-LEGAL FEES</t>
  </si>
  <si>
    <t>803200-UNEMPLOYMENT CONSULTANT</t>
  </si>
  <si>
    <t>803500-BACKGROUND CHECK</t>
  </si>
  <si>
    <t>804000-OFFICE EXPENSE/SUPPLIES</t>
  </si>
  <si>
    <t>804010-OFFICE MISC</t>
  </si>
  <si>
    <t>804500-BANK CHARGES</t>
  </si>
  <si>
    <t>805000-TELEPHONE</t>
  </si>
  <si>
    <t>806000-AUTO EXPENSE</t>
  </si>
  <si>
    <t>807000-CLASSIFIED ADVERTISING</t>
  </si>
  <si>
    <t>807200-MARKETING EXP</t>
  </si>
  <si>
    <t>808500-E CHARTING EXPENSE</t>
  </si>
  <si>
    <t>809000-LICENSES\PERMITS &amp; FEES</t>
  </si>
  <si>
    <t>810150-MCA Sequester Reduction</t>
  </si>
  <si>
    <t>812000-INTEREST</t>
  </si>
  <si>
    <t>814000-INSURANCE</t>
  </si>
  <si>
    <t>820010-CABLE TV</t>
  </si>
  <si>
    <t>830000-CHRISTMAS EXPENSE</t>
  </si>
  <si>
    <t>840000-SEMINARS &amp; CONFERENCES</t>
  </si>
  <si>
    <t>Total 8-General and Administrative</t>
  </si>
  <si>
    <t>Total Expense</t>
  </si>
  <si>
    <t>Net Ordinary Income</t>
  </si>
  <si>
    <t>Other Income/Expense</t>
  </si>
  <si>
    <t>Other Expense</t>
  </si>
  <si>
    <t>91-Capital Costs</t>
  </si>
  <si>
    <t>911000-RENT</t>
  </si>
  <si>
    <t>912000-REAL ESTATE TAXES</t>
  </si>
  <si>
    <t>Total 91-Capital Costs</t>
  </si>
  <si>
    <t>Total Other Expense</t>
  </si>
  <si>
    <t>Net Other Income</t>
  </si>
  <si>
    <t>Net Income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</si>
</sst>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;\-#,##0.00"/>
  </numFmts>
  <fonts count="6" x14ac:knownFonts="1">
    <font>
      <sz val="11"/>
      <color theme="1"/>
      <name val="Aptos Narrow"/>
      <family val="2"/>
      <scheme val="minor"/>
    </font>
    <font>
      <b/>
      <sz val="8"/>
      <color rgb="FF323232"/>
      <name val="Arial"/>
      <family val="2"/>
    </font>
    <font>
      <sz val="8"/>
      <color rgb="FF323232"/>
      <name val="Arial"/>
      <family val="2"/>
    </font>
    <font>
      <sz val="10"/>
      <name val="Arial"/>
    </font>
    <font>
      <sz val="11"/>
      <color rgb="FF000000"/>
      <name val="Calibri"/>
      <family val="2"/>
    </font>
    <font>
      <sz val="11"/>
      <color rgb="FF333333"/>
      <name val="Tahoma"/>
      <family val="2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/>
      <right/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double">
        <color indexed="64"/>
      </bottom>
      <diagonal/>
    </border>
  </borders>
  <cellStyleXfs count="2">
    <xf numFmtId="0" fontId="0" fillId="0" borderId="0"/>
    <xf numFmtId="0" fontId="3" fillId="0" borderId="0"/>
  </cellStyleXfs>
  <cellXfs count="18">
    <xf numFmtId="0" fontId="0" fillId="0" borderId="0" xfId="0"/>
    <xf numFmtId="49" fontId="1" fillId="0" borderId="0" xfId="0" applyNumberFormat="1" applyFont="1"/>
    <xf numFmtId="164" fontId="2" fillId="0" borderId="0" xfId="0" applyNumberFormat="1" applyFont="1"/>
    <xf numFmtId="49" fontId="2" fillId="0" borderId="0" xfId="0" applyNumberFormat="1" applyFont="1"/>
    <xf numFmtId="164" fontId="2" fillId="0" borderId="0" xfId="0" applyNumberFormat="1" applyFont="1" applyBorder="1"/>
    <xf numFmtId="164" fontId="2" fillId="0" borderId="3" xfId="0" applyNumberFormat="1" applyFont="1" applyBorder="1"/>
    <xf numFmtId="164" fontId="2" fillId="0" borderId="2" xfId="0" applyNumberFormat="1" applyFont="1" applyBorder="1"/>
    <xf numFmtId="164" fontId="2" fillId="0" borderId="4" xfId="0" applyNumberFormat="1" applyFont="1" applyBorder="1"/>
    <xf numFmtId="164" fontId="1" fillId="0" borderId="5" xfId="0" applyNumberFormat="1" applyFont="1" applyBorder="1"/>
    <xf numFmtId="0" fontId="1" fillId="0" borderId="0" xfId="0" applyFont="1"/>
    <xf numFmtId="49" fontId="1" fillId="0" borderId="0" xfId="0" applyNumberFormat="1" applyFont="1" applyAlignment="1">
      <alignment horizontal="center"/>
    </xf>
    <xf numFmtId="49" fontId="1" fillId="0" borderId="1" xfId="0" applyNumberFormat="1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0" xfId="0" applyNumberFormat="1" applyFont="1"/>
    <xf numFmtId="0" fontId="0" fillId="0" borderId="0" xfId="0" applyNumberFormat="1"/>
    <xf numFmtId="0" fontId="4" fillId="0" borderId="0" xfId="1" applyFont="1"/>
    <xf numFmtId="0" fontId="5" fillId="0" borderId="0" xfId="1" applyFont="1"/>
  </cellXfs>
  <cellStyles count="2">
    <cellStyle name="Normal" xfId="0" builtinId="0"/>
    <cellStyle name="Normal 2" xfId="1" xr:uid="{BCF004EF-1CEE-4F17-A5E0-FB54DE0BACD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7</xdr:col>
      <xdr:colOff>885825</xdr:colOff>
      <xdr:row>30</xdr:row>
      <xdr:rowOff>66675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A1825D16-33D5-4524-8A43-9A4AFC8440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2411075" cy="6381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A58283-4786-4129-9E47-3D3DFAA41066}">
  <dimension ref="B1:C40"/>
  <sheetViews>
    <sheetView showGridLines="0" zoomScale="84" zoomScaleNormal="84" workbookViewId="0"/>
  </sheetViews>
  <sheetFormatPr defaultColWidth="8.85546875" defaultRowHeight="15" x14ac:dyDescent="0.25"/>
  <cols>
    <col min="1" max="1" width="3" style="16" customWidth="1"/>
    <col min="2" max="2" width="4.140625" style="16" customWidth="1"/>
    <col min="3" max="3" width="54" style="16" customWidth="1"/>
    <col min="4" max="4" width="3.7109375" style="16" customWidth="1"/>
    <col min="5" max="5" width="90.28515625" style="16" customWidth="1"/>
    <col min="6" max="7" width="8.85546875" style="16"/>
    <col min="8" max="8" width="15.42578125" style="16" customWidth="1"/>
    <col min="9" max="9" width="5.140625" style="16" customWidth="1"/>
    <col min="10" max="11" width="8.85546875" style="16"/>
    <col min="12" max="12" width="3" style="16" customWidth="1"/>
    <col min="13" max="15" width="8.85546875" style="16"/>
    <col min="16" max="16" width="7" style="16" customWidth="1"/>
    <col min="17" max="256" width="8.85546875" style="16"/>
    <col min="257" max="257" width="3" style="16" customWidth="1"/>
    <col min="258" max="258" width="4.140625" style="16" customWidth="1"/>
    <col min="259" max="259" width="54" style="16" customWidth="1"/>
    <col min="260" max="260" width="3.7109375" style="16" customWidth="1"/>
    <col min="261" max="261" width="90.28515625" style="16" customWidth="1"/>
    <col min="262" max="263" width="8.85546875" style="16"/>
    <col min="264" max="264" width="15.42578125" style="16" customWidth="1"/>
    <col min="265" max="265" width="5.140625" style="16" customWidth="1"/>
    <col min="266" max="267" width="8.85546875" style="16"/>
    <col min="268" max="268" width="3" style="16" customWidth="1"/>
    <col min="269" max="271" width="8.85546875" style="16"/>
    <col min="272" max="272" width="7" style="16" customWidth="1"/>
    <col min="273" max="512" width="8.85546875" style="16"/>
    <col min="513" max="513" width="3" style="16" customWidth="1"/>
    <col min="514" max="514" width="4.140625" style="16" customWidth="1"/>
    <col min="515" max="515" width="54" style="16" customWidth="1"/>
    <col min="516" max="516" width="3.7109375" style="16" customWidth="1"/>
    <col min="517" max="517" width="90.28515625" style="16" customWidth="1"/>
    <col min="518" max="519" width="8.85546875" style="16"/>
    <col min="520" max="520" width="15.42578125" style="16" customWidth="1"/>
    <col min="521" max="521" width="5.140625" style="16" customWidth="1"/>
    <col min="522" max="523" width="8.85546875" style="16"/>
    <col min="524" max="524" width="3" style="16" customWidth="1"/>
    <col min="525" max="527" width="8.85546875" style="16"/>
    <col min="528" max="528" width="7" style="16" customWidth="1"/>
    <col min="529" max="768" width="8.85546875" style="16"/>
    <col min="769" max="769" width="3" style="16" customWidth="1"/>
    <col min="770" max="770" width="4.140625" style="16" customWidth="1"/>
    <col min="771" max="771" width="54" style="16" customWidth="1"/>
    <col min="772" max="772" width="3.7109375" style="16" customWidth="1"/>
    <col min="773" max="773" width="90.28515625" style="16" customWidth="1"/>
    <col min="774" max="775" width="8.85546875" style="16"/>
    <col min="776" max="776" width="15.42578125" style="16" customWidth="1"/>
    <col min="777" max="777" width="5.140625" style="16" customWidth="1"/>
    <col min="778" max="779" width="8.85546875" style="16"/>
    <col min="780" max="780" width="3" style="16" customWidth="1"/>
    <col min="781" max="783" width="8.85546875" style="16"/>
    <col min="784" max="784" width="7" style="16" customWidth="1"/>
    <col min="785" max="1024" width="8.85546875" style="16"/>
    <col min="1025" max="1025" width="3" style="16" customWidth="1"/>
    <col min="1026" max="1026" width="4.140625" style="16" customWidth="1"/>
    <col min="1027" max="1027" width="54" style="16" customWidth="1"/>
    <col min="1028" max="1028" width="3.7109375" style="16" customWidth="1"/>
    <col min="1029" max="1029" width="90.28515625" style="16" customWidth="1"/>
    <col min="1030" max="1031" width="8.85546875" style="16"/>
    <col min="1032" max="1032" width="15.42578125" style="16" customWidth="1"/>
    <col min="1033" max="1033" width="5.140625" style="16" customWidth="1"/>
    <col min="1034" max="1035" width="8.85546875" style="16"/>
    <col min="1036" max="1036" width="3" style="16" customWidth="1"/>
    <col min="1037" max="1039" width="8.85546875" style="16"/>
    <col min="1040" max="1040" width="7" style="16" customWidth="1"/>
    <col min="1041" max="1280" width="8.85546875" style="16"/>
    <col min="1281" max="1281" width="3" style="16" customWidth="1"/>
    <col min="1282" max="1282" width="4.140625" style="16" customWidth="1"/>
    <col min="1283" max="1283" width="54" style="16" customWidth="1"/>
    <col min="1284" max="1284" width="3.7109375" style="16" customWidth="1"/>
    <col min="1285" max="1285" width="90.28515625" style="16" customWidth="1"/>
    <col min="1286" max="1287" width="8.85546875" style="16"/>
    <col min="1288" max="1288" width="15.42578125" style="16" customWidth="1"/>
    <col min="1289" max="1289" width="5.140625" style="16" customWidth="1"/>
    <col min="1290" max="1291" width="8.85546875" style="16"/>
    <col min="1292" max="1292" width="3" style="16" customWidth="1"/>
    <col min="1293" max="1295" width="8.85546875" style="16"/>
    <col min="1296" max="1296" width="7" style="16" customWidth="1"/>
    <col min="1297" max="1536" width="8.85546875" style="16"/>
    <col min="1537" max="1537" width="3" style="16" customWidth="1"/>
    <col min="1538" max="1538" width="4.140625" style="16" customWidth="1"/>
    <col min="1539" max="1539" width="54" style="16" customWidth="1"/>
    <col min="1540" max="1540" width="3.7109375" style="16" customWidth="1"/>
    <col min="1541" max="1541" width="90.28515625" style="16" customWidth="1"/>
    <col min="1542" max="1543" width="8.85546875" style="16"/>
    <col min="1544" max="1544" width="15.42578125" style="16" customWidth="1"/>
    <col min="1545" max="1545" width="5.140625" style="16" customWidth="1"/>
    <col min="1546" max="1547" width="8.85546875" style="16"/>
    <col min="1548" max="1548" width="3" style="16" customWidth="1"/>
    <col min="1549" max="1551" width="8.85546875" style="16"/>
    <col min="1552" max="1552" width="7" style="16" customWidth="1"/>
    <col min="1553" max="1792" width="8.85546875" style="16"/>
    <col min="1793" max="1793" width="3" style="16" customWidth="1"/>
    <col min="1794" max="1794" width="4.140625" style="16" customWidth="1"/>
    <col min="1795" max="1795" width="54" style="16" customWidth="1"/>
    <col min="1796" max="1796" width="3.7109375" style="16" customWidth="1"/>
    <col min="1797" max="1797" width="90.28515625" style="16" customWidth="1"/>
    <col min="1798" max="1799" width="8.85546875" style="16"/>
    <col min="1800" max="1800" width="15.42578125" style="16" customWidth="1"/>
    <col min="1801" max="1801" width="5.140625" style="16" customWidth="1"/>
    <col min="1802" max="1803" width="8.85546875" style="16"/>
    <col min="1804" max="1804" width="3" style="16" customWidth="1"/>
    <col min="1805" max="1807" width="8.85546875" style="16"/>
    <col min="1808" max="1808" width="7" style="16" customWidth="1"/>
    <col min="1809" max="2048" width="8.85546875" style="16"/>
    <col min="2049" max="2049" width="3" style="16" customWidth="1"/>
    <col min="2050" max="2050" width="4.140625" style="16" customWidth="1"/>
    <col min="2051" max="2051" width="54" style="16" customWidth="1"/>
    <col min="2052" max="2052" width="3.7109375" style="16" customWidth="1"/>
    <col min="2053" max="2053" width="90.28515625" style="16" customWidth="1"/>
    <col min="2054" max="2055" width="8.85546875" style="16"/>
    <col min="2056" max="2056" width="15.42578125" style="16" customWidth="1"/>
    <col min="2057" max="2057" width="5.140625" style="16" customWidth="1"/>
    <col min="2058" max="2059" width="8.85546875" style="16"/>
    <col min="2060" max="2060" width="3" style="16" customWidth="1"/>
    <col min="2061" max="2063" width="8.85546875" style="16"/>
    <col min="2064" max="2064" width="7" style="16" customWidth="1"/>
    <col min="2065" max="2304" width="8.85546875" style="16"/>
    <col min="2305" max="2305" width="3" style="16" customWidth="1"/>
    <col min="2306" max="2306" width="4.140625" style="16" customWidth="1"/>
    <col min="2307" max="2307" width="54" style="16" customWidth="1"/>
    <col min="2308" max="2308" width="3.7109375" style="16" customWidth="1"/>
    <col min="2309" max="2309" width="90.28515625" style="16" customWidth="1"/>
    <col min="2310" max="2311" width="8.85546875" style="16"/>
    <col min="2312" max="2312" width="15.42578125" style="16" customWidth="1"/>
    <col min="2313" max="2313" width="5.140625" style="16" customWidth="1"/>
    <col min="2314" max="2315" width="8.85546875" style="16"/>
    <col min="2316" max="2316" width="3" style="16" customWidth="1"/>
    <col min="2317" max="2319" width="8.85546875" style="16"/>
    <col min="2320" max="2320" width="7" style="16" customWidth="1"/>
    <col min="2321" max="2560" width="8.85546875" style="16"/>
    <col min="2561" max="2561" width="3" style="16" customWidth="1"/>
    <col min="2562" max="2562" width="4.140625" style="16" customWidth="1"/>
    <col min="2563" max="2563" width="54" style="16" customWidth="1"/>
    <col min="2564" max="2564" width="3.7109375" style="16" customWidth="1"/>
    <col min="2565" max="2565" width="90.28515625" style="16" customWidth="1"/>
    <col min="2566" max="2567" width="8.85546875" style="16"/>
    <col min="2568" max="2568" width="15.42578125" style="16" customWidth="1"/>
    <col min="2569" max="2569" width="5.140625" style="16" customWidth="1"/>
    <col min="2570" max="2571" width="8.85546875" style="16"/>
    <col min="2572" max="2572" width="3" style="16" customWidth="1"/>
    <col min="2573" max="2575" width="8.85546875" style="16"/>
    <col min="2576" max="2576" width="7" style="16" customWidth="1"/>
    <col min="2577" max="2816" width="8.85546875" style="16"/>
    <col min="2817" max="2817" width="3" style="16" customWidth="1"/>
    <col min="2818" max="2818" width="4.140625" style="16" customWidth="1"/>
    <col min="2819" max="2819" width="54" style="16" customWidth="1"/>
    <col min="2820" max="2820" width="3.7109375" style="16" customWidth="1"/>
    <col min="2821" max="2821" width="90.28515625" style="16" customWidth="1"/>
    <col min="2822" max="2823" width="8.85546875" style="16"/>
    <col min="2824" max="2824" width="15.42578125" style="16" customWidth="1"/>
    <col min="2825" max="2825" width="5.140625" style="16" customWidth="1"/>
    <col min="2826" max="2827" width="8.85546875" style="16"/>
    <col min="2828" max="2828" width="3" style="16" customWidth="1"/>
    <col min="2829" max="2831" width="8.85546875" style="16"/>
    <col min="2832" max="2832" width="7" style="16" customWidth="1"/>
    <col min="2833" max="3072" width="8.85546875" style="16"/>
    <col min="3073" max="3073" width="3" style="16" customWidth="1"/>
    <col min="3074" max="3074" width="4.140625" style="16" customWidth="1"/>
    <col min="3075" max="3075" width="54" style="16" customWidth="1"/>
    <col min="3076" max="3076" width="3.7109375" style="16" customWidth="1"/>
    <col min="3077" max="3077" width="90.28515625" style="16" customWidth="1"/>
    <col min="3078" max="3079" width="8.85546875" style="16"/>
    <col min="3080" max="3080" width="15.42578125" style="16" customWidth="1"/>
    <col min="3081" max="3081" width="5.140625" style="16" customWidth="1"/>
    <col min="3082" max="3083" width="8.85546875" style="16"/>
    <col min="3084" max="3084" width="3" style="16" customWidth="1"/>
    <col min="3085" max="3087" width="8.85546875" style="16"/>
    <col min="3088" max="3088" width="7" style="16" customWidth="1"/>
    <col min="3089" max="3328" width="8.85546875" style="16"/>
    <col min="3329" max="3329" width="3" style="16" customWidth="1"/>
    <col min="3330" max="3330" width="4.140625" style="16" customWidth="1"/>
    <col min="3331" max="3331" width="54" style="16" customWidth="1"/>
    <col min="3332" max="3332" width="3.7109375" style="16" customWidth="1"/>
    <col min="3333" max="3333" width="90.28515625" style="16" customWidth="1"/>
    <col min="3334" max="3335" width="8.85546875" style="16"/>
    <col min="3336" max="3336" width="15.42578125" style="16" customWidth="1"/>
    <col min="3337" max="3337" width="5.140625" style="16" customWidth="1"/>
    <col min="3338" max="3339" width="8.85546875" style="16"/>
    <col min="3340" max="3340" width="3" style="16" customWidth="1"/>
    <col min="3341" max="3343" width="8.85546875" style="16"/>
    <col min="3344" max="3344" width="7" style="16" customWidth="1"/>
    <col min="3345" max="3584" width="8.85546875" style="16"/>
    <col min="3585" max="3585" width="3" style="16" customWidth="1"/>
    <col min="3586" max="3586" width="4.140625" style="16" customWidth="1"/>
    <col min="3587" max="3587" width="54" style="16" customWidth="1"/>
    <col min="3588" max="3588" width="3.7109375" style="16" customWidth="1"/>
    <col min="3589" max="3589" width="90.28515625" style="16" customWidth="1"/>
    <col min="3590" max="3591" width="8.85546875" style="16"/>
    <col min="3592" max="3592" width="15.42578125" style="16" customWidth="1"/>
    <col min="3593" max="3593" width="5.140625" style="16" customWidth="1"/>
    <col min="3594" max="3595" width="8.85546875" style="16"/>
    <col min="3596" max="3596" width="3" style="16" customWidth="1"/>
    <col min="3597" max="3599" width="8.85546875" style="16"/>
    <col min="3600" max="3600" width="7" style="16" customWidth="1"/>
    <col min="3601" max="3840" width="8.85546875" style="16"/>
    <col min="3841" max="3841" width="3" style="16" customWidth="1"/>
    <col min="3842" max="3842" width="4.140625" style="16" customWidth="1"/>
    <col min="3843" max="3843" width="54" style="16" customWidth="1"/>
    <col min="3844" max="3844" width="3.7109375" style="16" customWidth="1"/>
    <col min="3845" max="3845" width="90.28515625" style="16" customWidth="1"/>
    <col min="3846" max="3847" width="8.85546875" style="16"/>
    <col min="3848" max="3848" width="15.42578125" style="16" customWidth="1"/>
    <col min="3849" max="3849" width="5.140625" style="16" customWidth="1"/>
    <col min="3850" max="3851" width="8.85546875" style="16"/>
    <col min="3852" max="3852" width="3" style="16" customWidth="1"/>
    <col min="3853" max="3855" width="8.85546875" style="16"/>
    <col min="3856" max="3856" width="7" style="16" customWidth="1"/>
    <col min="3857" max="4096" width="8.85546875" style="16"/>
    <col min="4097" max="4097" width="3" style="16" customWidth="1"/>
    <col min="4098" max="4098" width="4.140625" style="16" customWidth="1"/>
    <col min="4099" max="4099" width="54" style="16" customWidth="1"/>
    <col min="4100" max="4100" width="3.7109375" style="16" customWidth="1"/>
    <col min="4101" max="4101" width="90.28515625" style="16" customWidth="1"/>
    <col min="4102" max="4103" width="8.85546875" style="16"/>
    <col min="4104" max="4104" width="15.42578125" style="16" customWidth="1"/>
    <col min="4105" max="4105" width="5.140625" style="16" customWidth="1"/>
    <col min="4106" max="4107" width="8.85546875" style="16"/>
    <col min="4108" max="4108" width="3" style="16" customWidth="1"/>
    <col min="4109" max="4111" width="8.85546875" style="16"/>
    <col min="4112" max="4112" width="7" style="16" customWidth="1"/>
    <col min="4113" max="4352" width="8.85546875" style="16"/>
    <col min="4353" max="4353" width="3" style="16" customWidth="1"/>
    <col min="4354" max="4354" width="4.140625" style="16" customWidth="1"/>
    <col min="4355" max="4355" width="54" style="16" customWidth="1"/>
    <col min="4356" max="4356" width="3.7109375" style="16" customWidth="1"/>
    <col min="4357" max="4357" width="90.28515625" style="16" customWidth="1"/>
    <col min="4358" max="4359" width="8.85546875" style="16"/>
    <col min="4360" max="4360" width="15.42578125" style="16" customWidth="1"/>
    <col min="4361" max="4361" width="5.140625" style="16" customWidth="1"/>
    <col min="4362" max="4363" width="8.85546875" style="16"/>
    <col min="4364" max="4364" width="3" style="16" customWidth="1"/>
    <col min="4365" max="4367" width="8.85546875" style="16"/>
    <col min="4368" max="4368" width="7" style="16" customWidth="1"/>
    <col min="4369" max="4608" width="8.85546875" style="16"/>
    <col min="4609" max="4609" width="3" style="16" customWidth="1"/>
    <col min="4610" max="4610" width="4.140625" style="16" customWidth="1"/>
    <col min="4611" max="4611" width="54" style="16" customWidth="1"/>
    <col min="4612" max="4612" width="3.7109375" style="16" customWidth="1"/>
    <col min="4613" max="4613" width="90.28515625" style="16" customWidth="1"/>
    <col min="4614" max="4615" width="8.85546875" style="16"/>
    <col min="4616" max="4616" width="15.42578125" style="16" customWidth="1"/>
    <col min="4617" max="4617" width="5.140625" style="16" customWidth="1"/>
    <col min="4618" max="4619" width="8.85546875" style="16"/>
    <col min="4620" max="4620" width="3" style="16" customWidth="1"/>
    <col min="4621" max="4623" width="8.85546875" style="16"/>
    <col min="4624" max="4624" width="7" style="16" customWidth="1"/>
    <col min="4625" max="4864" width="8.85546875" style="16"/>
    <col min="4865" max="4865" width="3" style="16" customWidth="1"/>
    <col min="4866" max="4866" width="4.140625" style="16" customWidth="1"/>
    <col min="4867" max="4867" width="54" style="16" customWidth="1"/>
    <col min="4868" max="4868" width="3.7109375" style="16" customWidth="1"/>
    <col min="4869" max="4869" width="90.28515625" style="16" customWidth="1"/>
    <col min="4870" max="4871" width="8.85546875" style="16"/>
    <col min="4872" max="4872" width="15.42578125" style="16" customWidth="1"/>
    <col min="4873" max="4873" width="5.140625" style="16" customWidth="1"/>
    <col min="4874" max="4875" width="8.85546875" style="16"/>
    <col min="4876" max="4876" width="3" style="16" customWidth="1"/>
    <col min="4877" max="4879" width="8.85546875" style="16"/>
    <col min="4880" max="4880" width="7" style="16" customWidth="1"/>
    <col min="4881" max="5120" width="8.85546875" style="16"/>
    <col min="5121" max="5121" width="3" style="16" customWidth="1"/>
    <col min="5122" max="5122" width="4.140625" style="16" customWidth="1"/>
    <col min="5123" max="5123" width="54" style="16" customWidth="1"/>
    <col min="5124" max="5124" width="3.7109375" style="16" customWidth="1"/>
    <col min="5125" max="5125" width="90.28515625" style="16" customWidth="1"/>
    <col min="5126" max="5127" width="8.85546875" style="16"/>
    <col min="5128" max="5128" width="15.42578125" style="16" customWidth="1"/>
    <col min="5129" max="5129" width="5.140625" style="16" customWidth="1"/>
    <col min="5130" max="5131" width="8.85546875" style="16"/>
    <col min="5132" max="5132" width="3" style="16" customWidth="1"/>
    <col min="5133" max="5135" width="8.85546875" style="16"/>
    <col min="5136" max="5136" width="7" style="16" customWidth="1"/>
    <col min="5137" max="5376" width="8.85546875" style="16"/>
    <col min="5377" max="5377" width="3" style="16" customWidth="1"/>
    <col min="5378" max="5378" width="4.140625" style="16" customWidth="1"/>
    <col min="5379" max="5379" width="54" style="16" customWidth="1"/>
    <col min="5380" max="5380" width="3.7109375" style="16" customWidth="1"/>
    <col min="5381" max="5381" width="90.28515625" style="16" customWidth="1"/>
    <col min="5382" max="5383" width="8.85546875" style="16"/>
    <col min="5384" max="5384" width="15.42578125" style="16" customWidth="1"/>
    <col min="5385" max="5385" width="5.140625" style="16" customWidth="1"/>
    <col min="5386" max="5387" width="8.85546875" style="16"/>
    <col min="5388" max="5388" width="3" style="16" customWidth="1"/>
    <col min="5389" max="5391" width="8.85546875" style="16"/>
    <col min="5392" max="5392" width="7" style="16" customWidth="1"/>
    <col min="5393" max="5632" width="8.85546875" style="16"/>
    <col min="5633" max="5633" width="3" style="16" customWidth="1"/>
    <col min="5634" max="5634" width="4.140625" style="16" customWidth="1"/>
    <col min="5635" max="5635" width="54" style="16" customWidth="1"/>
    <col min="5636" max="5636" width="3.7109375" style="16" customWidth="1"/>
    <col min="5637" max="5637" width="90.28515625" style="16" customWidth="1"/>
    <col min="5638" max="5639" width="8.85546875" style="16"/>
    <col min="5640" max="5640" width="15.42578125" style="16" customWidth="1"/>
    <col min="5641" max="5641" width="5.140625" style="16" customWidth="1"/>
    <col min="5642" max="5643" width="8.85546875" style="16"/>
    <col min="5644" max="5644" width="3" style="16" customWidth="1"/>
    <col min="5645" max="5647" width="8.85546875" style="16"/>
    <col min="5648" max="5648" width="7" style="16" customWidth="1"/>
    <col min="5649" max="5888" width="8.85546875" style="16"/>
    <col min="5889" max="5889" width="3" style="16" customWidth="1"/>
    <col min="5890" max="5890" width="4.140625" style="16" customWidth="1"/>
    <col min="5891" max="5891" width="54" style="16" customWidth="1"/>
    <col min="5892" max="5892" width="3.7109375" style="16" customWidth="1"/>
    <col min="5893" max="5893" width="90.28515625" style="16" customWidth="1"/>
    <col min="5894" max="5895" width="8.85546875" style="16"/>
    <col min="5896" max="5896" width="15.42578125" style="16" customWidth="1"/>
    <col min="5897" max="5897" width="5.140625" style="16" customWidth="1"/>
    <col min="5898" max="5899" width="8.85546875" style="16"/>
    <col min="5900" max="5900" width="3" style="16" customWidth="1"/>
    <col min="5901" max="5903" width="8.85546875" style="16"/>
    <col min="5904" max="5904" width="7" style="16" customWidth="1"/>
    <col min="5905" max="6144" width="8.85546875" style="16"/>
    <col min="6145" max="6145" width="3" style="16" customWidth="1"/>
    <col min="6146" max="6146" width="4.140625" style="16" customWidth="1"/>
    <col min="6147" max="6147" width="54" style="16" customWidth="1"/>
    <col min="6148" max="6148" width="3.7109375" style="16" customWidth="1"/>
    <col min="6149" max="6149" width="90.28515625" style="16" customWidth="1"/>
    <col min="6150" max="6151" width="8.85546875" style="16"/>
    <col min="6152" max="6152" width="15.42578125" style="16" customWidth="1"/>
    <col min="6153" max="6153" width="5.140625" style="16" customWidth="1"/>
    <col min="6154" max="6155" width="8.85546875" style="16"/>
    <col min="6156" max="6156" width="3" style="16" customWidth="1"/>
    <col min="6157" max="6159" width="8.85546875" style="16"/>
    <col min="6160" max="6160" width="7" style="16" customWidth="1"/>
    <col min="6161" max="6400" width="8.85546875" style="16"/>
    <col min="6401" max="6401" width="3" style="16" customWidth="1"/>
    <col min="6402" max="6402" width="4.140625" style="16" customWidth="1"/>
    <col min="6403" max="6403" width="54" style="16" customWidth="1"/>
    <col min="6404" max="6404" width="3.7109375" style="16" customWidth="1"/>
    <col min="6405" max="6405" width="90.28515625" style="16" customWidth="1"/>
    <col min="6406" max="6407" width="8.85546875" style="16"/>
    <col min="6408" max="6408" width="15.42578125" style="16" customWidth="1"/>
    <col min="6409" max="6409" width="5.140625" style="16" customWidth="1"/>
    <col min="6410" max="6411" width="8.85546875" style="16"/>
    <col min="6412" max="6412" width="3" style="16" customWidth="1"/>
    <col min="6413" max="6415" width="8.85546875" style="16"/>
    <col min="6416" max="6416" width="7" style="16" customWidth="1"/>
    <col min="6417" max="6656" width="8.85546875" style="16"/>
    <col min="6657" max="6657" width="3" style="16" customWidth="1"/>
    <col min="6658" max="6658" width="4.140625" style="16" customWidth="1"/>
    <col min="6659" max="6659" width="54" style="16" customWidth="1"/>
    <col min="6660" max="6660" width="3.7109375" style="16" customWidth="1"/>
    <col min="6661" max="6661" width="90.28515625" style="16" customWidth="1"/>
    <col min="6662" max="6663" width="8.85546875" style="16"/>
    <col min="6664" max="6664" width="15.42578125" style="16" customWidth="1"/>
    <col min="6665" max="6665" width="5.140625" style="16" customWidth="1"/>
    <col min="6666" max="6667" width="8.85546875" style="16"/>
    <col min="6668" max="6668" width="3" style="16" customWidth="1"/>
    <col min="6669" max="6671" width="8.85546875" style="16"/>
    <col min="6672" max="6672" width="7" style="16" customWidth="1"/>
    <col min="6673" max="6912" width="8.85546875" style="16"/>
    <col min="6913" max="6913" width="3" style="16" customWidth="1"/>
    <col min="6914" max="6914" width="4.140625" style="16" customWidth="1"/>
    <col min="6915" max="6915" width="54" style="16" customWidth="1"/>
    <col min="6916" max="6916" width="3.7109375" style="16" customWidth="1"/>
    <col min="6917" max="6917" width="90.28515625" style="16" customWidth="1"/>
    <col min="6918" max="6919" width="8.85546875" style="16"/>
    <col min="6920" max="6920" width="15.42578125" style="16" customWidth="1"/>
    <col min="6921" max="6921" width="5.140625" style="16" customWidth="1"/>
    <col min="6922" max="6923" width="8.85546875" style="16"/>
    <col min="6924" max="6924" width="3" style="16" customWidth="1"/>
    <col min="6925" max="6927" width="8.85546875" style="16"/>
    <col min="6928" max="6928" width="7" style="16" customWidth="1"/>
    <col min="6929" max="7168" width="8.85546875" style="16"/>
    <col min="7169" max="7169" width="3" style="16" customWidth="1"/>
    <col min="7170" max="7170" width="4.140625" style="16" customWidth="1"/>
    <col min="7171" max="7171" width="54" style="16" customWidth="1"/>
    <col min="7172" max="7172" width="3.7109375" style="16" customWidth="1"/>
    <col min="7173" max="7173" width="90.28515625" style="16" customWidth="1"/>
    <col min="7174" max="7175" width="8.85546875" style="16"/>
    <col min="7176" max="7176" width="15.42578125" style="16" customWidth="1"/>
    <col min="7177" max="7177" width="5.140625" style="16" customWidth="1"/>
    <col min="7178" max="7179" width="8.85546875" style="16"/>
    <col min="7180" max="7180" width="3" style="16" customWidth="1"/>
    <col min="7181" max="7183" width="8.85546875" style="16"/>
    <col min="7184" max="7184" width="7" style="16" customWidth="1"/>
    <col min="7185" max="7424" width="8.85546875" style="16"/>
    <col min="7425" max="7425" width="3" style="16" customWidth="1"/>
    <col min="7426" max="7426" width="4.140625" style="16" customWidth="1"/>
    <col min="7427" max="7427" width="54" style="16" customWidth="1"/>
    <col min="7428" max="7428" width="3.7109375" style="16" customWidth="1"/>
    <col min="7429" max="7429" width="90.28515625" style="16" customWidth="1"/>
    <col min="7430" max="7431" width="8.85546875" style="16"/>
    <col min="7432" max="7432" width="15.42578125" style="16" customWidth="1"/>
    <col min="7433" max="7433" width="5.140625" style="16" customWidth="1"/>
    <col min="7434" max="7435" width="8.85546875" style="16"/>
    <col min="7436" max="7436" width="3" style="16" customWidth="1"/>
    <col min="7437" max="7439" width="8.85546875" style="16"/>
    <col min="7440" max="7440" width="7" style="16" customWidth="1"/>
    <col min="7441" max="7680" width="8.85546875" style="16"/>
    <col min="7681" max="7681" width="3" style="16" customWidth="1"/>
    <col min="7682" max="7682" width="4.140625" style="16" customWidth="1"/>
    <col min="7683" max="7683" width="54" style="16" customWidth="1"/>
    <col min="7684" max="7684" width="3.7109375" style="16" customWidth="1"/>
    <col min="7685" max="7685" width="90.28515625" style="16" customWidth="1"/>
    <col min="7686" max="7687" width="8.85546875" style="16"/>
    <col min="7688" max="7688" width="15.42578125" style="16" customWidth="1"/>
    <col min="7689" max="7689" width="5.140625" style="16" customWidth="1"/>
    <col min="7690" max="7691" width="8.85546875" style="16"/>
    <col min="7692" max="7692" width="3" style="16" customWidth="1"/>
    <col min="7693" max="7695" width="8.85546875" style="16"/>
    <col min="7696" max="7696" width="7" style="16" customWidth="1"/>
    <col min="7697" max="7936" width="8.85546875" style="16"/>
    <col min="7937" max="7937" width="3" style="16" customWidth="1"/>
    <col min="7938" max="7938" width="4.140625" style="16" customWidth="1"/>
    <col min="7939" max="7939" width="54" style="16" customWidth="1"/>
    <col min="7940" max="7940" width="3.7109375" style="16" customWidth="1"/>
    <col min="7941" max="7941" width="90.28515625" style="16" customWidth="1"/>
    <col min="7942" max="7943" width="8.85546875" style="16"/>
    <col min="7944" max="7944" width="15.42578125" style="16" customWidth="1"/>
    <col min="7945" max="7945" width="5.140625" style="16" customWidth="1"/>
    <col min="7946" max="7947" width="8.85546875" style="16"/>
    <col min="7948" max="7948" width="3" style="16" customWidth="1"/>
    <col min="7949" max="7951" width="8.85546875" style="16"/>
    <col min="7952" max="7952" width="7" style="16" customWidth="1"/>
    <col min="7953" max="8192" width="8.85546875" style="16"/>
    <col min="8193" max="8193" width="3" style="16" customWidth="1"/>
    <col min="8194" max="8194" width="4.140625" style="16" customWidth="1"/>
    <col min="8195" max="8195" width="54" style="16" customWidth="1"/>
    <col min="8196" max="8196" width="3.7109375" style="16" customWidth="1"/>
    <col min="8197" max="8197" width="90.28515625" style="16" customWidth="1"/>
    <col min="8198" max="8199" width="8.85546875" style="16"/>
    <col min="8200" max="8200" width="15.42578125" style="16" customWidth="1"/>
    <col min="8201" max="8201" width="5.140625" style="16" customWidth="1"/>
    <col min="8202" max="8203" width="8.85546875" style="16"/>
    <col min="8204" max="8204" width="3" style="16" customWidth="1"/>
    <col min="8205" max="8207" width="8.85546875" style="16"/>
    <col min="8208" max="8208" width="7" style="16" customWidth="1"/>
    <col min="8209" max="8448" width="8.85546875" style="16"/>
    <col min="8449" max="8449" width="3" style="16" customWidth="1"/>
    <col min="8450" max="8450" width="4.140625" style="16" customWidth="1"/>
    <col min="8451" max="8451" width="54" style="16" customWidth="1"/>
    <col min="8452" max="8452" width="3.7109375" style="16" customWidth="1"/>
    <col min="8453" max="8453" width="90.28515625" style="16" customWidth="1"/>
    <col min="8454" max="8455" width="8.85546875" style="16"/>
    <col min="8456" max="8456" width="15.42578125" style="16" customWidth="1"/>
    <col min="8457" max="8457" width="5.140625" style="16" customWidth="1"/>
    <col min="8458" max="8459" width="8.85546875" style="16"/>
    <col min="8460" max="8460" width="3" style="16" customWidth="1"/>
    <col min="8461" max="8463" width="8.85546875" style="16"/>
    <col min="8464" max="8464" width="7" style="16" customWidth="1"/>
    <col min="8465" max="8704" width="8.85546875" style="16"/>
    <col min="8705" max="8705" width="3" style="16" customWidth="1"/>
    <col min="8706" max="8706" width="4.140625" style="16" customWidth="1"/>
    <col min="8707" max="8707" width="54" style="16" customWidth="1"/>
    <col min="8708" max="8708" width="3.7109375" style="16" customWidth="1"/>
    <col min="8709" max="8709" width="90.28515625" style="16" customWidth="1"/>
    <col min="8710" max="8711" width="8.85546875" style="16"/>
    <col min="8712" max="8712" width="15.42578125" style="16" customWidth="1"/>
    <col min="8713" max="8713" width="5.140625" style="16" customWidth="1"/>
    <col min="8714" max="8715" width="8.85546875" style="16"/>
    <col min="8716" max="8716" width="3" style="16" customWidth="1"/>
    <col min="8717" max="8719" width="8.85546875" style="16"/>
    <col min="8720" max="8720" width="7" style="16" customWidth="1"/>
    <col min="8721" max="8960" width="8.85546875" style="16"/>
    <col min="8961" max="8961" width="3" style="16" customWidth="1"/>
    <col min="8962" max="8962" width="4.140625" style="16" customWidth="1"/>
    <col min="8963" max="8963" width="54" style="16" customWidth="1"/>
    <col min="8964" max="8964" width="3.7109375" style="16" customWidth="1"/>
    <col min="8965" max="8965" width="90.28515625" style="16" customWidth="1"/>
    <col min="8966" max="8967" width="8.85546875" style="16"/>
    <col min="8968" max="8968" width="15.42578125" style="16" customWidth="1"/>
    <col min="8969" max="8969" width="5.140625" style="16" customWidth="1"/>
    <col min="8970" max="8971" width="8.85546875" style="16"/>
    <col min="8972" max="8972" width="3" style="16" customWidth="1"/>
    <col min="8973" max="8975" width="8.85546875" style="16"/>
    <col min="8976" max="8976" width="7" style="16" customWidth="1"/>
    <col min="8977" max="9216" width="8.85546875" style="16"/>
    <col min="9217" max="9217" width="3" style="16" customWidth="1"/>
    <col min="9218" max="9218" width="4.140625" style="16" customWidth="1"/>
    <col min="9219" max="9219" width="54" style="16" customWidth="1"/>
    <col min="9220" max="9220" width="3.7109375" style="16" customWidth="1"/>
    <col min="9221" max="9221" width="90.28515625" style="16" customWidth="1"/>
    <col min="9222" max="9223" width="8.85546875" style="16"/>
    <col min="9224" max="9224" width="15.42578125" style="16" customWidth="1"/>
    <col min="9225" max="9225" width="5.140625" style="16" customWidth="1"/>
    <col min="9226" max="9227" width="8.85546875" style="16"/>
    <col min="9228" max="9228" width="3" style="16" customWidth="1"/>
    <col min="9229" max="9231" width="8.85546875" style="16"/>
    <col min="9232" max="9232" width="7" style="16" customWidth="1"/>
    <col min="9233" max="9472" width="8.85546875" style="16"/>
    <col min="9473" max="9473" width="3" style="16" customWidth="1"/>
    <col min="9474" max="9474" width="4.140625" style="16" customWidth="1"/>
    <col min="9475" max="9475" width="54" style="16" customWidth="1"/>
    <col min="9476" max="9476" width="3.7109375" style="16" customWidth="1"/>
    <col min="9477" max="9477" width="90.28515625" style="16" customWidth="1"/>
    <col min="9478" max="9479" width="8.85546875" style="16"/>
    <col min="9480" max="9480" width="15.42578125" style="16" customWidth="1"/>
    <col min="9481" max="9481" width="5.140625" style="16" customWidth="1"/>
    <col min="9482" max="9483" width="8.85546875" style="16"/>
    <col min="9484" max="9484" width="3" style="16" customWidth="1"/>
    <col min="9485" max="9487" width="8.85546875" style="16"/>
    <col min="9488" max="9488" width="7" style="16" customWidth="1"/>
    <col min="9489" max="9728" width="8.85546875" style="16"/>
    <col min="9729" max="9729" width="3" style="16" customWidth="1"/>
    <col min="9730" max="9730" width="4.140625" style="16" customWidth="1"/>
    <col min="9731" max="9731" width="54" style="16" customWidth="1"/>
    <col min="9732" max="9732" width="3.7109375" style="16" customWidth="1"/>
    <col min="9733" max="9733" width="90.28515625" style="16" customWidth="1"/>
    <col min="9734" max="9735" width="8.85546875" style="16"/>
    <col min="9736" max="9736" width="15.42578125" style="16" customWidth="1"/>
    <col min="9737" max="9737" width="5.140625" style="16" customWidth="1"/>
    <col min="9738" max="9739" width="8.85546875" style="16"/>
    <col min="9740" max="9740" width="3" style="16" customWidth="1"/>
    <col min="9741" max="9743" width="8.85546875" style="16"/>
    <col min="9744" max="9744" width="7" style="16" customWidth="1"/>
    <col min="9745" max="9984" width="8.85546875" style="16"/>
    <col min="9985" max="9985" width="3" style="16" customWidth="1"/>
    <col min="9986" max="9986" width="4.140625" style="16" customWidth="1"/>
    <col min="9987" max="9987" width="54" style="16" customWidth="1"/>
    <col min="9988" max="9988" width="3.7109375" style="16" customWidth="1"/>
    <col min="9989" max="9989" width="90.28515625" style="16" customWidth="1"/>
    <col min="9990" max="9991" width="8.85546875" style="16"/>
    <col min="9992" max="9992" width="15.42578125" style="16" customWidth="1"/>
    <col min="9993" max="9993" width="5.140625" style="16" customWidth="1"/>
    <col min="9994" max="9995" width="8.85546875" style="16"/>
    <col min="9996" max="9996" width="3" style="16" customWidth="1"/>
    <col min="9997" max="9999" width="8.85546875" style="16"/>
    <col min="10000" max="10000" width="7" style="16" customWidth="1"/>
    <col min="10001" max="10240" width="8.85546875" style="16"/>
    <col min="10241" max="10241" width="3" style="16" customWidth="1"/>
    <col min="10242" max="10242" width="4.140625" style="16" customWidth="1"/>
    <col min="10243" max="10243" width="54" style="16" customWidth="1"/>
    <col min="10244" max="10244" width="3.7109375" style="16" customWidth="1"/>
    <col min="10245" max="10245" width="90.28515625" style="16" customWidth="1"/>
    <col min="10246" max="10247" width="8.85546875" style="16"/>
    <col min="10248" max="10248" width="15.42578125" style="16" customWidth="1"/>
    <col min="10249" max="10249" width="5.140625" style="16" customWidth="1"/>
    <col min="10250" max="10251" width="8.85546875" style="16"/>
    <col min="10252" max="10252" width="3" style="16" customWidth="1"/>
    <col min="10253" max="10255" width="8.85546875" style="16"/>
    <col min="10256" max="10256" width="7" style="16" customWidth="1"/>
    <col min="10257" max="10496" width="8.85546875" style="16"/>
    <col min="10497" max="10497" width="3" style="16" customWidth="1"/>
    <col min="10498" max="10498" width="4.140625" style="16" customWidth="1"/>
    <col min="10499" max="10499" width="54" style="16" customWidth="1"/>
    <col min="10500" max="10500" width="3.7109375" style="16" customWidth="1"/>
    <col min="10501" max="10501" width="90.28515625" style="16" customWidth="1"/>
    <col min="10502" max="10503" width="8.85546875" style="16"/>
    <col min="10504" max="10504" width="15.42578125" style="16" customWidth="1"/>
    <col min="10505" max="10505" width="5.140625" style="16" customWidth="1"/>
    <col min="10506" max="10507" width="8.85546875" style="16"/>
    <col min="10508" max="10508" width="3" style="16" customWidth="1"/>
    <col min="10509" max="10511" width="8.85546875" style="16"/>
    <col min="10512" max="10512" width="7" style="16" customWidth="1"/>
    <col min="10513" max="10752" width="8.85546875" style="16"/>
    <col min="10753" max="10753" width="3" style="16" customWidth="1"/>
    <col min="10754" max="10754" width="4.140625" style="16" customWidth="1"/>
    <col min="10755" max="10755" width="54" style="16" customWidth="1"/>
    <col min="10756" max="10756" width="3.7109375" style="16" customWidth="1"/>
    <col min="10757" max="10757" width="90.28515625" style="16" customWidth="1"/>
    <col min="10758" max="10759" width="8.85546875" style="16"/>
    <col min="10760" max="10760" width="15.42578125" style="16" customWidth="1"/>
    <col min="10761" max="10761" width="5.140625" style="16" customWidth="1"/>
    <col min="10762" max="10763" width="8.85546875" style="16"/>
    <col min="10764" max="10764" width="3" style="16" customWidth="1"/>
    <col min="10765" max="10767" width="8.85546875" style="16"/>
    <col min="10768" max="10768" width="7" style="16" customWidth="1"/>
    <col min="10769" max="11008" width="8.85546875" style="16"/>
    <col min="11009" max="11009" width="3" style="16" customWidth="1"/>
    <col min="11010" max="11010" width="4.140625" style="16" customWidth="1"/>
    <col min="11011" max="11011" width="54" style="16" customWidth="1"/>
    <col min="11012" max="11012" width="3.7109375" style="16" customWidth="1"/>
    <col min="11013" max="11013" width="90.28515625" style="16" customWidth="1"/>
    <col min="11014" max="11015" width="8.85546875" style="16"/>
    <col min="11016" max="11016" width="15.42578125" style="16" customWidth="1"/>
    <col min="11017" max="11017" width="5.140625" style="16" customWidth="1"/>
    <col min="11018" max="11019" width="8.85546875" style="16"/>
    <col min="11020" max="11020" width="3" style="16" customWidth="1"/>
    <col min="11021" max="11023" width="8.85546875" style="16"/>
    <col min="11024" max="11024" width="7" style="16" customWidth="1"/>
    <col min="11025" max="11264" width="8.85546875" style="16"/>
    <col min="11265" max="11265" width="3" style="16" customWidth="1"/>
    <col min="11266" max="11266" width="4.140625" style="16" customWidth="1"/>
    <col min="11267" max="11267" width="54" style="16" customWidth="1"/>
    <col min="11268" max="11268" width="3.7109375" style="16" customWidth="1"/>
    <col min="11269" max="11269" width="90.28515625" style="16" customWidth="1"/>
    <col min="11270" max="11271" width="8.85546875" style="16"/>
    <col min="11272" max="11272" width="15.42578125" style="16" customWidth="1"/>
    <col min="11273" max="11273" width="5.140625" style="16" customWidth="1"/>
    <col min="11274" max="11275" width="8.85546875" style="16"/>
    <col min="11276" max="11276" width="3" style="16" customWidth="1"/>
    <col min="11277" max="11279" width="8.85546875" style="16"/>
    <col min="11280" max="11280" width="7" style="16" customWidth="1"/>
    <col min="11281" max="11520" width="8.85546875" style="16"/>
    <col min="11521" max="11521" width="3" style="16" customWidth="1"/>
    <col min="11522" max="11522" width="4.140625" style="16" customWidth="1"/>
    <col min="11523" max="11523" width="54" style="16" customWidth="1"/>
    <col min="11524" max="11524" width="3.7109375" style="16" customWidth="1"/>
    <col min="11525" max="11525" width="90.28515625" style="16" customWidth="1"/>
    <col min="11526" max="11527" width="8.85546875" style="16"/>
    <col min="11528" max="11528" width="15.42578125" style="16" customWidth="1"/>
    <col min="11529" max="11529" width="5.140625" style="16" customWidth="1"/>
    <col min="11530" max="11531" width="8.85546875" style="16"/>
    <col min="11532" max="11532" width="3" style="16" customWidth="1"/>
    <col min="11533" max="11535" width="8.85546875" style="16"/>
    <col min="11536" max="11536" width="7" style="16" customWidth="1"/>
    <col min="11537" max="11776" width="8.85546875" style="16"/>
    <col min="11777" max="11777" width="3" style="16" customWidth="1"/>
    <col min="11778" max="11778" width="4.140625" style="16" customWidth="1"/>
    <col min="11779" max="11779" width="54" style="16" customWidth="1"/>
    <col min="11780" max="11780" width="3.7109375" style="16" customWidth="1"/>
    <col min="11781" max="11781" width="90.28515625" style="16" customWidth="1"/>
    <col min="11782" max="11783" width="8.85546875" style="16"/>
    <col min="11784" max="11784" width="15.42578125" style="16" customWidth="1"/>
    <col min="11785" max="11785" width="5.140625" style="16" customWidth="1"/>
    <col min="11786" max="11787" width="8.85546875" style="16"/>
    <col min="11788" max="11788" width="3" style="16" customWidth="1"/>
    <col min="11789" max="11791" width="8.85546875" style="16"/>
    <col min="11792" max="11792" width="7" style="16" customWidth="1"/>
    <col min="11793" max="12032" width="8.85546875" style="16"/>
    <col min="12033" max="12033" width="3" style="16" customWidth="1"/>
    <col min="12034" max="12034" width="4.140625" style="16" customWidth="1"/>
    <col min="12035" max="12035" width="54" style="16" customWidth="1"/>
    <col min="12036" max="12036" width="3.7109375" style="16" customWidth="1"/>
    <col min="12037" max="12037" width="90.28515625" style="16" customWidth="1"/>
    <col min="12038" max="12039" width="8.85546875" style="16"/>
    <col min="12040" max="12040" width="15.42578125" style="16" customWidth="1"/>
    <col min="12041" max="12041" width="5.140625" style="16" customWidth="1"/>
    <col min="12042" max="12043" width="8.85546875" style="16"/>
    <col min="12044" max="12044" width="3" style="16" customWidth="1"/>
    <col min="12045" max="12047" width="8.85546875" style="16"/>
    <col min="12048" max="12048" width="7" style="16" customWidth="1"/>
    <col min="12049" max="12288" width="8.85546875" style="16"/>
    <col min="12289" max="12289" width="3" style="16" customWidth="1"/>
    <col min="12290" max="12290" width="4.140625" style="16" customWidth="1"/>
    <col min="12291" max="12291" width="54" style="16" customWidth="1"/>
    <col min="12292" max="12292" width="3.7109375" style="16" customWidth="1"/>
    <col min="12293" max="12293" width="90.28515625" style="16" customWidth="1"/>
    <col min="12294" max="12295" width="8.85546875" style="16"/>
    <col min="12296" max="12296" width="15.42578125" style="16" customWidth="1"/>
    <col min="12297" max="12297" width="5.140625" style="16" customWidth="1"/>
    <col min="12298" max="12299" width="8.85546875" style="16"/>
    <col min="12300" max="12300" width="3" style="16" customWidth="1"/>
    <col min="12301" max="12303" width="8.85546875" style="16"/>
    <col min="12304" max="12304" width="7" style="16" customWidth="1"/>
    <col min="12305" max="12544" width="8.85546875" style="16"/>
    <col min="12545" max="12545" width="3" style="16" customWidth="1"/>
    <col min="12546" max="12546" width="4.140625" style="16" customWidth="1"/>
    <col min="12547" max="12547" width="54" style="16" customWidth="1"/>
    <col min="12548" max="12548" width="3.7109375" style="16" customWidth="1"/>
    <col min="12549" max="12549" width="90.28515625" style="16" customWidth="1"/>
    <col min="12550" max="12551" width="8.85546875" style="16"/>
    <col min="12552" max="12552" width="15.42578125" style="16" customWidth="1"/>
    <col min="12553" max="12553" width="5.140625" style="16" customWidth="1"/>
    <col min="12554" max="12555" width="8.85546875" style="16"/>
    <col min="12556" max="12556" width="3" style="16" customWidth="1"/>
    <col min="12557" max="12559" width="8.85546875" style="16"/>
    <col min="12560" max="12560" width="7" style="16" customWidth="1"/>
    <col min="12561" max="12800" width="8.85546875" style="16"/>
    <col min="12801" max="12801" width="3" style="16" customWidth="1"/>
    <col min="12802" max="12802" width="4.140625" style="16" customWidth="1"/>
    <col min="12803" max="12803" width="54" style="16" customWidth="1"/>
    <col min="12804" max="12804" width="3.7109375" style="16" customWidth="1"/>
    <col min="12805" max="12805" width="90.28515625" style="16" customWidth="1"/>
    <col min="12806" max="12807" width="8.85546875" style="16"/>
    <col min="12808" max="12808" width="15.42578125" style="16" customWidth="1"/>
    <col min="12809" max="12809" width="5.140625" style="16" customWidth="1"/>
    <col min="12810" max="12811" width="8.85546875" style="16"/>
    <col min="12812" max="12812" width="3" style="16" customWidth="1"/>
    <col min="12813" max="12815" width="8.85546875" style="16"/>
    <col min="12816" max="12816" width="7" style="16" customWidth="1"/>
    <col min="12817" max="13056" width="8.85546875" style="16"/>
    <col min="13057" max="13057" width="3" style="16" customWidth="1"/>
    <col min="13058" max="13058" width="4.140625" style="16" customWidth="1"/>
    <col min="13059" max="13059" width="54" style="16" customWidth="1"/>
    <col min="13060" max="13060" width="3.7109375" style="16" customWidth="1"/>
    <col min="13061" max="13061" width="90.28515625" style="16" customWidth="1"/>
    <col min="13062" max="13063" width="8.85546875" style="16"/>
    <col min="13064" max="13064" width="15.42578125" style="16" customWidth="1"/>
    <col min="13065" max="13065" width="5.140625" style="16" customWidth="1"/>
    <col min="13066" max="13067" width="8.85546875" style="16"/>
    <col min="13068" max="13068" width="3" style="16" customWidth="1"/>
    <col min="13069" max="13071" width="8.85546875" style="16"/>
    <col min="13072" max="13072" width="7" style="16" customWidth="1"/>
    <col min="13073" max="13312" width="8.85546875" style="16"/>
    <col min="13313" max="13313" width="3" style="16" customWidth="1"/>
    <col min="13314" max="13314" width="4.140625" style="16" customWidth="1"/>
    <col min="13315" max="13315" width="54" style="16" customWidth="1"/>
    <col min="13316" max="13316" width="3.7109375" style="16" customWidth="1"/>
    <col min="13317" max="13317" width="90.28515625" style="16" customWidth="1"/>
    <col min="13318" max="13319" width="8.85546875" style="16"/>
    <col min="13320" max="13320" width="15.42578125" style="16" customWidth="1"/>
    <col min="13321" max="13321" width="5.140625" style="16" customWidth="1"/>
    <col min="13322" max="13323" width="8.85546875" style="16"/>
    <col min="13324" max="13324" width="3" style="16" customWidth="1"/>
    <col min="13325" max="13327" width="8.85546875" style="16"/>
    <col min="13328" max="13328" width="7" style="16" customWidth="1"/>
    <col min="13329" max="13568" width="8.85546875" style="16"/>
    <col min="13569" max="13569" width="3" style="16" customWidth="1"/>
    <col min="13570" max="13570" width="4.140625" style="16" customWidth="1"/>
    <col min="13571" max="13571" width="54" style="16" customWidth="1"/>
    <col min="13572" max="13572" width="3.7109375" style="16" customWidth="1"/>
    <col min="13573" max="13573" width="90.28515625" style="16" customWidth="1"/>
    <col min="13574" max="13575" width="8.85546875" style="16"/>
    <col min="13576" max="13576" width="15.42578125" style="16" customWidth="1"/>
    <col min="13577" max="13577" width="5.140625" style="16" customWidth="1"/>
    <col min="13578" max="13579" width="8.85546875" style="16"/>
    <col min="13580" max="13580" width="3" style="16" customWidth="1"/>
    <col min="13581" max="13583" width="8.85546875" style="16"/>
    <col min="13584" max="13584" width="7" style="16" customWidth="1"/>
    <col min="13585" max="13824" width="8.85546875" style="16"/>
    <col min="13825" max="13825" width="3" style="16" customWidth="1"/>
    <col min="13826" max="13826" width="4.140625" style="16" customWidth="1"/>
    <col min="13827" max="13827" width="54" style="16" customWidth="1"/>
    <col min="13828" max="13828" width="3.7109375" style="16" customWidth="1"/>
    <col min="13829" max="13829" width="90.28515625" style="16" customWidth="1"/>
    <col min="13830" max="13831" width="8.85546875" style="16"/>
    <col min="13832" max="13832" width="15.42578125" style="16" customWidth="1"/>
    <col min="13833" max="13833" width="5.140625" style="16" customWidth="1"/>
    <col min="13834" max="13835" width="8.85546875" style="16"/>
    <col min="13836" max="13836" width="3" style="16" customWidth="1"/>
    <col min="13837" max="13839" width="8.85546875" style="16"/>
    <col min="13840" max="13840" width="7" style="16" customWidth="1"/>
    <col min="13841" max="14080" width="8.85546875" style="16"/>
    <col min="14081" max="14081" width="3" style="16" customWidth="1"/>
    <col min="14082" max="14082" width="4.140625" style="16" customWidth="1"/>
    <col min="14083" max="14083" width="54" style="16" customWidth="1"/>
    <col min="14084" max="14084" width="3.7109375" style="16" customWidth="1"/>
    <col min="14085" max="14085" width="90.28515625" style="16" customWidth="1"/>
    <col min="14086" max="14087" width="8.85546875" style="16"/>
    <col min="14088" max="14088" width="15.42578125" style="16" customWidth="1"/>
    <col min="14089" max="14089" width="5.140625" style="16" customWidth="1"/>
    <col min="14090" max="14091" width="8.85546875" style="16"/>
    <col min="14092" max="14092" width="3" style="16" customWidth="1"/>
    <col min="14093" max="14095" width="8.85546875" style="16"/>
    <col min="14096" max="14096" width="7" style="16" customWidth="1"/>
    <col min="14097" max="14336" width="8.85546875" style="16"/>
    <col min="14337" max="14337" width="3" style="16" customWidth="1"/>
    <col min="14338" max="14338" width="4.140625" style="16" customWidth="1"/>
    <col min="14339" max="14339" width="54" style="16" customWidth="1"/>
    <col min="14340" max="14340" width="3.7109375" style="16" customWidth="1"/>
    <col min="14341" max="14341" width="90.28515625" style="16" customWidth="1"/>
    <col min="14342" max="14343" width="8.85546875" style="16"/>
    <col min="14344" max="14344" width="15.42578125" style="16" customWidth="1"/>
    <col min="14345" max="14345" width="5.140625" style="16" customWidth="1"/>
    <col min="14346" max="14347" width="8.85546875" style="16"/>
    <col min="14348" max="14348" width="3" style="16" customWidth="1"/>
    <col min="14349" max="14351" width="8.85546875" style="16"/>
    <col min="14352" max="14352" width="7" style="16" customWidth="1"/>
    <col min="14353" max="14592" width="8.85546875" style="16"/>
    <col min="14593" max="14593" width="3" style="16" customWidth="1"/>
    <col min="14594" max="14594" width="4.140625" style="16" customWidth="1"/>
    <col min="14595" max="14595" width="54" style="16" customWidth="1"/>
    <col min="14596" max="14596" width="3.7109375" style="16" customWidth="1"/>
    <col min="14597" max="14597" width="90.28515625" style="16" customWidth="1"/>
    <col min="14598" max="14599" width="8.85546875" style="16"/>
    <col min="14600" max="14600" width="15.42578125" style="16" customWidth="1"/>
    <col min="14601" max="14601" width="5.140625" style="16" customWidth="1"/>
    <col min="14602" max="14603" width="8.85546875" style="16"/>
    <col min="14604" max="14604" width="3" style="16" customWidth="1"/>
    <col min="14605" max="14607" width="8.85546875" style="16"/>
    <col min="14608" max="14608" width="7" style="16" customWidth="1"/>
    <col min="14609" max="14848" width="8.85546875" style="16"/>
    <col min="14849" max="14849" width="3" style="16" customWidth="1"/>
    <col min="14850" max="14850" width="4.140625" style="16" customWidth="1"/>
    <col min="14851" max="14851" width="54" style="16" customWidth="1"/>
    <col min="14852" max="14852" width="3.7109375" style="16" customWidth="1"/>
    <col min="14853" max="14853" width="90.28515625" style="16" customWidth="1"/>
    <col min="14854" max="14855" width="8.85546875" style="16"/>
    <col min="14856" max="14856" width="15.42578125" style="16" customWidth="1"/>
    <col min="14857" max="14857" width="5.140625" style="16" customWidth="1"/>
    <col min="14858" max="14859" width="8.85546875" style="16"/>
    <col min="14860" max="14860" width="3" style="16" customWidth="1"/>
    <col min="14861" max="14863" width="8.85546875" style="16"/>
    <col min="14864" max="14864" width="7" style="16" customWidth="1"/>
    <col min="14865" max="15104" width="8.85546875" style="16"/>
    <col min="15105" max="15105" width="3" style="16" customWidth="1"/>
    <col min="15106" max="15106" width="4.140625" style="16" customWidth="1"/>
    <col min="15107" max="15107" width="54" style="16" customWidth="1"/>
    <col min="15108" max="15108" width="3.7109375" style="16" customWidth="1"/>
    <col min="15109" max="15109" width="90.28515625" style="16" customWidth="1"/>
    <col min="15110" max="15111" width="8.85546875" style="16"/>
    <col min="15112" max="15112" width="15.42578125" style="16" customWidth="1"/>
    <col min="15113" max="15113" width="5.140625" style="16" customWidth="1"/>
    <col min="15114" max="15115" width="8.85546875" style="16"/>
    <col min="15116" max="15116" width="3" style="16" customWidth="1"/>
    <col min="15117" max="15119" width="8.85546875" style="16"/>
    <col min="15120" max="15120" width="7" style="16" customWidth="1"/>
    <col min="15121" max="15360" width="8.85546875" style="16"/>
    <col min="15361" max="15361" width="3" style="16" customWidth="1"/>
    <col min="15362" max="15362" width="4.140625" style="16" customWidth="1"/>
    <col min="15363" max="15363" width="54" style="16" customWidth="1"/>
    <col min="15364" max="15364" width="3.7109375" style="16" customWidth="1"/>
    <col min="15365" max="15365" width="90.28515625" style="16" customWidth="1"/>
    <col min="15366" max="15367" width="8.85546875" style="16"/>
    <col min="15368" max="15368" width="15.42578125" style="16" customWidth="1"/>
    <col min="15369" max="15369" width="5.140625" style="16" customWidth="1"/>
    <col min="15370" max="15371" width="8.85546875" style="16"/>
    <col min="15372" max="15372" width="3" style="16" customWidth="1"/>
    <col min="15373" max="15375" width="8.85546875" style="16"/>
    <col min="15376" max="15376" width="7" style="16" customWidth="1"/>
    <col min="15377" max="15616" width="8.85546875" style="16"/>
    <col min="15617" max="15617" width="3" style="16" customWidth="1"/>
    <col min="15618" max="15618" width="4.140625" style="16" customWidth="1"/>
    <col min="15619" max="15619" width="54" style="16" customWidth="1"/>
    <col min="15620" max="15620" width="3.7109375" style="16" customWidth="1"/>
    <col min="15621" max="15621" width="90.28515625" style="16" customWidth="1"/>
    <col min="15622" max="15623" width="8.85546875" style="16"/>
    <col min="15624" max="15624" width="15.42578125" style="16" customWidth="1"/>
    <col min="15625" max="15625" width="5.140625" style="16" customWidth="1"/>
    <col min="15626" max="15627" width="8.85546875" style="16"/>
    <col min="15628" max="15628" width="3" style="16" customWidth="1"/>
    <col min="15629" max="15631" width="8.85546875" style="16"/>
    <col min="15632" max="15632" width="7" style="16" customWidth="1"/>
    <col min="15633" max="15872" width="8.85546875" style="16"/>
    <col min="15873" max="15873" width="3" style="16" customWidth="1"/>
    <col min="15874" max="15874" width="4.140625" style="16" customWidth="1"/>
    <col min="15875" max="15875" width="54" style="16" customWidth="1"/>
    <col min="15876" max="15876" width="3.7109375" style="16" customWidth="1"/>
    <col min="15877" max="15877" width="90.28515625" style="16" customWidth="1"/>
    <col min="15878" max="15879" width="8.85546875" style="16"/>
    <col min="15880" max="15880" width="15.42578125" style="16" customWidth="1"/>
    <col min="15881" max="15881" width="5.140625" style="16" customWidth="1"/>
    <col min="15882" max="15883" width="8.85546875" style="16"/>
    <col min="15884" max="15884" width="3" style="16" customWidth="1"/>
    <col min="15885" max="15887" width="8.85546875" style="16"/>
    <col min="15888" max="15888" width="7" style="16" customWidth="1"/>
    <col min="15889" max="16128" width="8.85546875" style="16"/>
    <col min="16129" max="16129" width="3" style="16" customWidth="1"/>
    <col min="16130" max="16130" width="4.140625" style="16" customWidth="1"/>
    <col min="16131" max="16131" width="54" style="16" customWidth="1"/>
    <col min="16132" max="16132" width="3.7109375" style="16" customWidth="1"/>
    <col min="16133" max="16133" width="90.28515625" style="16" customWidth="1"/>
    <col min="16134" max="16135" width="8.85546875" style="16"/>
    <col min="16136" max="16136" width="15.42578125" style="16" customWidth="1"/>
    <col min="16137" max="16137" width="5.140625" style="16" customWidth="1"/>
    <col min="16138" max="16139" width="8.85546875" style="16"/>
    <col min="16140" max="16140" width="3" style="16" customWidth="1"/>
    <col min="16141" max="16143" width="8.85546875" style="16"/>
    <col min="16144" max="16144" width="7" style="16" customWidth="1"/>
    <col min="16145" max="16384" width="8.85546875" style="16"/>
  </cols>
  <sheetData>
    <row r="1" ht="30" customHeight="1" x14ac:dyDescent="0.25"/>
    <row r="2" ht="9.9499999999999993" customHeight="1" x14ac:dyDescent="0.25"/>
    <row r="3" ht="25.5" customHeight="1" x14ac:dyDescent="0.25"/>
    <row r="4" ht="21" customHeight="1" x14ac:dyDescent="0.25"/>
    <row r="6" ht="17.100000000000001" customHeight="1" x14ac:dyDescent="0.25"/>
    <row r="7" ht="17.100000000000001" customHeight="1" x14ac:dyDescent="0.25"/>
    <row r="8" ht="17.100000000000001" customHeight="1" x14ac:dyDescent="0.25"/>
    <row r="9" ht="17.100000000000001" customHeight="1" x14ac:dyDescent="0.25"/>
    <row r="10" ht="17.100000000000001" customHeight="1" x14ac:dyDescent="0.25"/>
    <row r="11" ht="17.100000000000001" customHeight="1" x14ac:dyDescent="0.25"/>
    <row r="12" ht="17.100000000000001" customHeight="1" x14ac:dyDescent="0.25"/>
    <row r="13" ht="17.100000000000001" customHeight="1" x14ac:dyDescent="0.25"/>
    <row r="14" ht="17.100000000000001" customHeight="1" x14ac:dyDescent="0.25"/>
    <row r="15" ht="17.100000000000001" customHeight="1" x14ac:dyDescent="0.25"/>
    <row r="16" ht="17.100000000000001" customHeight="1" x14ac:dyDescent="0.25"/>
    <row r="17" ht="17.100000000000001" customHeight="1" x14ac:dyDescent="0.25"/>
    <row r="18" ht="17.100000000000001" customHeight="1" x14ac:dyDescent="0.25"/>
    <row r="19" ht="17.100000000000001" customHeight="1" x14ac:dyDescent="0.25"/>
    <row r="40" spans="2:3" x14ac:dyDescent="0.25">
      <c r="B40" s="17"/>
      <c r="C40" s="17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A9E835-42C8-41F4-8B92-D42426AA14EF}">
  <dimension ref="A1:AM140"/>
  <sheetViews>
    <sheetView tabSelected="1" workbookViewId="0">
      <pane xSplit="6" ySplit="1" topLeftCell="G2" activePane="bottomRight" state="frozenSplit"/>
      <selection pane="topRight" activeCell="G1" sqref="G1"/>
      <selection pane="bottomLeft" activeCell="A2" sqref="A2"/>
      <selection pane="bottomRight"/>
    </sheetView>
  </sheetViews>
  <sheetFormatPr defaultRowHeight="15" x14ac:dyDescent="0.25"/>
  <cols>
    <col min="1" max="5" width="3" style="14" customWidth="1"/>
    <col min="6" max="6" width="31" style="14" customWidth="1"/>
    <col min="7" max="7" width="8.7109375" style="15" bestFit="1" customWidth="1"/>
    <col min="8" max="8" width="2.28515625" style="15" customWidth="1"/>
    <col min="9" max="9" width="8.7109375" style="15" bestFit="1" customWidth="1"/>
    <col min="10" max="10" width="2.28515625" style="15" customWidth="1"/>
    <col min="11" max="11" width="8.7109375" style="15" bestFit="1" customWidth="1"/>
    <col min="12" max="12" width="2.28515625" style="15" customWidth="1"/>
    <col min="13" max="13" width="8.7109375" style="15" bestFit="1" customWidth="1"/>
    <col min="14" max="14" width="2.28515625" style="15" customWidth="1"/>
    <col min="15" max="15" width="8.7109375" style="15" bestFit="1" customWidth="1"/>
    <col min="16" max="16" width="2.28515625" style="15" customWidth="1"/>
    <col min="17" max="17" width="8.7109375" style="15" bestFit="1" customWidth="1"/>
    <col min="18" max="18" width="2.28515625" style="15" customWidth="1"/>
    <col min="19" max="19" width="8.85546875" style="15" bestFit="1" customWidth="1"/>
    <col min="20" max="20" width="2.28515625" style="15" customWidth="1"/>
    <col min="21" max="21" width="8.7109375" style="15" bestFit="1" customWidth="1"/>
    <col min="22" max="22" width="2.28515625" style="15" customWidth="1"/>
    <col min="23" max="23" width="8.7109375" style="15" bestFit="1" customWidth="1"/>
    <col min="24" max="24" width="2.28515625" style="15" customWidth="1"/>
    <col min="25" max="25" width="8.85546875" style="15" bestFit="1" customWidth="1"/>
    <col min="26" max="26" width="2.28515625" style="15" customWidth="1"/>
    <col min="27" max="27" width="8.7109375" style="15" bestFit="1" customWidth="1"/>
    <col min="28" max="28" width="2.28515625" style="15" customWidth="1"/>
    <col min="29" max="29" width="8.7109375" style="15" bestFit="1" customWidth="1"/>
    <col min="30" max="30" width="2.28515625" style="15" customWidth="1"/>
    <col min="31" max="31" width="8.7109375" style="15" bestFit="1" customWidth="1"/>
    <col min="32" max="32" width="2.28515625" style="15" customWidth="1"/>
    <col min="33" max="33" width="8.7109375" style="15" bestFit="1" customWidth="1"/>
    <col min="34" max="34" width="2.28515625" style="15" customWidth="1"/>
    <col min="35" max="35" width="8.7109375" style="15" bestFit="1" customWidth="1"/>
    <col min="36" max="36" width="2.28515625" style="15" customWidth="1"/>
    <col min="37" max="37" width="8.7109375" style="15" bestFit="1" customWidth="1"/>
    <col min="38" max="38" width="2.28515625" style="15" customWidth="1"/>
    <col min="39" max="39" width="10" style="15" bestFit="1" customWidth="1"/>
  </cols>
  <sheetData>
    <row r="1" spans="1:39" s="13" customFormat="1" ht="15.75" thickBot="1" x14ac:dyDescent="0.3">
      <c r="A1" s="10"/>
      <c r="B1" s="10"/>
      <c r="C1" s="10"/>
      <c r="D1" s="10"/>
      <c r="E1" s="10"/>
      <c r="F1" s="10"/>
      <c r="G1" s="11" t="s">
        <v>0</v>
      </c>
      <c r="H1" s="12"/>
      <c r="I1" s="11" t="s">
        <v>1</v>
      </c>
      <c r="J1" s="12"/>
      <c r="K1" s="11" t="s">
        <v>2</v>
      </c>
      <c r="L1" s="12"/>
      <c r="M1" s="11" t="s">
        <v>3</v>
      </c>
      <c r="N1" s="12"/>
      <c r="O1" s="11" t="s">
        <v>4</v>
      </c>
      <c r="P1" s="12"/>
      <c r="Q1" s="11" t="s">
        <v>5</v>
      </c>
      <c r="R1" s="12"/>
      <c r="S1" s="11" t="s">
        <v>6</v>
      </c>
      <c r="T1" s="12"/>
      <c r="U1" s="11" t="s">
        <v>7</v>
      </c>
      <c r="V1" s="12"/>
      <c r="W1" s="11" t="s">
        <v>8</v>
      </c>
      <c r="X1" s="12"/>
      <c r="Y1" s="11" t="s">
        <v>9</v>
      </c>
      <c r="Z1" s="12"/>
      <c r="AA1" s="11" t="s">
        <v>10</v>
      </c>
      <c r="AB1" s="12"/>
      <c r="AC1" s="11" t="s">
        <v>11</v>
      </c>
      <c r="AD1" s="12"/>
      <c r="AE1" s="11" t="s">
        <v>12</v>
      </c>
      <c r="AF1" s="12"/>
      <c r="AG1" s="11" t="s">
        <v>13</v>
      </c>
      <c r="AH1" s="12"/>
      <c r="AI1" s="11" t="s">
        <v>14</v>
      </c>
      <c r="AJ1" s="12"/>
      <c r="AK1" s="11" t="s">
        <v>15</v>
      </c>
      <c r="AL1" s="12"/>
      <c r="AM1" s="11" t="s">
        <v>16</v>
      </c>
    </row>
    <row r="2" spans="1:39" ht="15.75" thickTop="1" x14ac:dyDescent="0.25">
      <c r="A2" s="1"/>
      <c r="B2" s="1" t="s">
        <v>17</v>
      </c>
      <c r="C2" s="1"/>
      <c r="D2" s="1"/>
      <c r="E2" s="1"/>
      <c r="F2" s="1"/>
      <c r="G2" s="2"/>
      <c r="H2" s="3"/>
      <c r="I2" s="2"/>
      <c r="J2" s="3"/>
      <c r="K2" s="2"/>
      <c r="L2" s="3"/>
      <c r="M2" s="2"/>
      <c r="N2" s="3"/>
      <c r="O2" s="2"/>
      <c r="P2" s="3"/>
      <c r="Q2" s="2"/>
      <c r="R2" s="3"/>
      <c r="S2" s="2"/>
      <c r="T2" s="3"/>
      <c r="U2" s="2"/>
      <c r="V2" s="3"/>
      <c r="W2" s="2"/>
      <c r="X2" s="3"/>
      <c r="Y2" s="2"/>
      <c r="Z2" s="3"/>
      <c r="AA2" s="2"/>
      <c r="AB2" s="3"/>
      <c r="AC2" s="2"/>
      <c r="AD2" s="3"/>
      <c r="AE2" s="2"/>
      <c r="AF2" s="3"/>
      <c r="AG2" s="2"/>
      <c r="AH2" s="3"/>
      <c r="AI2" s="2"/>
      <c r="AJ2" s="3"/>
      <c r="AK2" s="2"/>
      <c r="AL2" s="3"/>
      <c r="AM2" s="2"/>
    </row>
    <row r="3" spans="1:39" x14ac:dyDescent="0.25">
      <c r="A3" s="1"/>
      <c r="B3" s="1"/>
      <c r="C3" s="1"/>
      <c r="D3" s="1" t="s">
        <v>18</v>
      </c>
      <c r="E3" s="1"/>
      <c r="F3" s="1"/>
      <c r="G3" s="2"/>
      <c r="H3" s="3"/>
      <c r="I3" s="2"/>
      <c r="J3" s="3"/>
      <c r="K3" s="2"/>
      <c r="L3" s="3"/>
      <c r="M3" s="2"/>
      <c r="N3" s="3"/>
      <c r="O3" s="2"/>
      <c r="P3" s="3"/>
      <c r="Q3" s="2"/>
      <c r="R3" s="3"/>
      <c r="S3" s="2"/>
      <c r="T3" s="3"/>
      <c r="U3" s="2"/>
      <c r="V3" s="3"/>
      <c r="W3" s="2"/>
      <c r="X3" s="3"/>
      <c r="Y3" s="2"/>
      <c r="Z3" s="3"/>
      <c r="AA3" s="2"/>
      <c r="AB3" s="3"/>
      <c r="AC3" s="2"/>
      <c r="AD3" s="3"/>
      <c r="AE3" s="2"/>
      <c r="AF3" s="3"/>
      <c r="AG3" s="2"/>
      <c r="AH3" s="3"/>
      <c r="AI3" s="2"/>
      <c r="AJ3" s="3"/>
      <c r="AK3" s="2"/>
      <c r="AL3" s="3"/>
      <c r="AM3" s="2"/>
    </row>
    <row r="4" spans="1:39" x14ac:dyDescent="0.25">
      <c r="A4" s="1"/>
      <c r="B4" s="1"/>
      <c r="C4" s="1"/>
      <c r="D4" s="1"/>
      <c r="E4" s="1" t="s">
        <v>19</v>
      </c>
      <c r="F4" s="1"/>
      <c r="G4" s="2">
        <v>0</v>
      </c>
      <c r="H4" s="3"/>
      <c r="I4" s="2">
        <v>0</v>
      </c>
      <c r="J4" s="3"/>
      <c r="K4" s="2">
        <v>0</v>
      </c>
      <c r="L4" s="3"/>
      <c r="M4" s="2">
        <v>0</v>
      </c>
      <c r="N4" s="3"/>
      <c r="O4" s="2">
        <v>0</v>
      </c>
      <c r="P4" s="3"/>
      <c r="Q4" s="2">
        <v>0</v>
      </c>
      <c r="R4" s="3"/>
      <c r="S4" s="2">
        <v>10.52</v>
      </c>
      <c r="T4" s="3"/>
      <c r="U4" s="2">
        <v>44.98</v>
      </c>
      <c r="V4" s="3"/>
      <c r="W4" s="2">
        <v>0</v>
      </c>
      <c r="X4" s="3"/>
      <c r="Y4" s="2">
        <v>0</v>
      </c>
      <c r="Z4" s="3"/>
      <c r="AA4" s="2">
        <v>0</v>
      </c>
      <c r="AB4" s="3"/>
      <c r="AC4" s="2">
        <v>0</v>
      </c>
      <c r="AD4" s="3"/>
      <c r="AE4" s="2">
        <v>382.24</v>
      </c>
      <c r="AF4" s="3"/>
      <c r="AG4" s="2">
        <v>0.05</v>
      </c>
      <c r="AH4" s="3"/>
      <c r="AI4" s="2">
        <v>14.82</v>
      </c>
      <c r="AJ4" s="3"/>
      <c r="AK4" s="2">
        <v>5.88</v>
      </c>
      <c r="AL4" s="3"/>
      <c r="AM4" s="2">
        <f>ROUND(SUM(G4:AK4),5)</f>
        <v>458.49</v>
      </c>
    </row>
    <row r="5" spans="1:39" x14ac:dyDescent="0.25">
      <c r="A5" s="1"/>
      <c r="B5" s="1"/>
      <c r="C5" s="1"/>
      <c r="D5" s="1"/>
      <c r="E5" s="1" t="s">
        <v>20</v>
      </c>
      <c r="F5" s="1"/>
      <c r="G5" s="2">
        <v>29450</v>
      </c>
      <c r="H5" s="3"/>
      <c r="I5" s="2">
        <v>31450</v>
      </c>
      <c r="J5" s="3"/>
      <c r="K5" s="2">
        <v>51089.36</v>
      </c>
      <c r="L5" s="3"/>
      <c r="M5" s="2">
        <v>61360</v>
      </c>
      <c r="N5" s="3"/>
      <c r="O5" s="2">
        <v>65701.45</v>
      </c>
      <c r="P5" s="3"/>
      <c r="Q5" s="2">
        <v>52000</v>
      </c>
      <c r="R5" s="3"/>
      <c r="S5" s="2">
        <v>60730.81</v>
      </c>
      <c r="T5" s="3"/>
      <c r="U5" s="2">
        <v>45065</v>
      </c>
      <c r="V5" s="3"/>
      <c r="W5" s="2">
        <v>44067.9</v>
      </c>
      <c r="X5" s="3"/>
      <c r="Y5" s="2">
        <v>44970.16</v>
      </c>
      <c r="Z5" s="3"/>
      <c r="AA5" s="2">
        <v>47980</v>
      </c>
      <c r="AB5" s="3"/>
      <c r="AC5" s="2">
        <v>60688.23</v>
      </c>
      <c r="AD5" s="3"/>
      <c r="AE5" s="2">
        <v>50995</v>
      </c>
      <c r="AF5" s="3"/>
      <c r="AG5" s="2">
        <v>47040</v>
      </c>
      <c r="AH5" s="3"/>
      <c r="AI5" s="2">
        <v>55425</v>
      </c>
      <c r="AJ5" s="3"/>
      <c r="AK5" s="2">
        <v>69593.929999999993</v>
      </c>
      <c r="AL5" s="3"/>
      <c r="AM5" s="2">
        <f>ROUND(SUM(G5:AK5),5)</f>
        <v>817606.84</v>
      </c>
    </row>
    <row r="6" spans="1:39" x14ac:dyDescent="0.25">
      <c r="A6" s="1"/>
      <c r="B6" s="1"/>
      <c r="C6" s="1"/>
      <c r="D6" s="1"/>
      <c r="E6" s="1" t="s">
        <v>21</v>
      </c>
      <c r="F6" s="1"/>
      <c r="G6" s="2">
        <v>25400.34</v>
      </c>
      <c r="H6" s="3"/>
      <c r="I6" s="2">
        <v>26291.58</v>
      </c>
      <c r="J6" s="3"/>
      <c r="K6" s="2">
        <v>21817.8</v>
      </c>
      <c r="L6" s="3"/>
      <c r="M6" s="2">
        <v>19706.400000000001</v>
      </c>
      <c r="N6" s="3"/>
      <c r="O6" s="2">
        <v>8211</v>
      </c>
      <c r="P6" s="3"/>
      <c r="Q6" s="2">
        <v>47011.26</v>
      </c>
      <c r="R6" s="3"/>
      <c r="S6" s="2">
        <v>43131.69</v>
      </c>
      <c r="T6" s="3"/>
      <c r="U6" s="2">
        <v>50206.2</v>
      </c>
      <c r="V6" s="3"/>
      <c r="W6" s="2">
        <v>70217.16</v>
      </c>
      <c r="X6" s="3"/>
      <c r="Y6" s="2">
        <v>47320.26</v>
      </c>
      <c r="Z6" s="3"/>
      <c r="AA6" s="2">
        <v>27985.1</v>
      </c>
      <c r="AB6" s="3"/>
      <c r="AC6" s="2">
        <v>19246.45</v>
      </c>
      <c r="AD6" s="3"/>
      <c r="AE6" s="2">
        <v>22410.25</v>
      </c>
      <c r="AF6" s="3"/>
      <c r="AG6" s="2">
        <v>39811.15</v>
      </c>
      <c r="AH6" s="3"/>
      <c r="AI6" s="2">
        <v>40391.120000000003</v>
      </c>
      <c r="AJ6" s="3"/>
      <c r="AK6" s="2">
        <v>60104.59</v>
      </c>
      <c r="AL6" s="3"/>
      <c r="AM6" s="2">
        <f>ROUND(SUM(G6:AK6),5)</f>
        <v>569262.35</v>
      </c>
    </row>
    <row r="7" spans="1:39" x14ac:dyDescent="0.25">
      <c r="A7" s="1"/>
      <c r="B7" s="1"/>
      <c r="C7" s="1"/>
      <c r="D7" s="1"/>
      <c r="E7" s="1" t="s">
        <v>22</v>
      </c>
      <c r="F7" s="1"/>
      <c r="G7" s="2">
        <v>71967.63</v>
      </c>
      <c r="H7" s="3"/>
      <c r="I7" s="2">
        <v>99818.880000000005</v>
      </c>
      <c r="J7" s="3"/>
      <c r="K7" s="2">
        <v>94309.2</v>
      </c>
      <c r="L7" s="3"/>
      <c r="M7" s="2">
        <v>64515</v>
      </c>
      <c r="N7" s="3"/>
      <c r="O7" s="2">
        <v>73899</v>
      </c>
      <c r="P7" s="3"/>
      <c r="Q7" s="2">
        <v>57052.5</v>
      </c>
      <c r="R7" s="3"/>
      <c r="S7" s="2">
        <v>36285.39</v>
      </c>
      <c r="T7" s="3"/>
      <c r="U7" s="2">
        <v>42675.27</v>
      </c>
      <c r="V7" s="3"/>
      <c r="W7" s="2">
        <v>53171.69</v>
      </c>
      <c r="X7" s="3"/>
      <c r="Y7" s="2">
        <v>65892.19</v>
      </c>
      <c r="Z7" s="3"/>
      <c r="AA7" s="2">
        <v>91587.6</v>
      </c>
      <c r="AB7" s="3"/>
      <c r="AC7" s="2">
        <v>98077.8</v>
      </c>
      <c r="AD7" s="3"/>
      <c r="AE7" s="2">
        <v>86740.85</v>
      </c>
      <c r="AF7" s="3"/>
      <c r="AG7" s="2">
        <v>89904.65</v>
      </c>
      <c r="AH7" s="3"/>
      <c r="AI7" s="2">
        <v>88912.92</v>
      </c>
      <c r="AJ7" s="3"/>
      <c r="AK7" s="2">
        <v>85503.28</v>
      </c>
      <c r="AL7" s="3"/>
      <c r="AM7" s="2">
        <f>ROUND(SUM(G7:AK7),5)</f>
        <v>1200313.8500000001</v>
      </c>
    </row>
    <row r="8" spans="1:39" x14ac:dyDescent="0.25">
      <c r="A8" s="1"/>
      <c r="B8" s="1"/>
      <c r="C8" s="1"/>
      <c r="D8" s="1"/>
      <c r="E8" s="1" t="s">
        <v>23</v>
      </c>
      <c r="F8" s="1"/>
      <c r="G8" s="2">
        <v>26737.200000000001</v>
      </c>
      <c r="H8" s="3"/>
      <c r="I8" s="2">
        <v>13814.22</v>
      </c>
      <c r="J8" s="3"/>
      <c r="K8" s="2">
        <v>14545.2</v>
      </c>
      <c r="L8" s="3"/>
      <c r="M8" s="2">
        <v>13137.6</v>
      </c>
      <c r="N8" s="3"/>
      <c r="O8" s="2">
        <v>26979</v>
      </c>
      <c r="P8" s="3"/>
      <c r="Q8" s="2">
        <v>33318.660000000003</v>
      </c>
      <c r="R8" s="3"/>
      <c r="S8" s="2">
        <v>42447.06</v>
      </c>
      <c r="T8" s="3"/>
      <c r="U8" s="2">
        <v>33318.660000000003</v>
      </c>
      <c r="V8" s="3"/>
      <c r="W8" s="2">
        <v>31546.84</v>
      </c>
      <c r="X8" s="3"/>
      <c r="Y8" s="2">
        <v>38415.910000000003</v>
      </c>
      <c r="Z8" s="3"/>
      <c r="AA8" s="2">
        <v>39942.370000000003</v>
      </c>
      <c r="AB8" s="3"/>
      <c r="AC8" s="2">
        <v>42184</v>
      </c>
      <c r="AD8" s="3"/>
      <c r="AE8" s="2">
        <v>57025.25</v>
      </c>
      <c r="AF8" s="3"/>
      <c r="AG8" s="2">
        <v>53872.800000000003</v>
      </c>
      <c r="AH8" s="3"/>
      <c r="AI8" s="2">
        <v>49178.400000000001</v>
      </c>
      <c r="AJ8" s="3"/>
      <c r="AK8" s="2">
        <v>15251.53</v>
      </c>
      <c r="AL8" s="3"/>
      <c r="AM8" s="2">
        <f>ROUND(SUM(G8:AK8),5)</f>
        <v>531714.69999999995</v>
      </c>
    </row>
    <row r="9" spans="1:39" x14ac:dyDescent="0.25">
      <c r="A9" s="1"/>
      <c r="B9" s="1"/>
      <c r="C9" s="1"/>
      <c r="D9" s="1"/>
      <c r="E9" s="1" t="s">
        <v>24</v>
      </c>
      <c r="F9" s="1"/>
      <c r="G9" s="2">
        <v>9000</v>
      </c>
      <c r="H9" s="3"/>
      <c r="I9" s="2">
        <v>9000</v>
      </c>
      <c r="J9" s="3"/>
      <c r="K9" s="2">
        <v>9113.9599999999991</v>
      </c>
      <c r="L9" s="3"/>
      <c r="M9" s="2">
        <v>9113.9599999999991</v>
      </c>
      <c r="N9" s="3"/>
      <c r="O9" s="2">
        <v>9113.9599999999991</v>
      </c>
      <c r="P9" s="3"/>
      <c r="Q9" s="2">
        <v>6946.73</v>
      </c>
      <c r="R9" s="3"/>
      <c r="S9" s="2">
        <v>6946.73</v>
      </c>
      <c r="T9" s="3"/>
      <c r="U9" s="2">
        <v>6946.73</v>
      </c>
      <c r="V9" s="3"/>
      <c r="W9" s="2">
        <v>8296.3700000000008</v>
      </c>
      <c r="X9" s="3"/>
      <c r="Y9" s="2">
        <v>8296.3700000000008</v>
      </c>
      <c r="Z9" s="3"/>
      <c r="AA9" s="2">
        <v>8296.3700000000008</v>
      </c>
      <c r="AB9" s="3"/>
      <c r="AC9" s="2">
        <v>7133.82</v>
      </c>
      <c r="AD9" s="3"/>
      <c r="AE9" s="2">
        <v>7133.82</v>
      </c>
      <c r="AF9" s="3"/>
      <c r="AG9" s="2">
        <v>7133.82</v>
      </c>
      <c r="AH9" s="3"/>
      <c r="AI9" s="2">
        <v>8024.15</v>
      </c>
      <c r="AJ9" s="3"/>
      <c r="AK9" s="2">
        <v>8024.15</v>
      </c>
      <c r="AL9" s="3"/>
      <c r="AM9" s="2">
        <f>ROUND(SUM(G9:AK9),5)</f>
        <v>128520.94</v>
      </c>
    </row>
    <row r="10" spans="1:39" x14ac:dyDescent="0.25">
      <c r="A10" s="1"/>
      <c r="B10" s="1"/>
      <c r="C10" s="1"/>
      <c r="D10" s="1"/>
      <c r="E10" s="1" t="s">
        <v>25</v>
      </c>
      <c r="F10" s="1"/>
      <c r="G10" s="2">
        <v>0</v>
      </c>
      <c r="H10" s="3"/>
      <c r="I10" s="2">
        <v>7993.89</v>
      </c>
      <c r="J10" s="3"/>
      <c r="K10" s="2">
        <v>25770.17</v>
      </c>
      <c r="L10" s="3"/>
      <c r="M10" s="2">
        <v>18116.07</v>
      </c>
      <c r="N10" s="3"/>
      <c r="O10" s="2">
        <v>39865.019999999997</v>
      </c>
      <c r="P10" s="3"/>
      <c r="Q10" s="2">
        <v>42120.94</v>
      </c>
      <c r="R10" s="3"/>
      <c r="S10" s="2">
        <v>27111.83</v>
      </c>
      <c r="T10" s="3"/>
      <c r="U10" s="2">
        <v>19077.03</v>
      </c>
      <c r="V10" s="3"/>
      <c r="W10" s="2">
        <v>3531.88</v>
      </c>
      <c r="X10" s="3"/>
      <c r="Y10" s="2">
        <v>25274.06</v>
      </c>
      <c r="Z10" s="3"/>
      <c r="AA10" s="2">
        <v>48866.21</v>
      </c>
      <c r="AB10" s="3"/>
      <c r="AC10" s="2">
        <v>44136.83</v>
      </c>
      <c r="AD10" s="3"/>
      <c r="AE10" s="2">
        <v>12187.93</v>
      </c>
      <c r="AF10" s="3"/>
      <c r="AG10" s="2">
        <v>4970.9799999999996</v>
      </c>
      <c r="AH10" s="3"/>
      <c r="AI10" s="2">
        <v>15969.54</v>
      </c>
      <c r="AJ10" s="3"/>
      <c r="AK10" s="2">
        <v>18376.29</v>
      </c>
      <c r="AL10" s="3"/>
      <c r="AM10" s="2">
        <f>ROUND(SUM(G10:AK10),5)</f>
        <v>353368.67</v>
      </c>
    </row>
    <row r="11" spans="1:39" x14ac:dyDescent="0.25">
      <c r="A11" s="1"/>
      <c r="B11" s="1"/>
      <c r="C11" s="1"/>
      <c r="D11" s="1"/>
      <c r="E11" s="1" t="s">
        <v>26</v>
      </c>
      <c r="F11" s="1"/>
      <c r="G11" s="2">
        <v>0</v>
      </c>
      <c r="H11" s="3"/>
      <c r="I11" s="2">
        <v>0</v>
      </c>
      <c r="J11" s="3"/>
      <c r="K11" s="2">
        <v>0</v>
      </c>
      <c r="L11" s="3"/>
      <c r="M11" s="2">
        <v>0</v>
      </c>
      <c r="N11" s="3"/>
      <c r="O11" s="2">
        <v>0</v>
      </c>
      <c r="P11" s="3"/>
      <c r="Q11" s="2">
        <v>0</v>
      </c>
      <c r="R11" s="3"/>
      <c r="S11" s="2">
        <v>0</v>
      </c>
      <c r="T11" s="3"/>
      <c r="U11" s="2">
        <v>0</v>
      </c>
      <c r="V11" s="3"/>
      <c r="W11" s="2">
        <v>0</v>
      </c>
      <c r="X11" s="3"/>
      <c r="Y11" s="2">
        <v>0</v>
      </c>
      <c r="Z11" s="3"/>
      <c r="AA11" s="2">
        <v>0</v>
      </c>
      <c r="AB11" s="3"/>
      <c r="AC11" s="2">
        <v>0</v>
      </c>
      <c r="AD11" s="3"/>
      <c r="AE11" s="2">
        <v>0</v>
      </c>
      <c r="AF11" s="3"/>
      <c r="AG11" s="2">
        <v>0</v>
      </c>
      <c r="AH11" s="3"/>
      <c r="AI11" s="2">
        <v>0</v>
      </c>
      <c r="AJ11" s="3"/>
      <c r="AK11" s="2">
        <v>0</v>
      </c>
      <c r="AL11" s="3"/>
      <c r="AM11" s="2">
        <f>ROUND(SUM(G11:AK11),5)</f>
        <v>0</v>
      </c>
    </row>
    <row r="12" spans="1:39" x14ac:dyDescent="0.25">
      <c r="A12" s="1"/>
      <c r="B12" s="1"/>
      <c r="C12" s="1"/>
      <c r="D12" s="1"/>
      <c r="E12" s="1" t="s">
        <v>27</v>
      </c>
      <c r="F12" s="1"/>
      <c r="G12" s="2">
        <v>0</v>
      </c>
      <c r="H12" s="3"/>
      <c r="I12" s="2">
        <v>0</v>
      </c>
      <c r="J12" s="3"/>
      <c r="K12" s="2">
        <v>0</v>
      </c>
      <c r="L12" s="3"/>
      <c r="M12" s="2">
        <v>0</v>
      </c>
      <c r="N12" s="3"/>
      <c r="O12" s="2">
        <v>0</v>
      </c>
      <c r="P12" s="3"/>
      <c r="Q12" s="2">
        <v>0</v>
      </c>
      <c r="R12" s="3"/>
      <c r="S12" s="2">
        <v>0</v>
      </c>
      <c r="T12" s="3"/>
      <c r="U12" s="2">
        <v>0</v>
      </c>
      <c r="V12" s="3"/>
      <c r="W12" s="2">
        <v>0</v>
      </c>
      <c r="X12" s="3"/>
      <c r="Y12" s="2">
        <v>0</v>
      </c>
      <c r="Z12" s="3"/>
      <c r="AA12" s="2">
        <v>0</v>
      </c>
      <c r="AB12" s="3"/>
      <c r="AC12" s="2">
        <v>0</v>
      </c>
      <c r="AD12" s="3"/>
      <c r="AE12" s="2">
        <v>0</v>
      </c>
      <c r="AF12" s="3"/>
      <c r="AG12" s="2">
        <v>-286.27</v>
      </c>
      <c r="AH12" s="3"/>
      <c r="AI12" s="2">
        <v>0</v>
      </c>
      <c r="AJ12" s="3"/>
      <c r="AK12" s="2">
        <v>0</v>
      </c>
      <c r="AL12" s="3"/>
      <c r="AM12" s="2">
        <f>ROUND(SUM(G12:AK12),5)</f>
        <v>-286.27</v>
      </c>
    </row>
    <row r="13" spans="1:39" x14ac:dyDescent="0.25">
      <c r="A13" s="1"/>
      <c r="B13" s="1"/>
      <c r="C13" s="1"/>
      <c r="D13" s="1"/>
      <c r="E13" s="1" t="s">
        <v>28</v>
      </c>
      <c r="F13" s="1"/>
      <c r="G13" s="2">
        <v>0</v>
      </c>
      <c r="H13" s="3"/>
      <c r="I13" s="2">
        <v>0</v>
      </c>
      <c r="J13" s="3"/>
      <c r="K13" s="2">
        <v>0</v>
      </c>
      <c r="L13" s="3"/>
      <c r="M13" s="2">
        <v>0</v>
      </c>
      <c r="N13" s="3"/>
      <c r="O13" s="2">
        <v>0</v>
      </c>
      <c r="P13" s="3"/>
      <c r="Q13" s="2">
        <v>0</v>
      </c>
      <c r="R13" s="3"/>
      <c r="S13" s="2">
        <v>0</v>
      </c>
      <c r="T13" s="3"/>
      <c r="U13" s="2">
        <v>0</v>
      </c>
      <c r="V13" s="3"/>
      <c r="W13" s="2">
        <v>0</v>
      </c>
      <c r="X13" s="3"/>
      <c r="Y13" s="2">
        <v>60060.69</v>
      </c>
      <c r="Z13" s="3"/>
      <c r="AA13" s="2">
        <v>32.49</v>
      </c>
      <c r="AB13" s="3"/>
      <c r="AC13" s="2">
        <v>0</v>
      </c>
      <c r="AD13" s="3"/>
      <c r="AE13" s="2">
        <v>0</v>
      </c>
      <c r="AF13" s="3"/>
      <c r="AG13" s="2">
        <v>0</v>
      </c>
      <c r="AH13" s="3"/>
      <c r="AI13" s="2">
        <v>0</v>
      </c>
      <c r="AJ13" s="3"/>
      <c r="AK13" s="2">
        <v>0</v>
      </c>
      <c r="AL13" s="3"/>
      <c r="AM13" s="2">
        <f>ROUND(SUM(G13:AK13),5)</f>
        <v>60093.18</v>
      </c>
    </row>
    <row r="14" spans="1:39" x14ac:dyDescent="0.25">
      <c r="A14" s="1"/>
      <c r="B14" s="1"/>
      <c r="C14" s="1"/>
      <c r="D14" s="1"/>
      <c r="E14" s="1" t="s">
        <v>29</v>
      </c>
      <c r="F14" s="1"/>
      <c r="G14" s="2">
        <v>0</v>
      </c>
      <c r="H14" s="3"/>
      <c r="I14" s="2">
        <v>0</v>
      </c>
      <c r="J14" s="3"/>
      <c r="K14" s="2">
        <v>0</v>
      </c>
      <c r="L14" s="3"/>
      <c r="M14" s="2">
        <v>409.79</v>
      </c>
      <c r="N14" s="3"/>
      <c r="O14" s="2">
        <v>141.44</v>
      </c>
      <c r="P14" s="3"/>
      <c r="Q14" s="2">
        <v>0</v>
      </c>
      <c r="R14" s="3"/>
      <c r="S14" s="2">
        <v>0</v>
      </c>
      <c r="T14" s="3"/>
      <c r="U14" s="2">
        <v>0</v>
      </c>
      <c r="V14" s="3"/>
      <c r="W14" s="2">
        <v>0</v>
      </c>
      <c r="X14" s="3"/>
      <c r="Y14" s="2">
        <v>0</v>
      </c>
      <c r="Z14" s="3"/>
      <c r="AA14" s="2">
        <v>0</v>
      </c>
      <c r="AB14" s="3"/>
      <c r="AC14" s="2">
        <v>0</v>
      </c>
      <c r="AD14" s="3"/>
      <c r="AE14" s="2">
        <v>1279.5899999999999</v>
      </c>
      <c r="AF14" s="3"/>
      <c r="AG14" s="2">
        <v>72.599999999999994</v>
      </c>
      <c r="AH14" s="3"/>
      <c r="AI14" s="2">
        <v>0</v>
      </c>
      <c r="AJ14" s="3"/>
      <c r="AK14" s="2">
        <v>451.47</v>
      </c>
      <c r="AL14" s="3"/>
      <c r="AM14" s="2">
        <f>ROUND(SUM(G14:AK14),5)</f>
        <v>2354.89</v>
      </c>
    </row>
    <row r="15" spans="1:39" x14ac:dyDescent="0.25">
      <c r="A15" s="1"/>
      <c r="B15" s="1"/>
      <c r="C15" s="1"/>
      <c r="D15" s="1"/>
      <c r="E15" s="1" t="s">
        <v>30</v>
      </c>
      <c r="F15" s="1"/>
      <c r="G15" s="2">
        <v>2043.22</v>
      </c>
      <c r="H15" s="3"/>
      <c r="I15" s="2">
        <v>1164.3</v>
      </c>
      <c r="J15" s="3"/>
      <c r="K15" s="2">
        <v>3612.07</v>
      </c>
      <c r="L15" s="3"/>
      <c r="M15" s="2">
        <v>2554.9299999999998</v>
      </c>
      <c r="N15" s="3"/>
      <c r="O15" s="2">
        <v>1719.45</v>
      </c>
      <c r="P15" s="3"/>
      <c r="Q15" s="2">
        <v>449.07</v>
      </c>
      <c r="R15" s="3"/>
      <c r="S15" s="2">
        <v>410.11</v>
      </c>
      <c r="T15" s="3"/>
      <c r="U15" s="2">
        <v>0</v>
      </c>
      <c r="V15" s="3"/>
      <c r="W15" s="2">
        <v>245.57</v>
      </c>
      <c r="X15" s="3"/>
      <c r="Y15" s="2">
        <v>1296.92</v>
      </c>
      <c r="Z15" s="3"/>
      <c r="AA15" s="2">
        <v>1947.25</v>
      </c>
      <c r="AB15" s="3"/>
      <c r="AC15" s="2">
        <v>3563.15</v>
      </c>
      <c r="AD15" s="3"/>
      <c r="AE15" s="2">
        <v>3011</v>
      </c>
      <c r="AF15" s="3"/>
      <c r="AG15" s="2">
        <v>5248.59</v>
      </c>
      <c r="AH15" s="3"/>
      <c r="AI15" s="2">
        <v>6130.25</v>
      </c>
      <c r="AJ15" s="3"/>
      <c r="AK15" s="2">
        <v>3016.72</v>
      </c>
      <c r="AL15" s="3"/>
      <c r="AM15" s="2">
        <f>ROUND(SUM(G15:AK15),5)</f>
        <v>36412.6</v>
      </c>
    </row>
    <row r="16" spans="1:39" x14ac:dyDescent="0.25">
      <c r="A16" s="1"/>
      <c r="B16" s="1"/>
      <c r="C16" s="1"/>
      <c r="D16" s="1"/>
      <c r="E16" s="1" t="s">
        <v>31</v>
      </c>
      <c r="F16" s="1"/>
      <c r="G16" s="2">
        <v>0</v>
      </c>
      <c r="H16" s="3"/>
      <c r="I16" s="2">
        <v>0</v>
      </c>
      <c r="J16" s="3"/>
      <c r="K16" s="2">
        <v>445.05</v>
      </c>
      <c r="L16" s="3"/>
      <c r="M16" s="2">
        <v>225.31</v>
      </c>
      <c r="N16" s="3"/>
      <c r="O16" s="2">
        <v>1150.76</v>
      </c>
      <c r="P16" s="3"/>
      <c r="Q16" s="2">
        <v>997.95</v>
      </c>
      <c r="R16" s="3"/>
      <c r="S16" s="2">
        <v>547.33000000000004</v>
      </c>
      <c r="T16" s="3"/>
      <c r="U16" s="2">
        <v>268.88</v>
      </c>
      <c r="V16" s="3"/>
      <c r="W16" s="2">
        <v>0</v>
      </c>
      <c r="X16" s="3"/>
      <c r="Y16" s="2">
        <v>0</v>
      </c>
      <c r="Z16" s="3"/>
      <c r="AA16" s="2">
        <v>96.45</v>
      </c>
      <c r="AB16" s="3"/>
      <c r="AC16" s="2">
        <v>945.75</v>
      </c>
      <c r="AD16" s="3"/>
      <c r="AE16" s="2">
        <v>2038.6</v>
      </c>
      <c r="AF16" s="3"/>
      <c r="AG16" s="2">
        <v>2877.86</v>
      </c>
      <c r="AH16" s="3"/>
      <c r="AI16" s="2">
        <v>4591.67</v>
      </c>
      <c r="AJ16" s="3"/>
      <c r="AK16" s="2">
        <v>3948.17</v>
      </c>
      <c r="AL16" s="3"/>
      <c r="AM16" s="2">
        <f>ROUND(SUM(G16:AK16),5)</f>
        <v>18133.78</v>
      </c>
    </row>
    <row r="17" spans="1:39" x14ac:dyDescent="0.25">
      <c r="A17" s="1"/>
      <c r="B17" s="1"/>
      <c r="C17" s="1"/>
      <c r="D17" s="1"/>
      <c r="E17" s="1" t="s">
        <v>32</v>
      </c>
      <c r="F17" s="1"/>
      <c r="G17" s="2">
        <v>0</v>
      </c>
      <c r="H17" s="3"/>
      <c r="I17" s="2">
        <v>0</v>
      </c>
      <c r="J17" s="3"/>
      <c r="K17" s="2">
        <v>0</v>
      </c>
      <c r="L17" s="3"/>
      <c r="M17" s="2">
        <v>-1339.92</v>
      </c>
      <c r="N17" s="3"/>
      <c r="O17" s="2">
        <v>-285.61</v>
      </c>
      <c r="P17" s="3"/>
      <c r="Q17" s="2">
        <v>-285.61</v>
      </c>
      <c r="R17" s="3"/>
      <c r="S17" s="2">
        <v>0</v>
      </c>
      <c r="T17" s="3"/>
      <c r="U17" s="2">
        <v>0</v>
      </c>
      <c r="V17" s="3"/>
      <c r="W17" s="2">
        <v>-2856.1</v>
      </c>
      <c r="X17" s="3"/>
      <c r="Y17" s="2">
        <v>0</v>
      </c>
      <c r="Z17" s="3"/>
      <c r="AA17" s="2">
        <v>-450.96</v>
      </c>
      <c r="AB17" s="3"/>
      <c r="AC17" s="2">
        <v>-285.61</v>
      </c>
      <c r="AD17" s="3"/>
      <c r="AE17" s="2">
        <v>0</v>
      </c>
      <c r="AF17" s="3"/>
      <c r="AG17" s="2">
        <v>0</v>
      </c>
      <c r="AH17" s="3"/>
      <c r="AI17" s="2">
        <v>0</v>
      </c>
      <c r="AJ17" s="3"/>
      <c r="AK17" s="2">
        <v>0</v>
      </c>
      <c r="AL17" s="3"/>
      <c r="AM17" s="2">
        <f>ROUND(SUM(G17:AK17),5)</f>
        <v>-5503.81</v>
      </c>
    </row>
    <row r="18" spans="1:39" x14ac:dyDescent="0.25">
      <c r="A18" s="1"/>
      <c r="B18" s="1"/>
      <c r="C18" s="1"/>
      <c r="D18" s="1"/>
      <c r="E18" s="1" t="s">
        <v>33</v>
      </c>
      <c r="F18" s="1"/>
      <c r="G18" s="2">
        <v>6684.3</v>
      </c>
      <c r="H18" s="3"/>
      <c r="I18" s="2">
        <v>6907.11</v>
      </c>
      <c r="J18" s="3"/>
      <c r="K18" s="2">
        <v>7272.6</v>
      </c>
      <c r="L18" s="3"/>
      <c r="M18" s="2">
        <v>7272.6</v>
      </c>
      <c r="N18" s="3"/>
      <c r="O18" s="2">
        <v>10791.6</v>
      </c>
      <c r="P18" s="3"/>
      <c r="Q18" s="2">
        <v>6846.3</v>
      </c>
      <c r="R18" s="3"/>
      <c r="S18" s="2">
        <v>7074.51</v>
      </c>
      <c r="T18" s="3"/>
      <c r="U18" s="2">
        <v>6846.3</v>
      </c>
      <c r="V18" s="3"/>
      <c r="W18" s="2">
        <v>7886.71</v>
      </c>
      <c r="X18" s="3"/>
      <c r="Y18" s="2">
        <v>1017.64</v>
      </c>
      <c r="Z18" s="3"/>
      <c r="AA18" s="2">
        <v>1526.46</v>
      </c>
      <c r="AB18" s="3"/>
      <c r="AC18" s="2">
        <v>8173.15</v>
      </c>
      <c r="AD18" s="3"/>
      <c r="AE18" s="2">
        <v>7909.5</v>
      </c>
      <c r="AF18" s="3"/>
      <c r="AG18" s="2">
        <v>8173.15</v>
      </c>
      <c r="AH18" s="3"/>
      <c r="AI18" s="2">
        <v>14687.68</v>
      </c>
      <c r="AJ18" s="3"/>
      <c r="AK18" s="2">
        <v>13114</v>
      </c>
      <c r="AL18" s="3"/>
      <c r="AM18" s="2">
        <f>ROUND(SUM(G18:AK18),5)</f>
        <v>122183.61</v>
      </c>
    </row>
    <row r="19" spans="1:39" x14ac:dyDescent="0.25">
      <c r="A19" s="1"/>
      <c r="B19" s="1"/>
      <c r="C19" s="1"/>
      <c r="D19" s="1"/>
      <c r="E19" s="1" t="s">
        <v>34</v>
      </c>
      <c r="F19" s="1"/>
      <c r="G19" s="2">
        <v>0</v>
      </c>
      <c r="H19" s="3"/>
      <c r="I19" s="2">
        <v>2370</v>
      </c>
      <c r="J19" s="3"/>
      <c r="K19" s="2">
        <v>0</v>
      </c>
      <c r="L19" s="3"/>
      <c r="M19" s="2">
        <v>0</v>
      </c>
      <c r="N19" s="3"/>
      <c r="O19" s="2">
        <v>0</v>
      </c>
      <c r="P19" s="3"/>
      <c r="Q19" s="2">
        <v>0</v>
      </c>
      <c r="R19" s="3"/>
      <c r="S19" s="2">
        <v>0</v>
      </c>
      <c r="T19" s="3"/>
      <c r="U19" s="2">
        <v>0</v>
      </c>
      <c r="V19" s="3"/>
      <c r="W19" s="2">
        <v>0</v>
      </c>
      <c r="X19" s="3"/>
      <c r="Y19" s="2">
        <v>0</v>
      </c>
      <c r="Z19" s="3"/>
      <c r="AA19" s="2">
        <v>0</v>
      </c>
      <c r="AB19" s="3"/>
      <c r="AC19" s="2">
        <v>0</v>
      </c>
      <c r="AD19" s="3"/>
      <c r="AE19" s="2">
        <v>5500</v>
      </c>
      <c r="AF19" s="3"/>
      <c r="AG19" s="2">
        <v>15500</v>
      </c>
      <c r="AH19" s="3"/>
      <c r="AI19" s="2">
        <v>2500</v>
      </c>
      <c r="AJ19" s="3"/>
      <c r="AK19" s="2">
        <v>1500</v>
      </c>
      <c r="AL19" s="3"/>
      <c r="AM19" s="2">
        <f>ROUND(SUM(G19:AK19),5)</f>
        <v>27370</v>
      </c>
    </row>
    <row r="20" spans="1:39" x14ac:dyDescent="0.25">
      <c r="A20" s="1"/>
      <c r="B20" s="1"/>
      <c r="C20" s="1"/>
      <c r="D20" s="1"/>
      <c r="E20" s="1" t="s">
        <v>35</v>
      </c>
      <c r="F20" s="1"/>
      <c r="G20" s="2">
        <v>0</v>
      </c>
      <c r="H20" s="3"/>
      <c r="I20" s="2">
        <v>0</v>
      </c>
      <c r="J20" s="3"/>
      <c r="K20" s="2">
        <v>0</v>
      </c>
      <c r="L20" s="3"/>
      <c r="M20" s="2">
        <v>0</v>
      </c>
      <c r="N20" s="3"/>
      <c r="O20" s="2">
        <v>323.8</v>
      </c>
      <c r="P20" s="3"/>
      <c r="Q20" s="2">
        <v>151.38999999999999</v>
      </c>
      <c r="R20" s="3"/>
      <c r="S20" s="2">
        <v>0</v>
      </c>
      <c r="T20" s="3"/>
      <c r="U20" s="2">
        <v>0</v>
      </c>
      <c r="V20" s="3"/>
      <c r="W20" s="2">
        <v>0</v>
      </c>
      <c r="X20" s="3"/>
      <c r="Y20" s="2">
        <v>0</v>
      </c>
      <c r="Z20" s="3"/>
      <c r="AA20" s="2">
        <v>0</v>
      </c>
      <c r="AB20" s="3"/>
      <c r="AC20" s="2">
        <v>0</v>
      </c>
      <c r="AD20" s="3"/>
      <c r="AE20" s="2">
        <v>0</v>
      </c>
      <c r="AF20" s="3"/>
      <c r="AG20" s="2">
        <v>0</v>
      </c>
      <c r="AH20" s="3"/>
      <c r="AI20" s="2">
        <v>255.99</v>
      </c>
      <c r="AJ20" s="3"/>
      <c r="AK20" s="2">
        <v>0</v>
      </c>
      <c r="AL20" s="3"/>
      <c r="AM20" s="2">
        <f>ROUND(SUM(G20:AK20),5)</f>
        <v>731.18</v>
      </c>
    </row>
    <row r="21" spans="1:39" x14ac:dyDescent="0.25">
      <c r="A21" s="1"/>
      <c r="B21" s="1"/>
      <c r="C21" s="1"/>
      <c r="D21" s="1"/>
      <c r="E21" s="1" t="s">
        <v>36</v>
      </c>
      <c r="F21" s="1"/>
      <c r="G21" s="2">
        <v>0</v>
      </c>
      <c r="H21" s="3"/>
      <c r="I21" s="2">
        <v>0</v>
      </c>
      <c r="J21" s="3"/>
      <c r="K21" s="2">
        <v>0</v>
      </c>
      <c r="L21" s="3"/>
      <c r="M21" s="2">
        <v>0</v>
      </c>
      <c r="N21" s="3"/>
      <c r="O21" s="2">
        <v>268.49</v>
      </c>
      <c r="P21" s="3"/>
      <c r="Q21" s="2">
        <v>254.7</v>
      </c>
      <c r="R21" s="3"/>
      <c r="S21" s="2">
        <v>0</v>
      </c>
      <c r="T21" s="3"/>
      <c r="U21" s="2">
        <v>0</v>
      </c>
      <c r="V21" s="3"/>
      <c r="W21" s="2">
        <v>0</v>
      </c>
      <c r="X21" s="3"/>
      <c r="Y21" s="2">
        <v>0</v>
      </c>
      <c r="Z21" s="3"/>
      <c r="AA21" s="2">
        <v>0</v>
      </c>
      <c r="AB21" s="3"/>
      <c r="AC21" s="2">
        <v>0</v>
      </c>
      <c r="AD21" s="3"/>
      <c r="AE21" s="2">
        <v>0</v>
      </c>
      <c r="AF21" s="3"/>
      <c r="AG21" s="2">
        <v>0</v>
      </c>
      <c r="AH21" s="3"/>
      <c r="AI21" s="2">
        <v>0</v>
      </c>
      <c r="AJ21" s="3"/>
      <c r="AK21" s="2">
        <v>0</v>
      </c>
      <c r="AL21" s="3"/>
      <c r="AM21" s="2">
        <f>ROUND(SUM(G21:AK21),5)</f>
        <v>523.19000000000005</v>
      </c>
    </row>
    <row r="22" spans="1:39" x14ac:dyDescent="0.25">
      <c r="A22" s="1"/>
      <c r="B22" s="1"/>
      <c r="C22" s="1"/>
      <c r="D22" s="1"/>
      <c r="E22" s="1" t="s">
        <v>37</v>
      </c>
      <c r="F22" s="1"/>
      <c r="G22" s="2">
        <v>0</v>
      </c>
      <c r="H22" s="3"/>
      <c r="I22" s="2">
        <v>0</v>
      </c>
      <c r="J22" s="3"/>
      <c r="K22" s="2">
        <v>0</v>
      </c>
      <c r="L22" s="3"/>
      <c r="M22" s="2">
        <v>0</v>
      </c>
      <c r="N22" s="3"/>
      <c r="O22" s="2">
        <v>269.63</v>
      </c>
      <c r="P22" s="3"/>
      <c r="Q22" s="2">
        <v>71.42</v>
      </c>
      <c r="R22" s="3"/>
      <c r="S22" s="2">
        <v>0</v>
      </c>
      <c r="T22" s="3"/>
      <c r="U22" s="2">
        <v>0</v>
      </c>
      <c r="V22" s="3"/>
      <c r="W22" s="2">
        <v>0</v>
      </c>
      <c r="X22" s="3"/>
      <c r="Y22" s="2">
        <v>0</v>
      </c>
      <c r="Z22" s="3"/>
      <c r="AA22" s="2">
        <v>0</v>
      </c>
      <c r="AB22" s="3"/>
      <c r="AC22" s="2">
        <v>0</v>
      </c>
      <c r="AD22" s="3"/>
      <c r="AE22" s="2">
        <v>0</v>
      </c>
      <c r="AF22" s="3"/>
      <c r="AG22" s="2">
        <v>0</v>
      </c>
      <c r="AH22" s="3"/>
      <c r="AI22" s="2">
        <v>0</v>
      </c>
      <c r="AJ22" s="3"/>
      <c r="AK22" s="2">
        <v>0</v>
      </c>
      <c r="AL22" s="3"/>
      <c r="AM22" s="2">
        <f>ROUND(SUM(G22:AK22),5)</f>
        <v>341.05</v>
      </c>
    </row>
    <row r="23" spans="1:39" x14ac:dyDescent="0.25">
      <c r="A23" s="1"/>
      <c r="B23" s="1"/>
      <c r="C23" s="1"/>
      <c r="D23" s="1"/>
      <c r="E23" s="1" t="s">
        <v>38</v>
      </c>
      <c r="F23" s="1"/>
      <c r="G23" s="2">
        <v>0</v>
      </c>
      <c r="H23" s="3"/>
      <c r="I23" s="2">
        <v>0</v>
      </c>
      <c r="J23" s="3"/>
      <c r="K23" s="2">
        <v>0</v>
      </c>
      <c r="L23" s="3"/>
      <c r="M23" s="2">
        <v>0</v>
      </c>
      <c r="N23" s="3"/>
      <c r="O23" s="2">
        <v>0</v>
      </c>
      <c r="P23" s="3"/>
      <c r="Q23" s="2">
        <v>0</v>
      </c>
      <c r="R23" s="3"/>
      <c r="S23" s="2">
        <v>0</v>
      </c>
      <c r="T23" s="3"/>
      <c r="U23" s="2">
        <v>0</v>
      </c>
      <c r="V23" s="3"/>
      <c r="W23" s="2">
        <v>0</v>
      </c>
      <c r="X23" s="3"/>
      <c r="Y23" s="2">
        <v>0</v>
      </c>
      <c r="Z23" s="3"/>
      <c r="AA23" s="2">
        <v>682.67</v>
      </c>
      <c r="AB23" s="3"/>
      <c r="AC23" s="2">
        <v>1319.68</v>
      </c>
      <c r="AD23" s="3"/>
      <c r="AE23" s="2">
        <v>990.64</v>
      </c>
      <c r="AF23" s="3"/>
      <c r="AG23" s="2">
        <v>2579.84</v>
      </c>
      <c r="AH23" s="3"/>
      <c r="AI23" s="2">
        <v>3588.82</v>
      </c>
      <c r="AJ23" s="3"/>
      <c r="AK23" s="2">
        <v>1702.63</v>
      </c>
      <c r="AL23" s="3"/>
      <c r="AM23" s="2">
        <f>ROUND(SUM(G23:AK23),5)</f>
        <v>10864.28</v>
      </c>
    </row>
    <row r="24" spans="1:39" x14ac:dyDescent="0.25">
      <c r="A24" s="1"/>
      <c r="B24" s="1"/>
      <c r="C24" s="1"/>
      <c r="D24" s="1"/>
      <c r="E24" s="1" t="s">
        <v>39</v>
      </c>
      <c r="F24" s="1"/>
      <c r="G24" s="2">
        <v>0</v>
      </c>
      <c r="H24" s="3"/>
      <c r="I24" s="2">
        <v>0</v>
      </c>
      <c r="J24" s="3"/>
      <c r="K24" s="2">
        <v>0</v>
      </c>
      <c r="L24" s="3"/>
      <c r="M24" s="2">
        <v>0</v>
      </c>
      <c r="N24" s="3"/>
      <c r="O24" s="2">
        <v>0</v>
      </c>
      <c r="P24" s="3"/>
      <c r="Q24" s="2">
        <v>0</v>
      </c>
      <c r="R24" s="3"/>
      <c r="S24" s="2">
        <v>0</v>
      </c>
      <c r="T24" s="3"/>
      <c r="U24" s="2">
        <v>0</v>
      </c>
      <c r="V24" s="3"/>
      <c r="W24" s="2">
        <v>0</v>
      </c>
      <c r="X24" s="3"/>
      <c r="Y24" s="2">
        <v>0</v>
      </c>
      <c r="Z24" s="3"/>
      <c r="AA24" s="2">
        <v>0</v>
      </c>
      <c r="AB24" s="3"/>
      <c r="AC24" s="2">
        <v>0</v>
      </c>
      <c r="AD24" s="3"/>
      <c r="AE24" s="2">
        <v>750.82</v>
      </c>
      <c r="AF24" s="3"/>
      <c r="AG24" s="2">
        <v>601.26</v>
      </c>
      <c r="AH24" s="3"/>
      <c r="AI24" s="2">
        <v>360.71</v>
      </c>
      <c r="AJ24" s="3"/>
      <c r="AK24" s="2">
        <v>1238.54</v>
      </c>
      <c r="AL24" s="3"/>
      <c r="AM24" s="2">
        <f>ROUND(SUM(G24:AK24),5)</f>
        <v>2951.33</v>
      </c>
    </row>
    <row r="25" spans="1:39" ht="15.75" thickBot="1" x14ac:dyDescent="0.3">
      <c r="A25" s="1"/>
      <c r="B25" s="1"/>
      <c r="C25" s="1"/>
      <c r="D25" s="1"/>
      <c r="E25" s="1" t="s">
        <v>40</v>
      </c>
      <c r="F25" s="1"/>
      <c r="G25" s="4">
        <v>0</v>
      </c>
      <c r="H25" s="3"/>
      <c r="I25" s="4">
        <v>0</v>
      </c>
      <c r="J25" s="3"/>
      <c r="K25" s="4">
        <v>0</v>
      </c>
      <c r="L25" s="3"/>
      <c r="M25" s="4">
        <v>0</v>
      </c>
      <c r="N25" s="3"/>
      <c r="O25" s="4">
        <v>0</v>
      </c>
      <c r="P25" s="3"/>
      <c r="Q25" s="4">
        <v>0</v>
      </c>
      <c r="R25" s="3"/>
      <c r="S25" s="4">
        <v>0</v>
      </c>
      <c r="T25" s="3"/>
      <c r="U25" s="4">
        <v>-1400</v>
      </c>
      <c r="V25" s="3"/>
      <c r="W25" s="4">
        <v>0</v>
      </c>
      <c r="X25" s="3"/>
      <c r="Y25" s="4">
        <v>0</v>
      </c>
      <c r="Z25" s="3"/>
      <c r="AA25" s="4">
        <v>0</v>
      </c>
      <c r="AB25" s="3"/>
      <c r="AC25" s="4">
        <v>6159</v>
      </c>
      <c r="AD25" s="3"/>
      <c r="AE25" s="4">
        <v>0</v>
      </c>
      <c r="AF25" s="3"/>
      <c r="AG25" s="4">
        <v>0</v>
      </c>
      <c r="AH25" s="3"/>
      <c r="AI25" s="4">
        <v>0</v>
      </c>
      <c r="AJ25" s="3"/>
      <c r="AK25" s="4">
        <v>0</v>
      </c>
      <c r="AL25" s="3"/>
      <c r="AM25" s="4">
        <f>ROUND(SUM(G25:AK25),5)</f>
        <v>4759</v>
      </c>
    </row>
    <row r="26" spans="1:39" ht="15.75" thickBot="1" x14ac:dyDescent="0.3">
      <c r="A26" s="1"/>
      <c r="B26" s="1"/>
      <c r="C26" s="1"/>
      <c r="D26" s="1" t="s">
        <v>41</v>
      </c>
      <c r="E26" s="1"/>
      <c r="F26" s="1"/>
      <c r="G26" s="5">
        <f>ROUND(SUM(G3:G25),5)</f>
        <v>171282.69</v>
      </c>
      <c r="H26" s="3"/>
      <c r="I26" s="5">
        <f>ROUND(SUM(I3:I25),5)</f>
        <v>198809.98</v>
      </c>
      <c r="J26" s="3"/>
      <c r="K26" s="5">
        <f>ROUND(SUM(K3:K25),5)</f>
        <v>227975.41</v>
      </c>
      <c r="L26" s="3"/>
      <c r="M26" s="5">
        <f>ROUND(SUM(M3:M25),5)</f>
        <v>195071.74</v>
      </c>
      <c r="N26" s="3"/>
      <c r="O26" s="5">
        <f>ROUND(SUM(O3:O25),5)</f>
        <v>238148.99</v>
      </c>
      <c r="P26" s="3"/>
      <c r="Q26" s="5">
        <f>ROUND(SUM(Q3:Q25),5)</f>
        <v>246935.31</v>
      </c>
      <c r="R26" s="3"/>
      <c r="S26" s="5">
        <f>ROUND(SUM(S3:S25),5)</f>
        <v>224695.98</v>
      </c>
      <c r="T26" s="3"/>
      <c r="U26" s="5">
        <f>ROUND(SUM(U3:U25),5)</f>
        <v>203049.05</v>
      </c>
      <c r="V26" s="3"/>
      <c r="W26" s="5">
        <f>ROUND(SUM(W3:W25),5)</f>
        <v>216108.02</v>
      </c>
      <c r="X26" s="3"/>
      <c r="Y26" s="5">
        <f>ROUND(SUM(Y3:Y25),5)</f>
        <v>292544.2</v>
      </c>
      <c r="Z26" s="3"/>
      <c r="AA26" s="5">
        <f>ROUND(SUM(AA3:AA25),5)</f>
        <v>268492.01</v>
      </c>
      <c r="AB26" s="3"/>
      <c r="AC26" s="5">
        <f>ROUND(SUM(AC3:AC25),5)</f>
        <v>291342.25</v>
      </c>
      <c r="AD26" s="3"/>
      <c r="AE26" s="5">
        <f>ROUND(SUM(AE3:AE25),5)</f>
        <v>258355.49</v>
      </c>
      <c r="AF26" s="3"/>
      <c r="AG26" s="5">
        <f>ROUND(SUM(AG3:AG25),5)</f>
        <v>277500.48</v>
      </c>
      <c r="AH26" s="3"/>
      <c r="AI26" s="5">
        <f>ROUND(SUM(AI3:AI25),5)</f>
        <v>290031.07</v>
      </c>
      <c r="AJ26" s="3"/>
      <c r="AK26" s="5">
        <f>ROUND(SUM(AK3:AK25),5)</f>
        <v>281831.18</v>
      </c>
      <c r="AL26" s="3"/>
      <c r="AM26" s="5">
        <f>ROUND(SUM(G26:AK26),5)</f>
        <v>3882173.85</v>
      </c>
    </row>
    <row r="27" spans="1:39" x14ac:dyDescent="0.25">
      <c r="A27" s="1"/>
      <c r="B27" s="1"/>
      <c r="C27" s="1" t="s">
        <v>42</v>
      </c>
      <c r="D27" s="1"/>
      <c r="E27" s="1"/>
      <c r="F27" s="1"/>
      <c r="G27" s="2">
        <f>G26</f>
        <v>171282.69</v>
      </c>
      <c r="H27" s="3"/>
      <c r="I27" s="2">
        <f>I26</f>
        <v>198809.98</v>
      </c>
      <c r="J27" s="3"/>
      <c r="K27" s="2">
        <f>K26</f>
        <v>227975.41</v>
      </c>
      <c r="L27" s="3"/>
      <c r="M27" s="2">
        <f>M26</f>
        <v>195071.74</v>
      </c>
      <c r="N27" s="3"/>
      <c r="O27" s="2">
        <f>O26</f>
        <v>238148.99</v>
      </c>
      <c r="P27" s="3"/>
      <c r="Q27" s="2">
        <f>Q26</f>
        <v>246935.31</v>
      </c>
      <c r="R27" s="3"/>
      <c r="S27" s="2">
        <f>S26</f>
        <v>224695.98</v>
      </c>
      <c r="T27" s="3"/>
      <c r="U27" s="2">
        <f>U26</f>
        <v>203049.05</v>
      </c>
      <c r="V27" s="3"/>
      <c r="W27" s="2">
        <f>W26</f>
        <v>216108.02</v>
      </c>
      <c r="X27" s="3"/>
      <c r="Y27" s="2">
        <f>Y26</f>
        <v>292544.2</v>
      </c>
      <c r="Z27" s="3"/>
      <c r="AA27" s="2">
        <f>AA26</f>
        <v>268492.01</v>
      </c>
      <c r="AB27" s="3"/>
      <c r="AC27" s="2">
        <f>AC26</f>
        <v>291342.25</v>
      </c>
      <c r="AD27" s="3"/>
      <c r="AE27" s="2">
        <f>AE26</f>
        <v>258355.49</v>
      </c>
      <c r="AF27" s="3"/>
      <c r="AG27" s="2">
        <f>AG26</f>
        <v>277500.48</v>
      </c>
      <c r="AH27" s="3"/>
      <c r="AI27" s="2">
        <f>AI26</f>
        <v>290031.07</v>
      </c>
      <c r="AJ27" s="3"/>
      <c r="AK27" s="2">
        <f>AK26</f>
        <v>281831.18</v>
      </c>
      <c r="AL27" s="3"/>
      <c r="AM27" s="2">
        <f>ROUND(SUM(G27:AK27),5)</f>
        <v>3882173.85</v>
      </c>
    </row>
    <row r="28" spans="1:39" x14ac:dyDescent="0.25">
      <c r="A28" s="1"/>
      <c r="B28" s="1"/>
      <c r="C28" s="1"/>
      <c r="D28" s="1" t="s">
        <v>43</v>
      </c>
      <c r="E28" s="1"/>
      <c r="F28" s="1"/>
      <c r="G28" s="2"/>
      <c r="H28" s="3"/>
      <c r="I28" s="2"/>
      <c r="J28" s="3"/>
      <c r="K28" s="2"/>
      <c r="L28" s="3"/>
      <c r="M28" s="2"/>
      <c r="N28" s="3"/>
      <c r="O28" s="2"/>
      <c r="P28" s="3"/>
      <c r="Q28" s="2"/>
      <c r="R28" s="3"/>
      <c r="S28" s="2"/>
      <c r="T28" s="3"/>
      <c r="U28" s="2"/>
      <c r="V28" s="3"/>
      <c r="W28" s="2"/>
      <c r="X28" s="3"/>
      <c r="Y28" s="2"/>
      <c r="Z28" s="3"/>
      <c r="AA28" s="2"/>
      <c r="AB28" s="3"/>
      <c r="AC28" s="2"/>
      <c r="AD28" s="3"/>
      <c r="AE28" s="2"/>
      <c r="AF28" s="3"/>
      <c r="AG28" s="2"/>
      <c r="AH28" s="3"/>
      <c r="AI28" s="2"/>
      <c r="AJ28" s="3"/>
      <c r="AK28" s="2"/>
      <c r="AL28" s="3"/>
      <c r="AM28" s="2"/>
    </row>
    <row r="29" spans="1:39" x14ac:dyDescent="0.25">
      <c r="A29" s="1"/>
      <c r="B29" s="1"/>
      <c r="C29" s="1"/>
      <c r="D29" s="1"/>
      <c r="E29" s="1" t="s">
        <v>44</v>
      </c>
      <c r="F29" s="1"/>
      <c r="G29" s="2"/>
      <c r="H29" s="3"/>
      <c r="I29" s="2"/>
      <c r="J29" s="3"/>
      <c r="K29" s="2"/>
      <c r="L29" s="3"/>
      <c r="M29" s="2"/>
      <c r="N29" s="3"/>
      <c r="O29" s="2"/>
      <c r="P29" s="3"/>
      <c r="Q29" s="2"/>
      <c r="R29" s="3"/>
      <c r="S29" s="2"/>
      <c r="T29" s="3"/>
      <c r="U29" s="2"/>
      <c r="V29" s="3"/>
      <c r="W29" s="2"/>
      <c r="X29" s="3"/>
      <c r="Y29" s="2"/>
      <c r="Z29" s="3"/>
      <c r="AA29" s="2"/>
      <c r="AB29" s="3"/>
      <c r="AC29" s="2"/>
      <c r="AD29" s="3"/>
      <c r="AE29" s="2"/>
      <c r="AF29" s="3"/>
      <c r="AG29" s="2"/>
      <c r="AH29" s="3"/>
      <c r="AI29" s="2"/>
      <c r="AJ29" s="3"/>
      <c r="AK29" s="2"/>
      <c r="AL29" s="3"/>
      <c r="AM29" s="2"/>
    </row>
    <row r="30" spans="1:39" x14ac:dyDescent="0.25">
      <c r="A30" s="1"/>
      <c r="B30" s="1"/>
      <c r="C30" s="1"/>
      <c r="D30" s="1"/>
      <c r="E30" s="1"/>
      <c r="F30" s="1" t="s">
        <v>45</v>
      </c>
      <c r="G30" s="2">
        <v>29200.65</v>
      </c>
      <c r="H30" s="3"/>
      <c r="I30" s="2">
        <v>28358.400000000001</v>
      </c>
      <c r="J30" s="3"/>
      <c r="K30" s="2">
        <v>23920.67</v>
      </c>
      <c r="L30" s="3"/>
      <c r="M30" s="2">
        <v>12938.73</v>
      </c>
      <c r="N30" s="3"/>
      <c r="O30" s="2">
        <v>16360.53</v>
      </c>
      <c r="P30" s="3"/>
      <c r="Q30" s="2">
        <v>15933.75</v>
      </c>
      <c r="R30" s="3"/>
      <c r="S30" s="2">
        <v>15588.22</v>
      </c>
      <c r="T30" s="3"/>
      <c r="U30" s="2">
        <v>18945.5</v>
      </c>
      <c r="V30" s="3"/>
      <c r="W30" s="2">
        <v>23148.9</v>
      </c>
      <c r="X30" s="3"/>
      <c r="Y30" s="2">
        <v>13762.68</v>
      </c>
      <c r="Z30" s="3"/>
      <c r="AA30" s="2">
        <v>14716.09</v>
      </c>
      <c r="AB30" s="3"/>
      <c r="AC30" s="2">
        <v>14591.57</v>
      </c>
      <c r="AD30" s="3"/>
      <c r="AE30" s="2">
        <v>16127.43</v>
      </c>
      <c r="AF30" s="3"/>
      <c r="AG30" s="2">
        <v>13094.72</v>
      </c>
      <c r="AH30" s="3"/>
      <c r="AI30" s="2">
        <v>14894.28</v>
      </c>
      <c r="AJ30" s="3"/>
      <c r="AK30" s="2">
        <v>12705</v>
      </c>
      <c r="AL30" s="3"/>
      <c r="AM30" s="2">
        <f>ROUND(SUM(G30:AK30),5)</f>
        <v>284287.12</v>
      </c>
    </row>
    <row r="31" spans="1:39" x14ac:dyDescent="0.25">
      <c r="A31" s="1"/>
      <c r="B31" s="1"/>
      <c r="C31" s="1"/>
      <c r="D31" s="1"/>
      <c r="E31" s="1"/>
      <c r="F31" s="1" t="s">
        <v>46</v>
      </c>
      <c r="G31" s="2">
        <v>533.6</v>
      </c>
      <c r="H31" s="3"/>
      <c r="I31" s="2">
        <v>1824</v>
      </c>
      <c r="J31" s="3"/>
      <c r="K31" s="2">
        <v>20087.75</v>
      </c>
      <c r="L31" s="3"/>
      <c r="M31" s="2">
        <v>14523.56</v>
      </c>
      <c r="N31" s="3"/>
      <c r="O31" s="2">
        <v>14680</v>
      </c>
      <c r="P31" s="3"/>
      <c r="Q31" s="2">
        <v>14013.22</v>
      </c>
      <c r="R31" s="3"/>
      <c r="S31" s="2">
        <v>15626.83</v>
      </c>
      <c r="T31" s="3"/>
      <c r="U31" s="2">
        <v>13755.38</v>
      </c>
      <c r="V31" s="3"/>
      <c r="W31" s="2">
        <v>15042.22</v>
      </c>
      <c r="X31" s="3"/>
      <c r="Y31" s="2">
        <v>21689.64</v>
      </c>
      <c r="Z31" s="3"/>
      <c r="AA31" s="2">
        <v>26659.57</v>
      </c>
      <c r="AB31" s="3"/>
      <c r="AC31" s="2">
        <v>21632.65</v>
      </c>
      <c r="AD31" s="3"/>
      <c r="AE31" s="2">
        <v>19900.82</v>
      </c>
      <c r="AF31" s="3"/>
      <c r="AG31" s="2">
        <v>20771.560000000001</v>
      </c>
      <c r="AH31" s="3"/>
      <c r="AI31" s="2">
        <v>24337.360000000001</v>
      </c>
      <c r="AJ31" s="3"/>
      <c r="AK31" s="2">
        <v>21304.89</v>
      </c>
      <c r="AL31" s="3"/>
      <c r="AM31" s="2">
        <f>ROUND(SUM(G31:AK31),5)</f>
        <v>266383.05</v>
      </c>
    </row>
    <row r="32" spans="1:39" x14ac:dyDescent="0.25">
      <c r="A32" s="1"/>
      <c r="B32" s="1"/>
      <c r="C32" s="1"/>
      <c r="D32" s="1"/>
      <c r="E32" s="1"/>
      <c r="F32" s="1" t="s">
        <v>47</v>
      </c>
      <c r="G32" s="2">
        <v>27308.799999999999</v>
      </c>
      <c r="H32" s="3"/>
      <c r="I32" s="2">
        <v>34311.839999999997</v>
      </c>
      <c r="J32" s="3"/>
      <c r="K32" s="2">
        <v>22263.81</v>
      </c>
      <c r="L32" s="3"/>
      <c r="M32" s="2">
        <v>38356.199999999997</v>
      </c>
      <c r="N32" s="3"/>
      <c r="O32" s="2">
        <v>43012.03</v>
      </c>
      <c r="P32" s="3"/>
      <c r="Q32" s="2">
        <v>44540.74</v>
      </c>
      <c r="R32" s="3"/>
      <c r="S32" s="2">
        <v>42444.56</v>
      </c>
      <c r="T32" s="3"/>
      <c r="U32" s="2">
        <v>37190.07</v>
      </c>
      <c r="V32" s="3"/>
      <c r="W32" s="2">
        <v>39658.080000000002</v>
      </c>
      <c r="X32" s="3"/>
      <c r="Y32" s="2">
        <v>33733.68</v>
      </c>
      <c r="Z32" s="3"/>
      <c r="AA32" s="2">
        <v>37331.53</v>
      </c>
      <c r="AB32" s="3"/>
      <c r="AC32" s="2">
        <v>40682.54</v>
      </c>
      <c r="AD32" s="3"/>
      <c r="AE32" s="2">
        <v>40818.03</v>
      </c>
      <c r="AF32" s="3"/>
      <c r="AG32" s="2">
        <v>37728.730000000003</v>
      </c>
      <c r="AH32" s="3"/>
      <c r="AI32" s="2">
        <v>40609.699999999997</v>
      </c>
      <c r="AJ32" s="3"/>
      <c r="AK32" s="2">
        <v>38748.550000000003</v>
      </c>
      <c r="AL32" s="3"/>
      <c r="AM32" s="2">
        <f>ROUND(SUM(G32:AK32),5)</f>
        <v>598738.89</v>
      </c>
    </row>
    <row r="33" spans="1:39" x14ac:dyDescent="0.25">
      <c r="A33" s="1"/>
      <c r="B33" s="1"/>
      <c r="C33" s="1"/>
      <c r="D33" s="1"/>
      <c r="E33" s="1"/>
      <c r="F33" s="1" t="s">
        <v>48</v>
      </c>
      <c r="G33" s="2">
        <v>6514.18</v>
      </c>
      <c r="H33" s="3"/>
      <c r="I33" s="2">
        <v>7419.14</v>
      </c>
      <c r="J33" s="3"/>
      <c r="K33" s="2">
        <v>5247.95</v>
      </c>
      <c r="L33" s="3"/>
      <c r="M33" s="2">
        <v>6978.71</v>
      </c>
      <c r="N33" s="3"/>
      <c r="O33" s="2">
        <v>8010.99</v>
      </c>
      <c r="P33" s="3"/>
      <c r="Q33" s="2">
        <v>7417.58</v>
      </c>
      <c r="R33" s="3"/>
      <c r="S33" s="2">
        <v>6626.38</v>
      </c>
      <c r="T33" s="3"/>
      <c r="U33" s="2">
        <v>7417.59</v>
      </c>
      <c r="V33" s="3"/>
      <c r="W33" s="2">
        <v>7664.83</v>
      </c>
      <c r="X33" s="3"/>
      <c r="Y33" s="2">
        <v>7924.46</v>
      </c>
      <c r="Z33" s="3"/>
      <c r="AA33" s="2">
        <v>10879.13</v>
      </c>
      <c r="AB33" s="3"/>
      <c r="AC33" s="2">
        <v>7664.84</v>
      </c>
      <c r="AD33" s="3"/>
      <c r="AE33" s="2">
        <v>7417.58</v>
      </c>
      <c r="AF33" s="3"/>
      <c r="AG33" s="2">
        <v>7664.83</v>
      </c>
      <c r="AH33" s="3"/>
      <c r="AI33" s="2">
        <v>7664.84</v>
      </c>
      <c r="AJ33" s="3"/>
      <c r="AK33" s="2">
        <v>6923.08</v>
      </c>
      <c r="AL33" s="3"/>
      <c r="AM33" s="2">
        <f>ROUND(SUM(G33:AK33),5)</f>
        <v>119436.11</v>
      </c>
    </row>
    <row r="34" spans="1:39" x14ac:dyDescent="0.25">
      <c r="A34" s="1"/>
      <c r="B34" s="1"/>
      <c r="C34" s="1"/>
      <c r="D34" s="1"/>
      <c r="E34" s="1"/>
      <c r="F34" s="1" t="s">
        <v>49</v>
      </c>
      <c r="G34" s="2">
        <v>0</v>
      </c>
      <c r="H34" s="3"/>
      <c r="I34" s="2">
        <v>459.74</v>
      </c>
      <c r="J34" s="3"/>
      <c r="K34" s="2">
        <v>829.8</v>
      </c>
      <c r="L34" s="3"/>
      <c r="M34" s="2">
        <v>1534.55</v>
      </c>
      <c r="N34" s="3"/>
      <c r="O34" s="2">
        <v>204.15</v>
      </c>
      <c r="P34" s="3"/>
      <c r="Q34" s="2">
        <v>161.12</v>
      </c>
      <c r="R34" s="3"/>
      <c r="S34" s="2">
        <v>460.93</v>
      </c>
      <c r="T34" s="3"/>
      <c r="U34" s="2">
        <v>529.02</v>
      </c>
      <c r="V34" s="3"/>
      <c r="W34" s="2">
        <v>126.44</v>
      </c>
      <c r="X34" s="3"/>
      <c r="Y34" s="2">
        <v>620.08000000000004</v>
      </c>
      <c r="Z34" s="3"/>
      <c r="AA34" s="2">
        <v>3.86</v>
      </c>
      <c r="AB34" s="3"/>
      <c r="AC34" s="2">
        <v>463.62</v>
      </c>
      <c r="AD34" s="3"/>
      <c r="AE34" s="2">
        <v>-10.08</v>
      </c>
      <c r="AF34" s="3"/>
      <c r="AG34" s="2">
        <v>263.68</v>
      </c>
      <c r="AH34" s="3"/>
      <c r="AI34" s="2">
        <v>317.57</v>
      </c>
      <c r="AJ34" s="3"/>
      <c r="AK34" s="2">
        <v>-1.85</v>
      </c>
      <c r="AL34" s="3"/>
      <c r="AM34" s="2">
        <f>ROUND(SUM(G34:AK34),5)</f>
        <v>5962.63</v>
      </c>
    </row>
    <row r="35" spans="1:39" x14ac:dyDescent="0.25">
      <c r="A35" s="1"/>
      <c r="B35" s="1"/>
      <c r="C35" s="1"/>
      <c r="D35" s="1"/>
      <c r="E35" s="1"/>
      <c r="F35" s="1" t="s">
        <v>50</v>
      </c>
      <c r="G35" s="2">
        <v>0</v>
      </c>
      <c r="H35" s="3"/>
      <c r="I35" s="2">
        <v>0</v>
      </c>
      <c r="J35" s="3"/>
      <c r="K35" s="2">
        <v>800</v>
      </c>
      <c r="L35" s="3"/>
      <c r="M35" s="2">
        <v>560</v>
      </c>
      <c r="N35" s="3"/>
      <c r="O35" s="2">
        <v>1066.8</v>
      </c>
      <c r="P35" s="3"/>
      <c r="Q35" s="2">
        <v>880.61</v>
      </c>
      <c r="R35" s="3"/>
      <c r="S35" s="2">
        <v>591.9</v>
      </c>
      <c r="T35" s="3"/>
      <c r="U35" s="2">
        <v>369.3</v>
      </c>
      <c r="V35" s="3"/>
      <c r="W35" s="2">
        <v>61.5</v>
      </c>
      <c r="X35" s="3"/>
      <c r="Y35" s="2">
        <v>587.97</v>
      </c>
      <c r="Z35" s="3"/>
      <c r="AA35" s="2">
        <v>409.49</v>
      </c>
      <c r="AB35" s="3"/>
      <c r="AC35" s="2">
        <v>1096.2</v>
      </c>
      <c r="AD35" s="3"/>
      <c r="AE35" s="2">
        <v>927.66</v>
      </c>
      <c r="AF35" s="3"/>
      <c r="AG35" s="2">
        <v>817</v>
      </c>
      <c r="AH35" s="3"/>
      <c r="AI35" s="2">
        <v>756</v>
      </c>
      <c r="AJ35" s="3"/>
      <c r="AK35" s="2">
        <v>756</v>
      </c>
      <c r="AL35" s="3"/>
      <c r="AM35" s="2">
        <f>ROUND(SUM(G35:AK35),5)</f>
        <v>9680.43</v>
      </c>
    </row>
    <row r="36" spans="1:39" x14ac:dyDescent="0.25">
      <c r="A36" s="1"/>
      <c r="B36" s="1"/>
      <c r="C36" s="1"/>
      <c r="D36" s="1"/>
      <c r="E36" s="1"/>
      <c r="F36" s="1" t="s">
        <v>51</v>
      </c>
      <c r="G36" s="2">
        <v>0</v>
      </c>
      <c r="H36" s="3"/>
      <c r="I36" s="2">
        <v>0</v>
      </c>
      <c r="J36" s="3"/>
      <c r="K36" s="2">
        <v>12.18</v>
      </c>
      <c r="L36" s="3"/>
      <c r="M36" s="2">
        <v>48.9</v>
      </c>
      <c r="N36" s="3"/>
      <c r="O36" s="2">
        <v>6.46</v>
      </c>
      <c r="P36" s="3"/>
      <c r="Q36" s="2">
        <v>0</v>
      </c>
      <c r="R36" s="3"/>
      <c r="S36" s="2">
        <v>70.66</v>
      </c>
      <c r="T36" s="3"/>
      <c r="U36" s="2">
        <v>229.61</v>
      </c>
      <c r="V36" s="3"/>
      <c r="W36" s="2">
        <v>66.52</v>
      </c>
      <c r="X36" s="3"/>
      <c r="Y36" s="2">
        <v>0</v>
      </c>
      <c r="Z36" s="3"/>
      <c r="AA36" s="2">
        <v>166.51</v>
      </c>
      <c r="AB36" s="3"/>
      <c r="AC36" s="2">
        <v>71.02</v>
      </c>
      <c r="AD36" s="3"/>
      <c r="AE36" s="2">
        <v>0</v>
      </c>
      <c r="AF36" s="3"/>
      <c r="AG36" s="2">
        <v>155.84</v>
      </c>
      <c r="AH36" s="3"/>
      <c r="AI36" s="2">
        <v>132.72999999999999</v>
      </c>
      <c r="AJ36" s="3"/>
      <c r="AK36" s="2">
        <v>70.569999999999993</v>
      </c>
      <c r="AL36" s="3"/>
      <c r="AM36" s="2">
        <f>ROUND(SUM(G36:AK36),5)</f>
        <v>1031</v>
      </c>
    </row>
    <row r="37" spans="1:39" x14ac:dyDescent="0.25">
      <c r="A37" s="1"/>
      <c r="B37" s="1"/>
      <c r="C37" s="1"/>
      <c r="D37" s="1"/>
      <c r="E37" s="1"/>
      <c r="F37" s="1" t="s">
        <v>52</v>
      </c>
      <c r="G37" s="2">
        <v>0</v>
      </c>
      <c r="H37" s="3"/>
      <c r="I37" s="2">
        <v>4069.68</v>
      </c>
      <c r="J37" s="3"/>
      <c r="K37" s="2">
        <v>7055.19</v>
      </c>
      <c r="L37" s="3"/>
      <c r="M37" s="2">
        <v>994.86</v>
      </c>
      <c r="N37" s="3"/>
      <c r="O37" s="2">
        <v>1910.64</v>
      </c>
      <c r="P37" s="3"/>
      <c r="Q37" s="2">
        <v>4095.74</v>
      </c>
      <c r="R37" s="3"/>
      <c r="S37" s="2">
        <v>3286.62</v>
      </c>
      <c r="T37" s="3"/>
      <c r="U37" s="2">
        <v>1476.35</v>
      </c>
      <c r="V37" s="3"/>
      <c r="W37" s="2">
        <v>2455.4499999999998</v>
      </c>
      <c r="X37" s="3"/>
      <c r="Y37" s="2">
        <v>3111.58</v>
      </c>
      <c r="Z37" s="3"/>
      <c r="AA37" s="2">
        <v>2689.99</v>
      </c>
      <c r="AB37" s="3"/>
      <c r="AC37" s="2">
        <v>3072.62</v>
      </c>
      <c r="AD37" s="3"/>
      <c r="AE37" s="2">
        <v>980.49</v>
      </c>
      <c r="AF37" s="3"/>
      <c r="AG37" s="2">
        <v>1735.08</v>
      </c>
      <c r="AH37" s="3"/>
      <c r="AI37" s="2">
        <v>3245.87</v>
      </c>
      <c r="AJ37" s="3"/>
      <c r="AK37" s="2">
        <v>3368.19</v>
      </c>
      <c r="AL37" s="3"/>
      <c r="AM37" s="2">
        <f>ROUND(SUM(G37:AK37),5)</f>
        <v>43548.35</v>
      </c>
    </row>
    <row r="38" spans="1:39" x14ac:dyDescent="0.25">
      <c r="A38" s="1"/>
      <c r="B38" s="1"/>
      <c r="C38" s="1"/>
      <c r="D38" s="1"/>
      <c r="E38" s="1"/>
      <c r="F38" s="1" t="s">
        <v>53</v>
      </c>
      <c r="G38" s="2">
        <v>653.41999999999996</v>
      </c>
      <c r="H38" s="3"/>
      <c r="I38" s="2">
        <v>0</v>
      </c>
      <c r="J38" s="3"/>
      <c r="K38" s="2">
        <v>2044.07</v>
      </c>
      <c r="L38" s="3"/>
      <c r="M38" s="2">
        <v>-407.98</v>
      </c>
      <c r="N38" s="3"/>
      <c r="O38" s="2">
        <v>72.78</v>
      </c>
      <c r="P38" s="3"/>
      <c r="Q38" s="2">
        <v>0</v>
      </c>
      <c r="R38" s="3"/>
      <c r="S38" s="2">
        <v>189.39</v>
      </c>
      <c r="T38" s="3"/>
      <c r="U38" s="2">
        <v>0</v>
      </c>
      <c r="V38" s="3"/>
      <c r="W38" s="2">
        <v>72.78</v>
      </c>
      <c r="X38" s="3"/>
      <c r="Y38" s="2">
        <v>358.71</v>
      </c>
      <c r="Z38" s="3"/>
      <c r="AA38" s="2">
        <v>72.78</v>
      </c>
      <c r="AB38" s="3"/>
      <c r="AC38" s="2">
        <v>0</v>
      </c>
      <c r="AD38" s="3"/>
      <c r="AE38" s="2">
        <v>72.78</v>
      </c>
      <c r="AF38" s="3"/>
      <c r="AG38" s="2">
        <v>72.78</v>
      </c>
      <c r="AH38" s="3"/>
      <c r="AI38" s="2">
        <v>72.78</v>
      </c>
      <c r="AJ38" s="3"/>
      <c r="AK38" s="2">
        <v>287.83</v>
      </c>
      <c r="AL38" s="3"/>
      <c r="AM38" s="2">
        <f>ROUND(SUM(G38:AK38),5)</f>
        <v>3562.12</v>
      </c>
    </row>
    <row r="39" spans="1:39" x14ac:dyDescent="0.25">
      <c r="A39" s="1"/>
      <c r="B39" s="1"/>
      <c r="C39" s="1"/>
      <c r="D39" s="1"/>
      <c r="E39" s="1"/>
      <c r="F39" s="1" t="s">
        <v>54</v>
      </c>
      <c r="G39" s="2">
        <v>0</v>
      </c>
      <c r="H39" s="3"/>
      <c r="I39" s="2">
        <v>0</v>
      </c>
      <c r="J39" s="3"/>
      <c r="K39" s="2">
        <v>62.41</v>
      </c>
      <c r="L39" s="3"/>
      <c r="M39" s="2">
        <v>75.569999999999993</v>
      </c>
      <c r="N39" s="3"/>
      <c r="O39" s="2">
        <v>46.67</v>
      </c>
      <c r="P39" s="3"/>
      <c r="Q39" s="2">
        <v>346.69</v>
      </c>
      <c r="R39" s="3"/>
      <c r="S39" s="2">
        <v>322.22000000000003</v>
      </c>
      <c r="T39" s="3"/>
      <c r="U39" s="2">
        <v>389.6</v>
      </c>
      <c r="V39" s="3"/>
      <c r="W39" s="2">
        <v>0</v>
      </c>
      <c r="X39" s="3"/>
      <c r="Y39" s="2">
        <v>112.86</v>
      </c>
      <c r="Z39" s="3"/>
      <c r="AA39" s="2">
        <v>1446.1</v>
      </c>
      <c r="AB39" s="3"/>
      <c r="AC39" s="2">
        <v>1233.76</v>
      </c>
      <c r="AD39" s="3"/>
      <c r="AE39" s="2">
        <v>308.64999999999998</v>
      </c>
      <c r="AF39" s="3"/>
      <c r="AG39" s="2">
        <v>750</v>
      </c>
      <c r="AH39" s="3"/>
      <c r="AI39" s="2">
        <v>750</v>
      </c>
      <c r="AJ39" s="3"/>
      <c r="AK39" s="2">
        <v>750</v>
      </c>
      <c r="AL39" s="3"/>
      <c r="AM39" s="2">
        <f>ROUND(SUM(G39:AK39),5)</f>
        <v>6594.53</v>
      </c>
    </row>
    <row r="40" spans="1:39" x14ac:dyDescent="0.25">
      <c r="A40" s="1"/>
      <c r="B40" s="1"/>
      <c r="C40" s="1"/>
      <c r="D40" s="1"/>
      <c r="E40" s="1"/>
      <c r="F40" s="1" t="s">
        <v>55</v>
      </c>
      <c r="G40" s="2">
        <v>0</v>
      </c>
      <c r="H40" s="3"/>
      <c r="I40" s="2">
        <v>270</v>
      </c>
      <c r="J40" s="3"/>
      <c r="K40" s="2">
        <v>536</v>
      </c>
      <c r="L40" s="3"/>
      <c r="M40" s="2">
        <v>232</v>
      </c>
      <c r="N40" s="3"/>
      <c r="O40" s="2">
        <v>300</v>
      </c>
      <c r="P40" s="3"/>
      <c r="Q40" s="2">
        <v>276</v>
      </c>
      <c r="R40" s="3"/>
      <c r="S40" s="2">
        <v>224</v>
      </c>
      <c r="T40" s="3"/>
      <c r="U40" s="2">
        <v>226</v>
      </c>
      <c r="V40" s="3"/>
      <c r="W40" s="2">
        <v>194</v>
      </c>
      <c r="X40" s="3"/>
      <c r="Y40" s="2">
        <v>204</v>
      </c>
      <c r="Z40" s="3"/>
      <c r="AA40" s="2">
        <v>298</v>
      </c>
      <c r="AB40" s="3"/>
      <c r="AC40" s="2">
        <v>266</v>
      </c>
      <c r="AD40" s="3"/>
      <c r="AE40" s="2">
        <v>248</v>
      </c>
      <c r="AF40" s="3"/>
      <c r="AG40" s="2">
        <v>272</v>
      </c>
      <c r="AH40" s="3"/>
      <c r="AI40" s="2">
        <v>282</v>
      </c>
      <c r="AJ40" s="3"/>
      <c r="AK40" s="2">
        <v>278</v>
      </c>
      <c r="AL40" s="3"/>
      <c r="AM40" s="2">
        <f>ROUND(SUM(G40:AK40),5)</f>
        <v>4106</v>
      </c>
    </row>
    <row r="41" spans="1:39" x14ac:dyDescent="0.25">
      <c r="A41" s="1"/>
      <c r="B41" s="1"/>
      <c r="C41" s="1"/>
      <c r="D41" s="1"/>
      <c r="E41" s="1"/>
      <c r="F41" s="1" t="s">
        <v>56</v>
      </c>
      <c r="G41" s="2">
        <v>0</v>
      </c>
      <c r="H41" s="3"/>
      <c r="I41" s="2">
        <v>0</v>
      </c>
      <c r="J41" s="3"/>
      <c r="K41" s="2">
        <v>0</v>
      </c>
      <c r="L41" s="3"/>
      <c r="M41" s="2">
        <v>0</v>
      </c>
      <c r="N41" s="3"/>
      <c r="O41" s="2">
        <v>0</v>
      </c>
      <c r="P41" s="3"/>
      <c r="Q41" s="2">
        <v>0</v>
      </c>
      <c r="R41" s="3"/>
      <c r="S41" s="2">
        <v>0</v>
      </c>
      <c r="T41" s="3"/>
      <c r="U41" s="2">
        <v>0</v>
      </c>
      <c r="V41" s="3"/>
      <c r="W41" s="2">
        <v>0</v>
      </c>
      <c r="X41" s="3"/>
      <c r="Y41" s="2">
        <v>0</v>
      </c>
      <c r="Z41" s="3"/>
      <c r="AA41" s="2">
        <v>0</v>
      </c>
      <c r="AB41" s="3"/>
      <c r="AC41" s="2">
        <v>0</v>
      </c>
      <c r="AD41" s="3"/>
      <c r="AE41" s="2">
        <v>0</v>
      </c>
      <c r="AF41" s="3"/>
      <c r="AG41" s="2">
        <v>0</v>
      </c>
      <c r="AH41" s="3"/>
      <c r="AI41" s="2">
        <v>0</v>
      </c>
      <c r="AJ41" s="3"/>
      <c r="AK41" s="2">
        <v>0</v>
      </c>
      <c r="AL41" s="3"/>
      <c r="AM41" s="2">
        <f>ROUND(SUM(G41:AK41),5)</f>
        <v>0</v>
      </c>
    </row>
    <row r="42" spans="1:39" x14ac:dyDescent="0.25">
      <c r="A42" s="1"/>
      <c r="B42" s="1"/>
      <c r="C42" s="1"/>
      <c r="D42" s="1"/>
      <c r="E42" s="1"/>
      <c r="F42" s="1" t="s">
        <v>57</v>
      </c>
      <c r="G42" s="2">
        <v>0</v>
      </c>
      <c r="H42" s="3"/>
      <c r="I42" s="2">
        <v>0</v>
      </c>
      <c r="J42" s="3"/>
      <c r="K42" s="2">
        <v>0</v>
      </c>
      <c r="L42" s="3"/>
      <c r="M42" s="2">
        <v>0</v>
      </c>
      <c r="N42" s="3"/>
      <c r="O42" s="2">
        <v>0</v>
      </c>
      <c r="P42" s="3"/>
      <c r="Q42" s="2">
        <v>0</v>
      </c>
      <c r="R42" s="3"/>
      <c r="S42" s="2">
        <v>0</v>
      </c>
      <c r="T42" s="3"/>
      <c r="U42" s="2">
        <v>0</v>
      </c>
      <c r="V42" s="3"/>
      <c r="W42" s="2">
        <v>0</v>
      </c>
      <c r="X42" s="3"/>
      <c r="Y42" s="2">
        <v>900</v>
      </c>
      <c r="Z42" s="3"/>
      <c r="AA42" s="2">
        <v>0</v>
      </c>
      <c r="AB42" s="3"/>
      <c r="AC42" s="2">
        <v>235</v>
      </c>
      <c r="AD42" s="3"/>
      <c r="AE42" s="2">
        <v>0</v>
      </c>
      <c r="AF42" s="3"/>
      <c r="AG42" s="2">
        <v>0</v>
      </c>
      <c r="AH42" s="3"/>
      <c r="AI42" s="2">
        <v>0</v>
      </c>
      <c r="AJ42" s="3"/>
      <c r="AK42" s="2">
        <v>0</v>
      </c>
      <c r="AL42" s="3"/>
      <c r="AM42" s="2">
        <f>ROUND(SUM(G42:AK42),5)</f>
        <v>1135</v>
      </c>
    </row>
    <row r="43" spans="1:39" x14ac:dyDescent="0.25">
      <c r="A43" s="1"/>
      <c r="B43" s="1"/>
      <c r="C43" s="1"/>
      <c r="D43" s="1"/>
      <c r="E43" s="1"/>
      <c r="F43" s="1" t="s">
        <v>58</v>
      </c>
      <c r="G43" s="2">
        <v>0</v>
      </c>
      <c r="H43" s="3"/>
      <c r="I43" s="2">
        <v>0</v>
      </c>
      <c r="J43" s="3"/>
      <c r="K43" s="2">
        <v>0</v>
      </c>
      <c r="L43" s="3"/>
      <c r="M43" s="2">
        <v>90</v>
      </c>
      <c r="N43" s="3"/>
      <c r="O43" s="2">
        <v>30</v>
      </c>
      <c r="P43" s="3"/>
      <c r="Q43" s="2">
        <v>0</v>
      </c>
      <c r="R43" s="3"/>
      <c r="S43" s="2">
        <v>0</v>
      </c>
      <c r="T43" s="3"/>
      <c r="U43" s="2">
        <v>0</v>
      </c>
      <c r="V43" s="3"/>
      <c r="W43" s="2">
        <v>0</v>
      </c>
      <c r="X43" s="3"/>
      <c r="Y43" s="2">
        <v>45</v>
      </c>
      <c r="Z43" s="3"/>
      <c r="AA43" s="2">
        <v>0</v>
      </c>
      <c r="AB43" s="3"/>
      <c r="AC43" s="2">
        <v>0</v>
      </c>
      <c r="AD43" s="3"/>
      <c r="AE43" s="2">
        <v>0</v>
      </c>
      <c r="AF43" s="3"/>
      <c r="AG43" s="2">
        <v>0</v>
      </c>
      <c r="AH43" s="3"/>
      <c r="AI43" s="2">
        <v>0</v>
      </c>
      <c r="AJ43" s="3"/>
      <c r="AK43" s="2">
        <v>0</v>
      </c>
      <c r="AL43" s="3"/>
      <c r="AM43" s="2">
        <f>ROUND(SUM(G43:AK43),5)</f>
        <v>165</v>
      </c>
    </row>
    <row r="44" spans="1:39" x14ac:dyDescent="0.25">
      <c r="A44" s="1"/>
      <c r="B44" s="1"/>
      <c r="C44" s="1"/>
      <c r="D44" s="1"/>
      <c r="E44" s="1"/>
      <c r="F44" s="1" t="s">
        <v>59</v>
      </c>
      <c r="G44" s="2">
        <v>0</v>
      </c>
      <c r="H44" s="3"/>
      <c r="I44" s="2">
        <v>0</v>
      </c>
      <c r="J44" s="3"/>
      <c r="K44" s="2">
        <v>0</v>
      </c>
      <c r="L44" s="3"/>
      <c r="M44" s="2">
        <v>0</v>
      </c>
      <c r="N44" s="3"/>
      <c r="O44" s="2">
        <v>0</v>
      </c>
      <c r="P44" s="3"/>
      <c r="Q44" s="2">
        <v>0</v>
      </c>
      <c r="R44" s="3"/>
      <c r="S44" s="2">
        <v>0</v>
      </c>
      <c r="T44" s="3"/>
      <c r="U44" s="2">
        <v>0</v>
      </c>
      <c r="V44" s="3"/>
      <c r="W44" s="2">
        <v>60</v>
      </c>
      <c r="X44" s="3"/>
      <c r="Y44" s="2">
        <v>0</v>
      </c>
      <c r="Z44" s="3"/>
      <c r="AA44" s="2">
        <v>0</v>
      </c>
      <c r="AB44" s="3"/>
      <c r="AC44" s="2">
        <v>60</v>
      </c>
      <c r="AD44" s="3"/>
      <c r="AE44" s="2">
        <v>150</v>
      </c>
      <c r="AF44" s="3"/>
      <c r="AG44" s="2">
        <v>58</v>
      </c>
      <c r="AH44" s="3"/>
      <c r="AI44" s="2">
        <v>0</v>
      </c>
      <c r="AJ44" s="3"/>
      <c r="AK44" s="2">
        <v>0</v>
      </c>
      <c r="AL44" s="3"/>
      <c r="AM44" s="2">
        <f>ROUND(SUM(G44:AK44),5)</f>
        <v>328</v>
      </c>
    </row>
    <row r="45" spans="1:39" x14ac:dyDescent="0.25">
      <c r="A45" s="1"/>
      <c r="B45" s="1"/>
      <c r="C45" s="1"/>
      <c r="D45" s="1"/>
      <c r="E45" s="1"/>
      <c r="F45" s="1" t="s">
        <v>60</v>
      </c>
      <c r="G45" s="2">
        <v>0</v>
      </c>
      <c r="H45" s="3"/>
      <c r="I45" s="2">
        <v>0</v>
      </c>
      <c r="J45" s="3"/>
      <c r="K45" s="2">
        <v>0</v>
      </c>
      <c r="L45" s="3"/>
      <c r="M45" s="2">
        <v>211.56</v>
      </c>
      <c r="N45" s="3"/>
      <c r="O45" s="2">
        <v>55.85</v>
      </c>
      <c r="P45" s="3"/>
      <c r="Q45" s="2">
        <v>0</v>
      </c>
      <c r="R45" s="3"/>
      <c r="S45" s="2">
        <v>0</v>
      </c>
      <c r="T45" s="3"/>
      <c r="U45" s="2">
        <v>0</v>
      </c>
      <c r="V45" s="3"/>
      <c r="W45" s="2">
        <v>0</v>
      </c>
      <c r="X45" s="3"/>
      <c r="Y45" s="2">
        <v>211.56</v>
      </c>
      <c r="Z45" s="3"/>
      <c r="AA45" s="2">
        <v>0</v>
      </c>
      <c r="AB45" s="3"/>
      <c r="AC45" s="2">
        <v>0</v>
      </c>
      <c r="AD45" s="3"/>
      <c r="AE45" s="2">
        <v>969.89</v>
      </c>
      <c r="AF45" s="3"/>
      <c r="AG45" s="2">
        <v>50.82</v>
      </c>
      <c r="AH45" s="3"/>
      <c r="AI45" s="2">
        <v>0</v>
      </c>
      <c r="AJ45" s="3"/>
      <c r="AK45" s="2">
        <v>214.54</v>
      </c>
      <c r="AL45" s="3"/>
      <c r="AM45" s="2">
        <f>ROUND(SUM(G45:AK45),5)</f>
        <v>1714.22</v>
      </c>
    </row>
    <row r="46" spans="1:39" x14ac:dyDescent="0.25">
      <c r="A46" s="1"/>
      <c r="B46" s="1"/>
      <c r="C46" s="1"/>
      <c r="D46" s="1"/>
      <c r="E46" s="1"/>
      <c r="F46" s="1" t="s">
        <v>61</v>
      </c>
      <c r="G46" s="2">
        <v>0</v>
      </c>
      <c r="H46" s="3"/>
      <c r="I46" s="2">
        <v>0</v>
      </c>
      <c r="J46" s="3"/>
      <c r="K46" s="2">
        <v>0</v>
      </c>
      <c r="L46" s="3"/>
      <c r="M46" s="2">
        <v>0</v>
      </c>
      <c r="N46" s="3"/>
      <c r="O46" s="2">
        <v>296.14999999999998</v>
      </c>
      <c r="P46" s="3"/>
      <c r="Q46" s="2">
        <v>0</v>
      </c>
      <c r="R46" s="3"/>
      <c r="S46" s="2">
        <v>0</v>
      </c>
      <c r="T46" s="3"/>
      <c r="U46" s="2">
        <v>0</v>
      </c>
      <c r="V46" s="3"/>
      <c r="W46" s="2">
        <v>0</v>
      </c>
      <c r="X46" s="3"/>
      <c r="Y46" s="2">
        <v>0</v>
      </c>
      <c r="Z46" s="3"/>
      <c r="AA46" s="2">
        <v>0</v>
      </c>
      <c r="AB46" s="3"/>
      <c r="AC46" s="2">
        <v>0</v>
      </c>
      <c r="AD46" s="3"/>
      <c r="AE46" s="2">
        <v>0</v>
      </c>
      <c r="AF46" s="3"/>
      <c r="AG46" s="2">
        <v>0</v>
      </c>
      <c r="AH46" s="3"/>
      <c r="AI46" s="2">
        <v>0</v>
      </c>
      <c r="AJ46" s="3"/>
      <c r="AK46" s="2">
        <v>0</v>
      </c>
      <c r="AL46" s="3"/>
      <c r="AM46" s="2">
        <f>ROUND(SUM(G46:AK46),5)</f>
        <v>296.14999999999998</v>
      </c>
    </row>
    <row r="47" spans="1:39" x14ac:dyDescent="0.25">
      <c r="A47" s="1"/>
      <c r="B47" s="1"/>
      <c r="C47" s="1"/>
      <c r="D47" s="1"/>
      <c r="E47" s="1"/>
      <c r="F47" s="1" t="s">
        <v>62</v>
      </c>
      <c r="G47" s="2">
        <v>0</v>
      </c>
      <c r="H47" s="3"/>
      <c r="I47" s="2">
        <v>0</v>
      </c>
      <c r="J47" s="3"/>
      <c r="K47" s="2">
        <v>711.16</v>
      </c>
      <c r="L47" s="3"/>
      <c r="M47" s="2">
        <v>335.11</v>
      </c>
      <c r="N47" s="3"/>
      <c r="O47" s="2">
        <v>1312.44</v>
      </c>
      <c r="P47" s="3"/>
      <c r="Q47" s="2">
        <v>1999.47</v>
      </c>
      <c r="R47" s="3"/>
      <c r="S47" s="2">
        <v>1196.73</v>
      </c>
      <c r="T47" s="3"/>
      <c r="U47" s="2">
        <v>1009.47</v>
      </c>
      <c r="V47" s="3"/>
      <c r="W47" s="2">
        <v>974.18</v>
      </c>
      <c r="X47" s="3"/>
      <c r="Y47" s="2">
        <v>767.39</v>
      </c>
      <c r="Z47" s="3"/>
      <c r="AA47" s="2">
        <v>679.1</v>
      </c>
      <c r="AB47" s="3"/>
      <c r="AC47" s="2">
        <v>735.95</v>
      </c>
      <c r="AD47" s="3"/>
      <c r="AE47" s="2">
        <v>1547.8</v>
      </c>
      <c r="AF47" s="3"/>
      <c r="AG47" s="2">
        <v>2160.25</v>
      </c>
      <c r="AH47" s="3"/>
      <c r="AI47" s="2">
        <v>3844.71</v>
      </c>
      <c r="AJ47" s="3"/>
      <c r="AK47" s="2">
        <v>4053.55</v>
      </c>
      <c r="AL47" s="3"/>
      <c r="AM47" s="2">
        <f>ROUND(SUM(G47:AK47),5)</f>
        <v>21327.31</v>
      </c>
    </row>
    <row r="48" spans="1:39" x14ac:dyDescent="0.25">
      <c r="A48" s="1"/>
      <c r="B48" s="1"/>
      <c r="C48" s="1"/>
      <c r="D48" s="1"/>
      <c r="E48" s="1"/>
      <c r="F48" s="1" t="s">
        <v>63</v>
      </c>
      <c r="G48" s="2">
        <v>0</v>
      </c>
      <c r="H48" s="3"/>
      <c r="I48" s="2">
        <v>0</v>
      </c>
      <c r="J48" s="3"/>
      <c r="K48" s="2">
        <v>1300</v>
      </c>
      <c r="L48" s="3"/>
      <c r="M48" s="2">
        <v>0</v>
      </c>
      <c r="N48" s="3"/>
      <c r="O48" s="2">
        <v>1340.47</v>
      </c>
      <c r="P48" s="3"/>
      <c r="Q48" s="2">
        <v>2275</v>
      </c>
      <c r="R48" s="3"/>
      <c r="S48" s="2">
        <v>650</v>
      </c>
      <c r="T48" s="3"/>
      <c r="U48" s="2">
        <v>0</v>
      </c>
      <c r="V48" s="3"/>
      <c r="W48" s="2">
        <v>0</v>
      </c>
      <c r="X48" s="3"/>
      <c r="Y48" s="2">
        <v>1170</v>
      </c>
      <c r="Z48" s="3"/>
      <c r="AA48" s="2">
        <v>1592.5</v>
      </c>
      <c r="AB48" s="3"/>
      <c r="AC48" s="2">
        <v>1397.5</v>
      </c>
      <c r="AD48" s="3"/>
      <c r="AE48" s="2">
        <v>1072.5</v>
      </c>
      <c r="AF48" s="3"/>
      <c r="AG48" s="2">
        <v>1365</v>
      </c>
      <c r="AH48" s="3"/>
      <c r="AI48" s="2">
        <v>942.5</v>
      </c>
      <c r="AJ48" s="3"/>
      <c r="AK48" s="2">
        <v>1007.5</v>
      </c>
      <c r="AL48" s="3"/>
      <c r="AM48" s="2">
        <f>ROUND(SUM(G48:AK48),5)</f>
        <v>14112.97</v>
      </c>
    </row>
    <row r="49" spans="1:39" x14ac:dyDescent="0.25">
      <c r="A49" s="1"/>
      <c r="B49" s="1"/>
      <c r="C49" s="1"/>
      <c r="D49" s="1"/>
      <c r="E49" s="1"/>
      <c r="F49" s="1" t="s">
        <v>64</v>
      </c>
      <c r="G49" s="2">
        <v>0</v>
      </c>
      <c r="H49" s="3"/>
      <c r="I49" s="2">
        <v>520</v>
      </c>
      <c r="J49" s="3"/>
      <c r="K49" s="2">
        <v>1300</v>
      </c>
      <c r="L49" s="3"/>
      <c r="M49" s="2">
        <v>1820</v>
      </c>
      <c r="N49" s="3"/>
      <c r="O49" s="2">
        <v>1873.38</v>
      </c>
      <c r="P49" s="3"/>
      <c r="Q49" s="2">
        <v>2275</v>
      </c>
      <c r="R49" s="3"/>
      <c r="S49" s="2">
        <v>650</v>
      </c>
      <c r="T49" s="3"/>
      <c r="U49" s="2">
        <v>0</v>
      </c>
      <c r="V49" s="3"/>
      <c r="W49" s="2">
        <v>0</v>
      </c>
      <c r="X49" s="3"/>
      <c r="Y49" s="2">
        <v>1170</v>
      </c>
      <c r="Z49" s="3"/>
      <c r="AA49" s="2">
        <v>1592.5</v>
      </c>
      <c r="AB49" s="3"/>
      <c r="AC49" s="2">
        <v>1397.5</v>
      </c>
      <c r="AD49" s="3"/>
      <c r="AE49" s="2">
        <v>1072.5</v>
      </c>
      <c r="AF49" s="3"/>
      <c r="AG49" s="2">
        <v>1365</v>
      </c>
      <c r="AH49" s="3"/>
      <c r="AI49" s="2">
        <v>942.5</v>
      </c>
      <c r="AJ49" s="3"/>
      <c r="AK49" s="2">
        <v>1007.5</v>
      </c>
      <c r="AL49" s="3"/>
      <c r="AM49" s="2">
        <f>ROUND(SUM(G49:AK49),5)</f>
        <v>16985.88</v>
      </c>
    </row>
    <row r="50" spans="1:39" x14ac:dyDescent="0.25">
      <c r="A50" s="1"/>
      <c r="B50" s="1"/>
      <c r="C50" s="1"/>
      <c r="D50" s="1"/>
      <c r="E50" s="1"/>
      <c r="F50" s="1" t="s">
        <v>65</v>
      </c>
      <c r="G50" s="2">
        <v>0</v>
      </c>
      <c r="H50" s="3"/>
      <c r="I50" s="2">
        <v>977.09</v>
      </c>
      <c r="J50" s="3"/>
      <c r="K50" s="2">
        <v>5947.58</v>
      </c>
      <c r="L50" s="3"/>
      <c r="M50" s="2">
        <v>3199.49</v>
      </c>
      <c r="N50" s="3"/>
      <c r="O50" s="2">
        <v>2341.38</v>
      </c>
      <c r="P50" s="3"/>
      <c r="Q50" s="2">
        <v>1231.73</v>
      </c>
      <c r="R50" s="3"/>
      <c r="S50" s="2">
        <v>1483.92</v>
      </c>
      <c r="T50" s="3"/>
      <c r="U50" s="2">
        <v>967.7</v>
      </c>
      <c r="V50" s="3"/>
      <c r="W50" s="2">
        <v>841.47</v>
      </c>
      <c r="X50" s="3"/>
      <c r="Y50" s="2">
        <v>1763.55</v>
      </c>
      <c r="Z50" s="3"/>
      <c r="AA50" s="2">
        <v>2319.1799999999998</v>
      </c>
      <c r="AB50" s="3"/>
      <c r="AC50" s="2">
        <v>3570.83</v>
      </c>
      <c r="AD50" s="3"/>
      <c r="AE50" s="2">
        <v>2348.0300000000002</v>
      </c>
      <c r="AF50" s="3"/>
      <c r="AG50" s="2">
        <v>5221.4799999999996</v>
      </c>
      <c r="AH50" s="3"/>
      <c r="AI50" s="2">
        <v>7431.48</v>
      </c>
      <c r="AJ50" s="3"/>
      <c r="AK50" s="2">
        <v>3491.12</v>
      </c>
      <c r="AL50" s="3"/>
      <c r="AM50" s="2">
        <f>ROUND(SUM(G50:AK50),5)</f>
        <v>43136.03</v>
      </c>
    </row>
    <row r="51" spans="1:39" x14ac:dyDescent="0.25">
      <c r="A51" s="1"/>
      <c r="B51" s="1"/>
      <c r="C51" s="1"/>
      <c r="D51" s="1"/>
      <c r="E51" s="1"/>
      <c r="F51" s="1" t="s">
        <v>66</v>
      </c>
      <c r="G51" s="2">
        <v>0</v>
      </c>
      <c r="H51" s="3"/>
      <c r="I51" s="2">
        <v>0</v>
      </c>
      <c r="J51" s="3"/>
      <c r="K51" s="2">
        <v>0</v>
      </c>
      <c r="L51" s="3"/>
      <c r="M51" s="2">
        <v>0</v>
      </c>
      <c r="N51" s="3"/>
      <c r="O51" s="2">
        <v>0</v>
      </c>
      <c r="P51" s="3"/>
      <c r="Q51" s="2">
        <v>0</v>
      </c>
      <c r="R51" s="3"/>
      <c r="S51" s="2">
        <v>0</v>
      </c>
      <c r="T51" s="3"/>
      <c r="U51" s="2">
        <v>0</v>
      </c>
      <c r="V51" s="3"/>
      <c r="W51" s="2">
        <v>0</v>
      </c>
      <c r="X51" s="3"/>
      <c r="Y51" s="2">
        <v>0</v>
      </c>
      <c r="Z51" s="3"/>
      <c r="AA51" s="2">
        <v>0</v>
      </c>
      <c r="AB51" s="3"/>
      <c r="AC51" s="2">
        <v>685</v>
      </c>
      <c r="AD51" s="3"/>
      <c r="AE51" s="2">
        <v>0</v>
      </c>
      <c r="AF51" s="3"/>
      <c r="AG51" s="2">
        <v>175</v>
      </c>
      <c r="AH51" s="3"/>
      <c r="AI51" s="2">
        <v>0</v>
      </c>
      <c r="AJ51" s="3"/>
      <c r="AK51" s="2">
        <v>50</v>
      </c>
      <c r="AL51" s="3"/>
      <c r="AM51" s="2">
        <f>ROUND(SUM(G51:AK51),5)</f>
        <v>910</v>
      </c>
    </row>
    <row r="52" spans="1:39" x14ac:dyDescent="0.25">
      <c r="A52" s="1"/>
      <c r="B52" s="1"/>
      <c r="C52" s="1"/>
      <c r="D52" s="1"/>
      <c r="E52" s="1"/>
      <c r="F52" s="1" t="s">
        <v>67</v>
      </c>
      <c r="G52" s="2">
        <v>0</v>
      </c>
      <c r="H52" s="3"/>
      <c r="I52" s="2">
        <v>0</v>
      </c>
      <c r="J52" s="3"/>
      <c r="K52" s="2">
        <v>308</v>
      </c>
      <c r="L52" s="3"/>
      <c r="M52" s="2">
        <v>308</v>
      </c>
      <c r="N52" s="3"/>
      <c r="O52" s="2">
        <v>308</v>
      </c>
      <c r="P52" s="3"/>
      <c r="Q52" s="2">
        <v>992</v>
      </c>
      <c r="R52" s="3"/>
      <c r="S52" s="2">
        <v>2818.95</v>
      </c>
      <c r="T52" s="3"/>
      <c r="U52" s="2">
        <v>4403.26</v>
      </c>
      <c r="V52" s="3"/>
      <c r="W52" s="2">
        <v>4607.22</v>
      </c>
      <c r="X52" s="3"/>
      <c r="Y52" s="2">
        <v>4908.0200000000004</v>
      </c>
      <c r="Z52" s="3"/>
      <c r="AA52" s="2">
        <v>4033.45</v>
      </c>
      <c r="AB52" s="3"/>
      <c r="AC52" s="2">
        <v>4796.2700000000004</v>
      </c>
      <c r="AD52" s="3"/>
      <c r="AE52" s="2">
        <v>4604.8500000000004</v>
      </c>
      <c r="AF52" s="3"/>
      <c r="AG52" s="2">
        <v>4265.5600000000004</v>
      </c>
      <c r="AH52" s="3"/>
      <c r="AI52" s="2">
        <v>4272.66</v>
      </c>
      <c r="AJ52" s="3"/>
      <c r="AK52" s="2">
        <v>3814.39</v>
      </c>
      <c r="AL52" s="3"/>
      <c r="AM52" s="2">
        <f>ROUND(SUM(G52:AK52),5)</f>
        <v>44440.63</v>
      </c>
    </row>
    <row r="53" spans="1:39" ht="15.75" thickBot="1" x14ac:dyDescent="0.3">
      <c r="A53" s="1"/>
      <c r="B53" s="1"/>
      <c r="C53" s="1"/>
      <c r="D53" s="1"/>
      <c r="E53" s="1"/>
      <c r="F53" s="1" t="s">
        <v>68</v>
      </c>
      <c r="G53" s="6">
        <v>0</v>
      </c>
      <c r="H53" s="3"/>
      <c r="I53" s="6">
        <v>490</v>
      </c>
      <c r="J53" s="3"/>
      <c r="K53" s="6">
        <v>950</v>
      </c>
      <c r="L53" s="3"/>
      <c r="M53" s="6">
        <v>400</v>
      </c>
      <c r="N53" s="3"/>
      <c r="O53" s="6">
        <v>400</v>
      </c>
      <c r="P53" s="3"/>
      <c r="Q53" s="6">
        <v>400</v>
      </c>
      <c r="R53" s="3"/>
      <c r="S53" s="6">
        <v>400</v>
      </c>
      <c r="T53" s="3"/>
      <c r="U53" s="6">
        <v>400</v>
      </c>
      <c r="V53" s="3"/>
      <c r="W53" s="6">
        <v>545</v>
      </c>
      <c r="X53" s="3"/>
      <c r="Y53" s="6">
        <v>400</v>
      </c>
      <c r="Z53" s="3"/>
      <c r="AA53" s="6">
        <v>400</v>
      </c>
      <c r="AB53" s="3"/>
      <c r="AC53" s="6">
        <v>400</v>
      </c>
      <c r="AD53" s="3"/>
      <c r="AE53" s="6">
        <v>490</v>
      </c>
      <c r="AF53" s="3"/>
      <c r="AG53" s="6">
        <v>520</v>
      </c>
      <c r="AH53" s="3"/>
      <c r="AI53" s="6">
        <v>655</v>
      </c>
      <c r="AJ53" s="3"/>
      <c r="AK53" s="6">
        <v>610</v>
      </c>
      <c r="AL53" s="3"/>
      <c r="AM53" s="6">
        <f>ROUND(SUM(G53:AK53),5)</f>
        <v>7460</v>
      </c>
    </row>
    <row r="54" spans="1:39" x14ac:dyDescent="0.25">
      <c r="A54" s="1"/>
      <c r="B54" s="1"/>
      <c r="C54" s="1"/>
      <c r="D54" s="1"/>
      <c r="E54" s="1" t="s">
        <v>69</v>
      </c>
      <c r="F54" s="1"/>
      <c r="G54" s="2">
        <f>ROUND(SUM(G29:G53),5)</f>
        <v>64210.65</v>
      </c>
      <c r="H54" s="3"/>
      <c r="I54" s="2">
        <f>ROUND(SUM(I29:I53),5)</f>
        <v>78699.89</v>
      </c>
      <c r="J54" s="3"/>
      <c r="K54" s="2">
        <f>ROUND(SUM(K29:K53),5)</f>
        <v>93376.57</v>
      </c>
      <c r="L54" s="3"/>
      <c r="M54" s="2">
        <f>ROUND(SUM(M29:M53),5)</f>
        <v>82199.259999999995</v>
      </c>
      <c r="N54" s="3"/>
      <c r="O54" s="2">
        <f>ROUND(SUM(O29:O53),5)</f>
        <v>93628.72</v>
      </c>
      <c r="P54" s="3"/>
      <c r="Q54" s="2">
        <f>ROUND(SUM(Q29:Q53),5)</f>
        <v>96838.65</v>
      </c>
      <c r="R54" s="3"/>
      <c r="S54" s="2">
        <f>ROUND(SUM(S29:S53),5)</f>
        <v>92631.31</v>
      </c>
      <c r="T54" s="3"/>
      <c r="U54" s="2">
        <f>ROUND(SUM(U29:U53),5)</f>
        <v>87308.85</v>
      </c>
      <c r="V54" s="3"/>
      <c r="W54" s="2">
        <f>ROUND(SUM(W29:W53),5)</f>
        <v>95518.59</v>
      </c>
      <c r="X54" s="3"/>
      <c r="Y54" s="2">
        <f>ROUND(SUM(Y29:Y53),5)</f>
        <v>93441.18</v>
      </c>
      <c r="Z54" s="3"/>
      <c r="AA54" s="2">
        <f>ROUND(SUM(AA29:AA53),5)</f>
        <v>105289.78</v>
      </c>
      <c r="AB54" s="3"/>
      <c r="AC54" s="2">
        <f>ROUND(SUM(AC29:AC53),5)</f>
        <v>104052.87</v>
      </c>
      <c r="AD54" s="3"/>
      <c r="AE54" s="2">
        <f>ROUND(SUM(AE29:AE53),5)</f>
        <v>99046.93</v>
      </c>
      <c r="AF54" s="3"/>
      <c r="AG54" s="2">
        <f>ROUND(SUM(AG29:AG53),5)</f>
        <v>98507.33</v>
      </c>
      <c r="AH54" s="3"/>
      <c r="AI54" s="2">
        <f>ROUND(SUM(AI29:AI53),5)</f>
        <v>111151.98</v>
      </c>
      <c r="AJ54" s="3"/>
      <c r="AK54" s="2">
        <f>ROUND(SUM(AK29:AK53),5)</f>
        <v>99438.86</v>
      </c>
      <c r="AL54" s="3"/>
      <c r="AM54" s="2">
        <f>ROUND(SUM(G54:AK54),5)</f>
        <v>1495341.42</v>
      </c>
    </row>
    <row r="55" spans="1:39" x14ac:dyDescent="0.25">
      <c r="A55" s="1"/>
      <c r="B55" s="1"/>
      <c r="C55" s="1"/>
      <c r="D55" s="1"/>
      <c r="E55" s="1" t="s">
        <v>70</v>
      </c>
      <c r="F55" s="1"/>
      <c r="G55" s="2"/>
      <c r="H55" s="3"/>
      <c r="I55" s="2"/>
      <c r="J55" s="3"/>
      <c r="K55" s="2"/>
      <c r="L55" s="3"/>
      <c r="M55" s="2"/>
      <c r="N55" s="3"/>
      <c r="O55" s="2"/>
      <c r="P55" s="3"/>
      <c r="Q55" s="2"/>
      <c r="R55" s="3"/>
      <c r="S55" s="2"/>
      <c r="T55" s="3"/>
      <c r="U55" s="2"/>
      <c r="V55" s="3"/>
      <c r="W55" s="2"/>
      <c r="X55" s="3"/>
      <c r="Y55" s="2"/>
      <c r="Z55" s="3"/>
      <c r="AA55" s="2"/>
      <c r="AB55" s="3"/>
      <c r="AC55" s="2"/>
      <c r="AD55" s="3"/>
      <c r="AE55" s="2"/>
      <c r="AF55" s="3"/>
      <c r="AG55" s="2"/>
      <c r="AH55" s="3"/>
      <c r="AI55" s="2"/>
      <c r="AJ55" s="3"/>
      <c r="AK55" s="2"/>
      <c r="AL55" s="3"/>
      <c r="AM55" s="2"/>
    </row>
    <row r="56" spans="1:39" x14ac:dyDescent="0.25">
      <c r="A56" s="1"/>
      <c r="B56" s="1"/>
      <c r="C56" s="1"/>
      <c r="D56" s="1"/>
      <c r="E56" s="1"/>
      <c r="F56" s="1" t="s">
        <v>71</v>
      </c>
      <c r="G56" s="2">
        <v>630.16999999999996</v>
      </c>
      <c r="H56" s="3"/>
      <c r="I56" s="2">
        <v>636.41999999999996</v>
      </c>
      <c r="J56" s="3"/>
      <c r="K56" s="2">
        <v>664.36</v>
      </c>
      <c r="L56" s="3"/>
      <c r="M56" s="2">
        <v>464.28</v>
      </c>
      <c r="N56" s="3"/>
      <c r="O56" s="2">
        <v>297.93</v>
      </c>
      <c r="P56" s="3"/>
      <c r="Q56" s="2">
        <v>155.16</v>
      </c>
      <c r="R56" s="3"/>
      <c r="S56" s="2">
        <v>156.58000000000001</v>
      </c>
      <c r="T56" s="3"/>
      <c r="U56" s="2">
        <v>168.45</v>
      </c>
      <c r="V56" s="3"/>
      <c r="W56" s="2">
        <v>74.88</v>
      </c>
      <c r="X56" s="3"/>
      <c r="Y56" s="2">
        <v>134.93</v>
      </c>
      <c r="Z56" s="3"/>
      <c r="AA56" s="2">
        <v>124.03</v>
      </c>
      <c r="AB56" s="3"/>
      <c r="AC56" s="2">
        <v>81.62</v>
      </c>
      <c r="AD56" s="3"/>
      <c r="AE56" s="2">
        <v>62.79</v>
      </c>
      <c r="AF56" s="3"/>
      <c r="AG56" s="2">
        <v>356.69</v>
      </c>
      <c r="AH56" s="3"/>
      <c r="AI56" s="2">
        <v>758.89</v>
      </c>
      <c r="AJ56" s="3"/>
      <c r="AK56" s="2">
        <v>441.88</v>
      </c>
      <c r="AL56" s="3"/>
      <c r="AM56" s="2">
        <f>ROUND(SUM(G56:AK56),5)</f>
        <v>5209.0600000000004</v>
      </c>
    </row>
    <row r="57" spans="1:39" x14ac:dyDescent="0.25">
      <c r="A57" s="1"/>
      <c r="B57" s="1"/>
      <c r="C57" s="1"/>
      <c r="D57" s="1"/>
      <c r="E57" s="1"/>
      <c r="F57" s="1" t="s">
        <v>72</v>
      </c>
      <c r="G57" s="2">
        <v>4330.6400000000003</v>
      </c>
      <c r="H57" s="3"/>
      <c r="I57" s="2">
        <v>4750.1400000000003</v>
      </c>
      <c r="J57" s="3"/>
      <c r="K57" s="2">
        <v>4746.6499999999996</v>
      </c>
      <c r="L57" s="3"/>
      <c r="M57" s="2">
        <v>3751.47</v>
      </c>
      <c r="N57" s="3"/>
      <c r="O57" s="2">
        <v>3633.44</v>
      </c>
      <c r="P57" s="3"/>
      <c r="Q57" s="2">
        <v>2829.18</v>
      </c>
      <c r="R57" s="3"/>
      <c r="S57" s="2">
        <v>2283.13</v>
      </c>
      <c r="T57" s="3"/>
      <c r="U57" s="2">
        <v>1866.12</v>
      </c>
      <c r="V57" s="3"/>
      <c r="W57" s="2">
        <v>1730.38</v>
      </c>
      <c r="X57" s="3"/>
      <c r="Y57" s="2">
        <v>1601.97</v>
      </c>
      <c r="Z57" s="3"/>
      <c r="AA57" s="2">
        <v>1880.54</v>
      </c>
      <c r="AB57" s="3"/>
      <c r="AC57" s="2">
        <v>1585.5</v>
      </c>
      <c r="AD57" s="3"/>
      <c r="AE57" s="2">
        <v>869.65</v>
      </c>
      <c r="AF57" s="3"/>
      <c r="AG57" s="2">
        <v>2260.2399999999998</v>
      </c>
      <c r="AH57" s="3"/>
      <c r="AI57" s="2">
        <v>4978.87</v>
      </c>
      <c r="AJ57" s="3"/>
      <c r="AK57" s="2">
        <v>3899.75</v>
      </c>
      <c r="AL57" s="3"/>
      <c r="AM57" s="2">
        <f>ROUND(SUM(G57:AK57),5)</f>
        <v>46997.67</v>
      </c>
    </row>
    <row r="58" spans="1:39" x14ac:dyDescent="0.25">
      <c r="A58" s="1"/>
      <c r="B58" s="1"/>
      <c r="C58" s="1"/>
      <c r="D58" s="1"/>
      <c r="E58" s="1"/>
      <c r="F58" s="1" t="s">
        <v>73</v>
      </c>
      <c r="G58" s="2">
        <v>8387.33</v>
      </c>
      <c r="H58" s="3"/>
      <c r="I58" s="2">
        <v>9468.17</v>
      </c>
      <c r="J58" s="3"/>
      <c r="K58" s="2">
        <v>9948.49</v>
      </c>
      <c r="L58" s="3"/>
      <c r="M58" s="2">
        <v>8976.02</v>
      </c>
      <c r="N58" s="3"/>
      <c r="O58" s="2">
        <v>10218.19</v>
      </c>
      <c r="P58" s="3"/>
      <c r="Q58" s="2">
        <v>9918.99</v>
      </c>
      <c r="R58" s="3"/>
      <c r="S58" s="2">
        <v>10317.620000000001</v>
      </c>
      <c r="T58" s="3"/>
      <c r="U58" s="2">
        <v>10382.74</v>
      </c>
      <c r="V58" s="3"/>
      <c r="W58" s="2">
        <v>10773.69</v>
      </c>
      <c r="X58" s="3"/>
      <c r="Y58" s="2">
        <v>9772.6</v>
      </c>
      <c r="Z58" s="3"/>
      <c r="AA58" s="2">
        <v>10832.58</v>
      </c>
      <c r="AB58" s="3"/>
      <c r="AC58" s="2">
        <v>11022.07</v>
      </c>
      <c r="AD58" s="3"/>
      <c r="AE58" s="2">
        <v>10652.36</v>
      </c>
      <c r="AF58" s="3"/>
      <c r="AG58" s="2">
        <v>11088.53</v>
      </c>
      <c r="AH58" s="3"/>
      <c r="AI58" s="2">
        <v>11369.7</v>
      </c>
      <c r="AJ58" s="3"/>
      <c r="AK58" s="2">
        <v>10221.719999999999</v>
      </c>
      <c r="AL58" s="3"/>
      <c r="AM58" s="2">
        <f>ROUND(SUM(G58:AK58),5)</f>
        <v>163350.79999999999</v>
      </c>
    </row>
    <row r="59" spans="1:39" x14ac:dyDescent="0.25">
      <c r="A59" s="1"/>
      <c r="B59" s="1"/>
      <c r="C59" s="1"/>
      <c r="D59" s="1"/>
      <c r="E59" s="1"/>
      <c r="F59" s="1" t="s">
        <v>74</v>
      </c>
      <c r="G59" s="2">
        <v>-488</v>
      </c>
      <c r="H59" s="3"/>
      <c r="I59" s="2">
        <v>-1402.22</v>
      </c>
      <c r="J59" s="3"/>
      <c r="K59" s="2">
        <v>5391.05</v>
      </c>
      <c r="L59" s="3"/>
      <c r="M59" s="2">
        <v>4856.12</v>
      </c>
      <c r="N59" s="3"/>
      <c r="O59" s="2">
        <v>3578.77</v>
      </c>
      <c r="P59" s="3"/>
      <c r="Q59" s="2">
        <v>3474.55</v>
      </c>
      <c r="R59" s="3"/>
      <c r="S59" s="2">
        <v>5408.13</v>
      </c>
      <c r="T59" s="3"/>
      <c r="U59" s="2">
        <v>2888.81</v>
      </c>
      <c r="V59" s="3"/>
      <c r="W59" s="2">
        <v>1499.03</v>
      </c>
      <c r="X59" s="3"/>
      <c r="Y59" s="2">
        <v>2081.84</v>
      </c>
      <c r="Z59" s="3"/>
      <c r="AA59" s="2">
        <v>5614.58</v>
      </c>
      <c r="AB59" s="3"/>
      <c r="AC59" s="2">
        <v>3371.15</v>
      </c>
      <c r="AD59" s="3"/>
      <c r="AE59" s="2">
        <v>-567</v>
      </c>
      <c r="AF59" s="3"/>
      <c r="AG59" s="2">
        <v>-284.52999999999997</v>
      </c>
      <c r="AH59" s="3"/>
      <c r="AI59" s="2">
        <v>1764.24</v>
      </c>
      <c r="AJ59" s="3"/>
      <c r="AK59" s="2">
        <v>1764.24</v>
      </c>
      <c r="AL59" s="3"/>
      <c r="AM59" s="2">
        <f>ROUND(SUM(G59:AK59),5)</f>
        <v>38950.76</v>
      </c>
    </row>
    <row r="60" spans="1:39" x14ac:dyDescent="0.25">
      <c r="A60" s="1"/>
      <c r="B60" s="1"/>
      <c r="C60" s="1"/>
      <c r="D60" s="1"/>
      <c r="E60" s="1"/>
      <c r="F60" s="1" t="s">
        <v>75</v>
      </c>
      <c r="G60" s="2">
        <v>0</v>
      </c>
      <c r="H60" s="3"/>
      <c r="I60" s="2">
        <v>396.44</v>
      </c>
      <c r="J60" s="3"/>
      <c r="K60" s="2">
        <v>0</v>
      </c>
      <c r="L60" s="3"/>
      <c r="M60" s="2">
        <v>0</v>
      </c>
      <c r="N60" s="3"/>
      <c r="O60" s="2">
        <v>0</v>
      </c>
      <c r="P60" s="3"/>
      <c r="Q60" s="2">
        <v>0</v>
      </c>
      <c r="R60" s="3"/>
      <c r="S60" s="2">
        <v>112.63</v>
      </c>
      <c r="T60" s="3"/>
      <c r="U60" s="2">
        <v>0</v>
      </c>
      <c r="V60" s="3"/>
      <c r="W60" s="2">
        <v>467.76</v>
      </c>
      <c r="X60" s="3"/>
      <c r="Y60" s="2">
        <v>0</v>
      </c>
      <c r="Z60" s="3"/>
      <c r="AA60" s="2">
        <v>118.14</v>
      </c>
      <c r="AB60" s="3"/>
      <c r="AC60" s="2">
        <v>118.14</v>
      </c>
      <c r="AD60" s="3"/>
      <c r="AE60" s="2">
        <v>0</v>
      </c>
      <c r="AF60" s="3"/>
      <c r="AG60" s="2">
        <v>0</v>
      </c>
      <c r="AH60" s="3"/>
      <c r="AI60" s="2">
        <v>0</v>
      </c>
      <c r="AJ60" s="3"/>
      <c r="AK60" s="2">
        <v>254.72</v>
      </c>
      <c r="AL60" s="3"/>
      <c r="AM60" s="2">
        <f>ROUND(SUM(G60:AK60),5)</f>
        <v>1467.83</v>
      </c>
    </row>
    <row r="61" spans="1:39" x14ac:dyDescent="0.25">
      <c r="A61" s="1"/>
      <c r="B61" s="1"/>
      <c r="C61" s="1"/>
      <c r="D61" s="1"/>
      <c r="E61" s="1"/>
      <c r="F61" s="1" t="s">
        <v>76</v>
      </c>
      <c r="G61" s="2">
        <v>0</v>
      </c>
      <c r="H61" s="3"/>
      <c r="I61" s="2">
        <v>0</v>
      </c>
      <c r="J61" s="3"/>
      <c r="K61" s="2">
        <v>0</v>
      </c>
      <c r="L61" s="3"/>
      <c r="M61" s="2">
        <v>1149.8599999999999</v>
      </c>
      <c r="N61" s="3"/>
      <c r="O61" s="2">
        <v>1149.8599999999999</v>
      </c>
      <c r="P61" s="3"/>
      <c r="Q61" s="2">
        <v>1149.8599999999999</v>
      </c>
      <c r="R61" s="3"/>
      <c r="S61" s="2">
        <v>1149.8499999999999</v>
      </c>
      <c r="T61" s="3"/>
      <c r="U61" s="2">
        <v>1149.8499999999999</v>
      </c>
      <c r="V61" s="3"/>
      <c r="W61" s="2">
        <v>1149.8499999999999</v>
      </c>
      <c r="X61" s="3"/>
      <c r="Y61" s="2">
        <v>1149.8399999999999</v>
      </c>
      <c r="Z61" s="3"/>
      <c r="AA61" s="2">
        <v>1149.8399999999999</v>
      </c>
      <c r="AB61" s="3"/>
      <c r="AC61" s="2">
        <v>1149.8399999999999</v>
      </c>
      <c r="AD61" s="3"/>
      <c r="AE61" s="2">
        <v>1149.8399999999999</v>
      </c>
      <c r="AF61" s="3"/>
      <c r="AG61" s="2">
        <v>0</v>
      </c>
      <c r="AH61" s="3"/>
      <c r="AI61" s="2">
        <v>0</v>
      </c>
      <c r="AJ61" s="3"/>
      <c r="AK61" s="2">
        <v>0</v>
      </c>
      <c r="AL61" s="3"/>
      <c r="AM61" s="2">
        <f>ROUND(SUM(G61:AK61),5)</f>
        <v>11498.49</v>
      </c>
    </row>
    <row r="62" spans="1:39" x14ac:dyDescent="0.25">
      <c r="A62" s="1"/>
      <c r="B62" s="1"/>
      <c r="C62" s="1"/>
      <c r="D62" s="1"/>
      <c r="E62" s="1"/>
      <c r="F62" s="1" t="s">
        <v>77</v>
      </c>
      <c r="G62" s="2">
        <v>979.07</v>
      </c>
      <c r="H62" s="3"/>
      <c r="I62" s="2">
        <v>1752.44</v>
      </c>
      <c r="J62" s="3"/>
      <c r="K62" s="2">
        <v>2123.36</v>
      </c>
      <c r="L62" s="3"/>
      <c r="M62" s="2">
        <v>4438.47</v>
      </c>
      <c r="N62" s="3"/>
      <c r="O62" s="2">
        <v>3343.17</v>
      </c>
      <c r="P62" s="3"/>
      <c r="Q62" s="2">
        <v>3695.36</v>
      </c>
      <c r="R62" s="3"/>
      <c r="S62" s="2">
        <v>5240.25</v>
      </c>
      <c r="T62" s="3"/>
      <c r="U62" s="2">
        <v>4790.32</v>
      </c>
      <c r="V62" s="3"/>
      <c r="W62" s="2">
        <v>3568.42</v>
      </c>
      <c r="X62" s="3"/>
      <c r="Y62" s="2">
        <v>5239.49</v>
      </c>
      <c r="Z62" s="3"/>
      <c r="AA62" s="2">
        <v>3542.82</v>
      </c>
      <c r="AB62" s="3"/>
      <c r="AC62" s="2">
        <v>3307.85</v>
      </c>
      <c r="AD62" s="3"/>
      <c r="AE62" s="2">
        <v>1135.28</v>
      </c>
      <c r="AF62" s="3"/>
      <c r="AG62" s="2">
        <v>3204.03</v>
      </c>
      <c r="AH62" s="3"/>
      <c r="AI62" s="2">
        <v>4102.07</v>
      </c>
      <c r="AJ62" s="3"/>
      <c r="AK62" s="2">
        <v>1401.2</v>
      </c>
      <c r="AL62" s="3"/>
      <c r="AM62" s="2">
        <f>ROUND(SUM(G62:AK62),5)</f>
        <v>51863.6</v>
      </c>
    </row>
    <row r="63" spans="1:39" ht="15.75" thickBot="1" x14ac:dyDescent="0.3">
      <c r="A63" s="1"/>
      <c r="B63" s="1"/>
      <c r="C63" s="1"/>
      <c r="D63" s="1"/>
      <c r="E63" s="1"/>
      <c r="F63" s="1" t="s">
        <v>78</v>
      </c>
      <c r="G63" s="6">
        <v>0</v>
      </c>
      <c r="H63" s="3"/>
      <c r="I63" s="6">
        <v>0</v>
      </c>
      <c r="J63" s="3"/>
      <c r="K63" s="6">
        <v>8975.92</v>
      </c>
      <c r="L63" s="3"/>
      <c r="M63" s="6">
        <v>0</v>
      </c>
      <c r="N63" s="3"/>
      <c r="O63" s="6">
        <v>0</v>
      </c>
      <c r="P63" s="3"/>
      <c r="Q63" s="6">
        <v>0</v>
      </c>
      <c r="R63" s="3"/>
      <c r="S63" s="6">
        <v>0</v>
      </c>
      <c r="T63" s="3"/>
      <c r="U63" s="6">
        <v>3125.83</v>
      </c>
      <c r="V63" s="3"/>
      <c r="W63" s="6">
        <v>1736.56</v>
      </c>
      <c r="X63" s="3"/>
      <c r="Y63" s="6">
        <v>309.43</v>
      </c>
      <c r="Z63" s="3"/>
      <c r="AA63" s="6">
        <v>4022.9</v>
      </c>
      <c r="AB63" s="3"/>
      <c r="AC63" s="6">
        <v>0</v>
      </c>
      <c r="AD63" s="3"/>
      <c r="AE63" s="6">
        <v>2396.92</v>
      </c>
      <c r="AF63" s="3"/>
      <c r="AG63" s="6">
        <v>11663.9</v>
      </c>
      <c r="AH63" s="3"/>
      <c r="AI63" s="6">
        <v>2690.8</v>
      </c>
      <c r="AJ63" s="3"/>
      <c r="AK63" s="6">
        <v>0</v>
      </c>
      <c r="AL63" s="3"/>
      <c r="AM63" s="6">
        <f>ROUND(SUM(G63:AK63),5)</f>
        <v>34922.26</v>
      </c>
    </row>
    <row r="64" spans="1:39" x14ac:dyDescent="0.25">
      <c r="A64" s="1"/>
      <c r="B64" s="1"/>
      <c r="C64" s="1"/>
      <c r="D64" s="1"/>
      <c r="E64" s="1" t="s">
        <v>79</v>
      </c>
      <c r="F64" s="1"/>
      <c r="G64" s="2">
        <f>ROUND(SUM(G55:G63),5)</f>
        <v>13839.21</v>
      </c>
      <c r="H64" s="3"/>
      <c r="I64" s="2">
        <f>ROUND(SUM(I55:I63),5)</f>
        <v>15601.39</v>
      </c>
      <c r="J64" s="3"/>
      <c r="K64" s="2">
        <f>ROUND(SUM(K55:K63),5)</f>
        <v>31849.83</v>
      </c>
      <c r="L64" s="3"/>
      <c r="M64" s="2">
        <f>ROUND(SUM(M55:M63),5)</f>
        <v>23636.22</v>
      </c>
      <c r="N64" s="3"/>
      <c r="O64" s="2">
        <f>ROUND(SUM(O55:O63),5)</f>
        <v>22221.360000000001</v>
      </c>
      <c r="P64" s="3"/>
      <c r="Q64" s="2">
        <f>ROUND(SUM(Q55:Q63),5)</f>
        <v>21223.1</v>
      </c>
      <c r="R64" s="3"/>
      <c r="S64" s="2">
        <f>ROUND(SUM(S55:S63),5)</f>
        <v>24668.19</v>
      </c>
      <c r="T64" s="3"/>
      <c r="U64" s="2">
        <f>ROUND(SUM(U55:U63),5)</f>
        <v>24372.12</v>
      </c>
      <c r="V64" s="3"/>
      <c r="W64" s="2">
        <f>ROUND(SUM(W55:W63),5)</f>
        <v>21000.57</v>
      </c>
      <c r="X64" s="3"/>
      <c r="Y64" s="2">
        <f>ROUND(SUM(Y55:Y63),5)</f>
        <v>20290.099999999999</v>
      </c>
      <c r="Z64" s="3"/>
      <c r="AA64" s="2">
        <f>ROUND(SUM(AA55:AA63),5)</f>
        <v>27285.43</v>
      </c>
      <c r="AB64" s="3"/>
      <c r="AC64" s="2">
        <f>ROUND(SUM(AC55:AC63),5)</f>
        <v>20636.169999999998</v>
      </c>
      <c r="AD64" s="3"/>
      <c r="AE64" s="2">
        <f>ROUND(SUM(AE55:AE63),5)</f>
        <v>15699.84</v>
      </c>
      <c r="AF64" s="3"/>
      <c r="AG64" s="2">
        <f>ROUND(SUM(AG55:AG63),5)</f>
        <v>28288.86</v>
      </c>
      <c r="AH64" s="3"/>
      <c r="AI64" s="2">
        <f>ROUND(SUM(AI55:AI63),5)</f>
        <v>25664.57</v>
      </c>
      <c r="AJ64" s="3"/>
      <c r="AK64" s="2">
        <f>ROUND(SUM(AK55:AK63),5)</f>
        <v>17983.509999999998</v>
      </c>
      <c r="AL64" s="3"/>
      <c r="AM64" s="2">
        <f>ROUND(SUM(G64:AK64),5)</f>
        <v>354260.47</v>
      </c>
    </row>
    <row r="65" spans="1:39" x14ac:dyDescent="0.25">
      <c r="A65" s="1"/>
      <c r="B65" s="1"/>
      <c r="C65" s="1"/>
      <c r="D65" s="1"/>
      <c r="E65" s="1" t="s">
        <v>80</v>
      </c>
      <c r="F65" s="1"/>
      <c r="G65" s="2"/>
      <c r="H65" s="3"/>
      <c r="I65" s="2"/>
      <c r="J65" s="3"/>
      <c r="K65" s="2"/>
      <c r="L65" s="3"/>
      <c r="M65" s="2"/>
      <c r="N65" s="3"/>
      <c r="O65" s="2"/>
      <c r="P65" s="3"/>
      <c r="Q65" s="2"/>
      <c r="R65" s="3"/>
      <c r="S65" s="2"/>
      <c r="T65" s="3"/>
      <c r="U65" s="2"/>
      <c r="V65" s="3"/>
      <c r="W65" s="2"/>
      <c r="X65" s="3"/>
      <c r="Y65" s="2"/>
      <c r="Z65" s="3"/>
      <c r="AA65" s="2"/>
      <c r="AB65" s="3"/>
      <c r="AC65" s="2"/>
      <c r="AD65" s="3"/>
      <c r="AE65" s="2"/>
      <c r="AF65" s="3"/>
      <c r="AG65" s="2"/>
      <c r="AH65" s="3"/>
      <c r="AI65" s="2"/>
      <c r="AJ65" s="3"/>
      <c r="AK65" s="2"/>
      <c r="AL65" s="3"/>
      <c r="AM65" s="2"/>
    </row>
    <row r="66" spans="1:39" x14ac:dyDescent="0.25">
      <c r="A66" s="1"/>
      <c r="B66" s="1"/>
      <c r="C66" s="1"/>
      <c r="D66" s="1"/>
      <c r="E66" s="1"/>
      <c r="F66" s="1" t="s">
        <v>81</v>
      </c>
      <c r="G66" s="2">
        <v>13074.51</v>
      </c>
      <c r="H66" s="3"/>
      <c r="I66" s="2">
        <v>11994.09</v>
      </c>
      <c r="J66" s="3"/>
      <c r="K66" s="2">
        <v>12988</v>
      </c>
      <c r="L66" s="3"/>
      <c r="M66" s="2">
        <v>12107.11</v>
      </c>
      <c r="N66" s="3"/>
      <c r="O66" s="2">
        <v>13402.1</v>
      </c>
      <c r="P66" s="3"/>
      <c r="Q66" s="2">
        <v>12189.84</v>
      </c>
      <c r="R66" s="3"/>
      <c r="S66" s="2">
        <v>12098.79</v>
      </c>
      <c r="T66" s="3"/>
      <c r="U66" s="2">
        <v>12639.6</v>
      </c>
      <c r="V66" s="3"/>
      <c r="W66" s="2">
        <v>11410.55</v>
      </c>
      <c r="X66" s="3"/>
      <c r="Y66" s="2">
        <v>11429.12</v>
      </c>
      <c r="Z66" s="3"/>
      <c r="AA66" s="2">
        <v>11760.83</v>
      </c>
      <c r="AB66" s="3"/>
      <c r="AC66" s="2">
        <v>12567.46</v>
      </c>
      <c r="AD66" s="3"/>
      <c r="AE66" s="2">
        <v>12111.78</v>
      </c>
      <c r="AF66" s="3"/>
      <c r="AG66" s="2">
        <v>12264.13</v>
      </c>
      <c r="AH66" s="3"/>
      <c r="AI66" s="2">
        <v>12667.35</v>
      </c>
      <c r="AJ66" s="3"/>
      <c r="AK66" s="2">
        <v>11468.08</v>
      </c>
      <c r="AL66" s="3"/>
      <c r="AM66" s="2">
        <f>ROUND(SUM(G66:AK66),5)</f>
        <v>196173.34</v>
      </c>
    </row>
    <row r="67" spans="1:39" x14ac:dyDescent="0.25">
      <c r="A67" s="1"/>
      <c r="B67" s="1"/>
      <c r="C67" s="1"/>
      <c r="D67" s="1"/>
      <c r="E67" s="1"/>
      <c r="F67" s="1" t="s">
        <v>82</v>
      </c>
      <c r="G67" s="2">
        <v>1008</v>
      </c>
      <c r="H67" s="3"/>
      <c r="I67" s="2">
        <v>0</v>
      </c>
      <c r="J67" s="3"/>
      <c r="K67" s="2">
        <v>3240</v>
      </c>
      <c r="L67" s="3"/>
      <c r="M67" s="2">
        <v>1800</v>
      </c>
      <c r="N67" s="3"/>
      <c r="O67" s="2">
        <v>3600</v>
      </c>
      <c r="P67" s="3"/>
      <c r="Q67" s="2">
        <v>3600</v>
      </c>
      <c r="R67" s="3"/>
      <c r="S67" s="2">
        <v>3720</v>
      </c>
      <c r="T67" s="3"/>
      <c r="U67" s="2">
        <v>3492</v>
      </c>
      <c r="V67" s="3"/>
      <c r="W67" s="2">
        <v>3660</v>
      </c>
      <c r="X67" s="3"/>
      <c r="Y67" s="2">
        <v>3789.71</v>
      </c>
      <c r="Z67" s="3"/>
      <c r="AA67" s="2">
        <v>3771.43</v>
      </c>
      <c r="AB67" s="3"/>
      <c r="AC67" s="2">
        <v>3897.15</v>
      </c>
      <c r="AD67" s="3"/>
      <c r="AE67" s="2">
        <v>3771.42</v>
      </c>
      <c r="AF67" s="3"/>
      <c r="AG67" s="2">
        <v>3620.58</v>
      </c>
      <c r="AH67" s="3"/>
      <c r="AI67" s="2">
        <v>3821.71</v>
      </c>
      <c r="AJ67" s="3"/>
      <c r="AK67" s="2">
        <v>3520</v>
      </c>
      <c r="AL67" s="3"/>
      <c r="AM67" s="2">
        <f>ROUND(SUM(G67:AK67),5)</f>
        <v>50312</v>
      </c>
    </row>
    <row r="68" spans="1:39" x14ac:dyDescent="0.25">
      <c r="A68" s="1"/>
      <c r="B68" s="1"/>
      <c r="C68" s="1"/>
      <c r="D68" s="1"/>
      <c r="E68" s="1"/>
      <c r="F68" s="1" t="s">
        <v>83</v>
      </c>
      <c r="G68" s="2">
        <v>0</v>
      </c>
      <c r="H68" s="3"/>
      <c r="I68" s="2">
        <v>10043.780000000001</v>
      </c>
      <c r="J68" s="3"/>
      <c r="K68" s="2">
        <v>18405.84</v>
      </c>
      <c r="L68" s="3"/>
      <c r="M68" s="2">
        <v>7937.77</v>
      </c>
      <c r="N68" s="3"/>
      <c r="O68" s="2">
        <v>8916.25</v>
      </c>
      <c r="P68" s="3"/>
      <c r="Q68" s="2">
        <v>9606.7199999999993</v>
      </c>
      <c r="R68" s="3"/>
      <c r="S68" s="2">
        <v>9386.6299999999992</v>
      </c>
      <c r="T68" s="3"/>
      <c r="U68" s="2">
        <v>8720.1299999999992</v>
      </c>
      <c r="V68" s="3"/>
      <c r="W68" s="2">
        <v>9595.9599999999991</v>
      </c>
      <c r="X68" s="3"/>
      <c r="Y68" s="2">
        <v>7220.82</v>
      </c>
      <c r="Z68" s="3"/>
      <c r="AA68" s="2">
        <v>10876.49</v>
      </c>
      <c r="AB68" s="3"/>
      <c r="AC68" s="2">
        <v>8864.73</v>
      </c>
      <c r="AD68" s="3"/>
      <c r="AE68" s="2">
        <v>11545.56</v>
      </c>
      <c r="AF68" s="3"/>
      <c r="AG68" s="2">
        <v>11660.58</v>
      </c>
      <c r="AH68" s="3"/>
      <c r="AI68" s="2">
        <v>9883.7900000000009</v>
      </c>
      <c r="AJ68" s="3"/>
      <c r="AK68" s="2">
        <v>10081.26</v>
      </c>
      <c r="AL68" s="3"/>
      <c r="AM68" s="2">
        <f>ROUND(SUM(G68:AK68),5)</f>
        <v>152746.31</v>
      </c>
    </row>
    <row r="69" spans="1:39" x14ac:dyDescent="0.25">
      <c r="A69" s="1"/>
      <c r="B69" s="1"/>
      <c r="C69" s="1"/>
      <c r="D69" s="1"/>
      <c r="E69" s="1"/>
      <c r="F69" s="1" t="s">
        <v>84</v>
      </c>
      <c r="G69" s="2">
        <v>0</v>
      </c>
      <c r="H69" s="3"/>
      <c r="I69" s="2">
        <v>295.16000000000003</v>
      </c>
      <c r="J69" s="3"/>
      <c r="K69" s="2">
        <v>0</v>
      </c>
      <c r="L69" s="3"/>
      <c r="M69" s="2">
        <v>57.74</v>
      </c>
      <c r="N69" s="3"/>
      <c r="O69" s="2">
        <v>158.47</v>
      </c>
      <c r="P69" s="3"/>
      <c r="Q69" s="2">
        <v>166.54</v>
      </c>
      <c r="R69" s="3"/>
      <c r="S69" s="2">
        <v>682.22</v>
      </c>
      <c r="T69" s="3"/>
      <c r="U69" s="2">
        <v>294.83</v>
      </c>
      <c r="V69" s="3"/>
      <c r="W69" s="2">
        <v>233.77</v>
      </c>
      <c r="X69" s="3"/>
      <c r="Y69" s="2">
        <v>69.23</v>
      </c>
      <c r="Z69" s="3"/>
      <c r="AA69" s="2">
        <v>0</v>
      </c>
      <c r="AB69" s="3"/>
      <c r="AC69" s="2">
        <v>0</v>
      </c>
      <c r="AD69" s="3"/>
      <c r="AE69" s="2">
        <v>224.98</v>
      </c>
      <c r="AF69" s="3"/>
      <c r="AG69" s="2">
        <v>0</v>
      </c>
      <c r="AH69" s="3"/>
      <c r="AI69" s="2">
        <v>0</v>
      </c>
      <c r="AJ69" s="3"/>
      <c r="AK69" s="2">
        <v>0</v>
      </c>
      <c r="AL69" s="3"/>
      <c r="AM69" s="2">
        <f>ROUND(SUM(G69:AK69),5)</f>
        <v>2182.94</v>
      </c>
    </row>
    <row r="70" spans="1:39" x14ac:dyDescent="0.25">
      <c r="A70" s="1"/>
      <c r="B70" s="1"/>
      <c r="C70" s="1"/>
      <c r="D70" s="1"/>
      <c r="E70" s="1"/>
      <c r="F70" s="1" t="s">
        <v>85</v>
      </c>
      <c r="G70" s="2">
        <v>0</v>
      </c>
      <c r="H70" s="3"/>
      <c r="I70" s="2">
        <v>0</v>
      </c>
      <c r="J70" s="3"/>
      <c r="K70" s="2">
        <v>0</v>
      </c>
      <c r="L70" s="3"/>
      <c r="M70" s="2">
        <v>109.26</v>
      </c>
      <c r="N70" s="3"/>
      <c r="O70" s="2">
        <v>795.28</v>
      </c>
      <c r="P70" s="3"/>
      <c r="Q70" s="2">
        <v>263.3</v>
      </c>
      <c r="R70" s="3"/>
      <c r="S70" s="2">
        <v>475.63</v>
      </c>
      <c r="T70" s="3"/>
      <c r="U70" s="2">
        <v>40.549999999999997</v>
      </c>
      <c r="V70" s="3"/>
      <c r="W70" s="2">
        <v>275.67</v>
      </c>
      <c r="X70" s="3"/>
      <c r="Y70" s="2">
        <v>307.29000000000002</v>
      </c>
      <c r="Z70" s="3"/>
      <c r="AA70" s="2">
        <v>237.68</v>
      </c>
      <c r="AB70" s="3"/>
      <c r="AC70" s="2">
        <v>0</v>
      </c>
      <c r="AD70" s="3"/>
      <c r="AE70" s="2">
        <v>0</v>
      </c>
      <c r="AF70" s="3"/>
      <c r="AG70" s="2">
        <v>0</v>
      </c>
      <c r="AH70" s="3"/>
      <c r="AI70" s="2">
        <v>0</v>
      </c>
      <c r="AJ70" s="3"/>
      <c r="AK70" s="2">
        <v>0</v>
      </c>
      <c r="AL70" s="3"/>
      <c r="AM70" s="2">
        <f>ROUND(SUM(G70:AK70),5)</f>
        <v>2504.66</v>
      </c>
    </row>
    <row r="71" spans="1:39" x14ac:dyDescent="0.25">
      <c r="A71" s="1"/>
      <c r="B71" s="1"/>
      <c r="C71" s="1"/>
      <c r="D71" s="1"/>
      <c r="E71" s="1"/>
      <c r="F71" s="1" t="s">
        <v>86</v>
      </c>
      <c r="G71" s="2">
        <v>85</v>
      </c>
      <c r="H71" s="3"/>
      <c r="I71" s="2">
        <v>1099.77</v>
      </c>
      <c r="J71" s="3"/>
      <c r="K71" s="2">
        <v>777.62</v>
      </c>
      <c r="L71" s="3"/>
      <c r="M71" s="2">
        <v>622.74</v>
      </c>
      <c r="N71" s="3"/>
      <c r="O71" s="2">
        <v>1714.38</v>
      </c>
      <c r="P71" s="3"/>
      <c r="Q71" s="2">
        <v>1427.79</v>
      </c>
      <c r="R71" s="3"/>
      <c r="S71" s="2">
        <v>1601.51</v>
      </c>
      <c r="T71" s="3"/>
      <c r="U71" s="2">
        <v>485.09</v>
      </c>
      <c r="V71" s="3"/>
      <c r="W71" s="2">
        <v>2118.84</v>
      </c>
      <c r="X71" s="3"/>
      <c r="Y71" s="2">
        <v>626.63</v>
      </c>
      <c r="Z71" s="3"/>
      <c r="AA71" s="2">
        <v>423.5</v>
      </c>
      <c r="AB71" s="3"/>
      <c r="AC71" s="2">
        <v>1199.4000000000001</v>
      </c>
      <c r="AD71" s="3"/>
      <c r="AE71" s="2">
        <v>748.63</v>
      </c>
      <c r="AF71" s="3"/>
      <c r="AG71" s="2">
        <v>1118.6099999999999</v>
      </c>
      <c r="AH71" s="3"/>
      <c r="AI71" s="2">
        <v>1804.11</v>
      </c>
      <c r="AJ71" s="3"/>
      <c r="AK71" s="2">
        <v>992.9</v>
      </c>
      <c r="AL71" s="3"/>
      <c r="AM71" s="2">
        <f>ROUND(SUM(G71:AK71),5)</f>
        <v>16846.52</v>
      </c>
    </row>
    <row r="72" spans="1:39" x14ac:dyDescent="0.25">
      <c r="A72" s="1"/>
      <c r="B72" s="1"/>
      <c r="C72" s="1"/>
      <c r="D72" s="1"/>
      <c r="E72" s="1"/>
      <c r="F72" s="1" t="s">
        <v>87</v>
      </c>
      <c r="G72" s="2">
        <v>0</v>
      </c>
      <c r="H72" s="3"/>
      <c r="I72" s="2">
        <v>852.73</v>
      </c>
      <c r="J72" s="3"/>
      <c r="K72" s="2">
        <v>1181.76</v>
      </c>
      <c r="L72" s="3"/>
      <c r="M72" s="2">
        <v>1271.8900000000001</v>
      </c>
      <c r="N72" s="3"/>
      <c r="O72" s="2">
        <v>371.2</v>
      </c>
      <c r="P72" s="3"/>
      <c r="Q72" s="2">
        <v>474.23</v>
      </c>
      <c r="R72" s="3"/>
      <c r="S72" s="2">
        <v>243.26</v>
      </c>
      <c r="T72" s="3"/>
      <c r="U72" s="2">
        <v>535.65</v>
      </c>
      <c r="V72" s="3"/>
      <c r="W72" s="2">
        <v>266.52</v>
      </c>
      <c r="X72" s="3"/>
      <c r="Y72" s="2">
        <v>644.86</v>
      </c>
      <c r="Z72" s="3"/>
      <c r="AA72" s="2">
        <v>588.41999999999996</v>
      </c>
      <c r="AB72" s="3"/>
      <c r="AC72" s="2">
        <v>464.36</v>
      </c>
      <c r="AD72" s="3"/>
      <c r="AE72" s="2">
        <v>85.8</v>
      </c>
      <c r="AF72" s="3"/>
      <c r="AG72" s="2">
        <v>556.20000000000005</v>
      </c>
      <c r="AH72" s="3"/>
      <c r="AI72" s="2">
        <v>85.8</v>
      </c>
      <c r="AJ72" s="3"/>
      <c r="AK72" s="2">
        <v>774.91</v>
      </c>
      <c r="AL72" s="3"/>
      <c r="AM72" s="2">
        <f>ROUND(SUM(G72:AK72),5)</f>
        <v>8397.59</v>
      </c>
    </row>
    <row r="73" spans="1:39" ht="15.75" thickBot="1" x14ac:dyDescent="0.3">
      <c r="A73" s="1"/>
      <c r="B73" s="1"/>
      <c r="C73" s="1"/>
      <c r="D73" s="1"/>
      <c r="E73" s="1"/>
      <c r="F73" s="1" t="s">
        <v>88</v>
      </c>
      <c r="G73" s="6">
        <v>504</v>
      </c>
      <c r="H73" s="3"/>
      <c r="I73" s="6">
        <v>504</v>
      </c>
      <c r="J73" s="3"/>
      <c r="K73" s="6">
        <v>0</v>
      </c>
      <c r="L73" s="3"/>
      <c r="M73" s="6">
        <v>504</v>
      </c>
      <c r="N73" s="3"/>
      <c r="O73" s="6">
        <v>504</v>
      </c>
      <c r="P73" s="3"/>
      <c r="Q73" s="6">
        <v>504</v>
      </c>
      <c r="R73" s="3"/>
      <c r="S73" s="6">
        <v>504</v>
      </c>
      <c r="T73" s="3"/>
      <c r="U73" s="6">
        <v>504</v>
      </c>
      <c r="V73" s="3"/>
      <c r="W73" s="6">
        <v>504</v>
      </c>
      <c r="X73" s="3"/>
      <c r="Y73" s="6">
        <v>504</v>
      </c>
      <c r="Z73" s="3"/>
      <c r="AA73" s="6">
        <v>504</v>
      </c>
      <c r="AB73" s="3"/>
      <c r="AC73" s="6">
        <v>1008</v>
      </c>
      <c r="AD73" s="3"/>
      <c r="AE73" s="6">
        <v>504</v>
      </c>
      <c r="AF73" s="3"/>
      <c r="AG73" s="6">
        <v>504</v>
      </c>
      <c r="AH73" s="3"/>
      <c r="AI73" s="6">
        <v>504</v>
      </c>
      <c r="AJ73" s="3"/>
      <c r="AK73" s="6">
        <v>504</v>
      </c>
      <c r="AL73" s="3"/>
      <c r="AM73" s="6">
        <f>ROUND(SUM(G73:AK73),5)</f>
        <v>8064</v>
      </c>
    </row>
    <row r="74" spans="1:39" x14ac:dyDescent="0.25">
      <c r="A74" s="1"/>
      <c r="B74" s="1"/>
      <c r="C74" s="1"/>
      <c r="D74" s="1"/>
      <c r="E74" s="1" t="s">
        <v>89</v>
      </c>
      <c r="F74" s="1"/>
      <c r="G74" s="2">
        <f>ROUND(SUM(G65:G73),5)</f>
        <v>14671.51</v>
      </c>
      <c r="H74" s="3"/>
      <c r="I74" s="2">
        <f>ROUND(SUM(I65:I73),5)</f>
        <v>24789.53</v>
      </c>
      <c r="J74" s="3"/>
      <c r="K74" s="2">
        <f>ROUND(SUM(K65:K73),5)</f>
        <v>36593.22</v>
      </c>
      <c r="L74" s="3"/>
      <c r="M74" s="2">
        <f>ROUND(SUM(M65:M73),5)</f>
        <v>24410.51</v>
      </c>
      <c r="N74" s="3"/>
      <c r="O74" s="2">
        <f>ROUND(SUM(O65:O73),5)</f>
        <v>29461.68</v>
      </c>
      <c r="P74" s="3"/>
      <c r="Q74" s="2">
        <f>ROUND(SUM(Q65:Q73),5)</f>
        <v>28232.42</v>
      </c>
      <c r="R74" s="3"/>
      <c r="S74" s="2">
        <f>ROUND(SUM(S65:S73),5)</f>
        <v>28712.04</v>
      </c>
      <c r="T74" s="3"/>
      <c r="U74" s="2">
        <f>ROUND(SUM(U65:U73),5)</f>
        <v>26711.85</v>
      </c>
      <c r="V74" s="3"/>
      <c r="W74" s="2">
        <f>ROUND(SUM(W65:W73),5)</f>
        <v>28065.31</v>
      </c>
      <c r="X74" s="3"/>
      <c r="Y74" s="2">
        <f>ROUND(SUM(Y65:Y73),5)</f>
        <v>24591.66</v>
      </c>
      <c r="Z74" s="3"/>
      <c r="AA74" s="2">
        <f>ROUND(SUM(AA65:AA73),5)</f>
        <v>28162.35</v>
      </c>
      <c r="AB74" s="3"/>
      <c r="AC74" s="2">
        <f>ROUND(SUM(AC65:AC73),5)</f>
        <v>28001.1</v>
      </c>
      <c r="AD74" s="3"/>
      <c r="AE74" s="2">
        <f>ROUND(SUM(AE65:AE73),5)</f>
        <v>28992.17</v>
      </c>
      <c r="AF74" s="3"/>
      <c r="AG74" s="2">
        <f>ROUND(SUM(AG65:AG73),5)</f>
        <v>29724.1</v>
      </c>
      <c r="AH74" s="3"/>
      <c r="AI74" s="2">
        <f>ROUND(SUM(AI65:AI73),5)</f>
        <v>28766.76</v>
      </c>
      <c r="AJ74" s="3"/>
      <c r="AK74" s="2">
        <f>ROUND(SUM(AK65:AK73),5)</f>
        <v>27341.15</v>
      </c>
      <c r="AL74" s="3"/>
      <c r="AM74" s="2">
        <f>ROUND(SUM(G74:AK74),5)</f>
        <v>437227.36</v>
      </c>
    </row>
    <row r="75" spans="1:39" x14ac:dyDescent="0.25">
      <c r="A75" s="1"/>
      <c r="B75" s="1"/>
      <c r="C75" s="1"/>
      <c r="D75" s="1"/>
      <c r="E75" s="1" t="s">
        <v>90</v>
      </c>
      <c r="F75" s="1"/>
      <c r="G75" s="2"/>
      <c r="H75" s="3"/>
      <c r="I75" s="2"/>
      <c r="J75" s="3"/>
      <c r="K75" s="2"/>
      <c r="L75" s="3"/>
      <c r="M75" s="2"/>
      <c r="N75" s="3"/>
      <c r="O75" s="2"/>
      <c r="P75" s="3"/>
      <c r="Q75" s="2"/>
      <c r="R75" s="3"/>
      <c r="S75" s="2"/>
      <c r="T75" s="3"/>
      <c r="U75" s="2"/>
      <c r="V75" s="3"/>
      <c r="W75" s="2"/>
      <c r="X75" s="3"/>
      <c r="Y75" s="2"/>
      <c r="Z75" s="3"/>
      <c r="AA75" s="2"/>
      <c r="AB75" s="3"/>
      <c r="AC75" s="2"/>
      <c r="AD75" s="3"/>
      <c r="AE75" s="2"/>
      <c r="AF75" s="3"/>
      <c r="AG75" s="2"/>
      <c r="AH75" s="3"/>
      <c r="AI75" s="2"/>
      <c r="AJ75" s="3"/>
      <c r="AK75" s="2"/>
      <c r="AL75" s="3"/>
      <c r="AM75" s="2"/>
    </row>
    <row r="76" spans="1:39" x14ac:dyDescent="0.25">
      <c r="A76" s="1"/>
      <c r="B76" s="1"/>
      <c r="C76" s="1"/>
      <c r="D76" s="1"/>
      <c r="E76" s="1"/>
      <c r="F76" s="1" t="s">
        <v>91</v>
      </c>
      <c r="G76" s="2">
        <v>3819.51</v>
      </c>
      <c r="H76" s="3"/>
      <c r="I76" s="2">
        <v>3580.09</v>
      </c>
      <c r="J76" s="3"/>
      <c r="K76" s="2">
        <v>2592.79</v>
      </c>
      <c r="L76" s="3"/>
      <c r="M76" s="2">
        <v>3542.77</v>
      </c>
      <c r="N76" s="3"/>
      <c r="O76" s="2">
        <v>3682.22</v>
      </c>
      <c r="P76" s="3"/>
      <c r="Q76" s="2">
        <v>3693.58</v>
      </c>
      <c r="R76" s="3"/>
      <c r="S76" s="2">
        <v>3588.51</v>
      </c>
      <c r="T76" s="3"/>
      <c r="U76" s="2">
        <v>3433.3</v>
      </c>
      <c r="V76" s="3"/>
      <c r="W76" s="2">
        <v>3940.92</v>
      </c>
      <c r="X76" s="3"/>
      <c r="Y76" s="2">
        <v>3707.36</v>
      </c>
      <c r="Z76" s="3"/>
      <c r="AA76" s="2">
        <v>3868.63</v>
      </c>
      <c r="AB76" s="3"/>
      <c r="AC76" s="2">
        <v>4047.92</v>
      </c>
      <c r="AD76" s="3"/>
      <c r="AE76" s="2">
        <v>2986.74</v>
      </c>
      <c r="AF76" s="3"/>
      <c r="AG76" s="2">
        <v>3444.66</v>
      </c>
      <c r="AH76" s="3"/>
      <c r="AI76" s="2">
        <v>3718.39</v>
      </c>
      <c r="AJ76" s="3"/>
      <c r="AK76" s="2">
        <v>3551</v>
      </c>
      <c r="AL76" s="3"/>
      <c r="AM76" s="2">
        <f>ROUND(SUM(G76:AK76),5)</f>
        <v>57198.39</v>
      </c>
    </row>
    <row r="77" spans="1:39" x14ac:dyDescent="0.25">
      <c r="A77" s="1"/>
      <c r="B77" s="1"/>
      <c r="C77" s="1"/>
      <c r="D77" s="1"/>
      <c r="E77" s="1"/>
      <c r="F77" s="1" t="s">
        <v>92</v>
      </c>
      <c r="G77" s="2">
        <v>12059.71</v>
      </c>
      <c r="H77" s="3"/>
      <c r="I77" s="2">
        <v>11617.86</v>
      </c>
      <c r="J77" s="3"/>
      <c r="K77" s="2">
        <v>13047.1</v>
      </c>
      <c r="L77" s="3"/>
      <c r="M77" s="2">
        <v>11459.92</v>
      </c>
      <c r="N77" s="3"/>
      <c r="O77" s="2">
        <v>13064.73</v>
      </c>
      <c r="P77" s="3"/>
      <c r="Q77" s="2">
        <v>11620.7</v>
      </c>
      <c r="R77" s="3"/>
      <c r="S77" s="2">
        <v>15193.84</v>
      </c>
      <c r="T77" s="3"/>
      <c r="U77" s="2">
        <v>13670.27</v>
      </c>
      <c r="V77" s="3"/>
      <c r="W77" s="2">
        <v>13398.13</v>
      </c>
      <c r="X77" s="3"/>
      <c r="Y77" s="2">
        <v>12293.3</v>
      </c>
      <c r="Z77" s="3"/>
      <c r="AA77" s="2">
        <v>12087.52</v>
      </c>
      <c r="AB77" s="3"/>
      <c r="AC77" s="2">
        <v>13841.41</v>
      </c>
      <c r="AD77" s="3"/>
      <c r="AE77" s="2">
        <v>13467.52</v>
      </c>
      <c r="AF77" s="3"/>
      <c r="AG77" s="2">
        <v>13065.15</v>
      </c>
      <c r="AH77" s="3"/>
      <c r="AI77" s="2">
        <v>12313.03</v>
      </c>
      <c r="AJ77" s="3"/>
      <c r="AK77" s="2">
        <v>12651.99</v>
      </c>
      <c r="AL77" s="3"/>
      <c r="AM77" s="2">
        <f>ROUND(SUM(G77:AK77),5)</f>
        <v>204852.18</v>
      </c>
    </row>
    <row r="78" spans="1:39" x14ac:dyDescent="0.25">
      <c r="A78" s="1"/>
      <c r="B78" s="1"/>
      <c r="C78" s="1"/>
      <c r="D78" s="1"/>
      <c r="E78" s="1"/>
      <c r="F78" s="1" t="s">
        <v>93</v>
      </c>
      <c r="G78" s="2">
        <v>0</v>
      </c>
      <c r="H78" s="3"/>
      <c r="I78" s="2">
        <v>0</v>
      </c>
      <c r="J78" s="3"/>
      <c r="K78" s="2">
        <v>8082.53</v>
      </c>
      <c r="L78" s="3"/>
      <c r="M78" s="2">
        <v>1701.24</v>
      </c>
      <c r="N78" s="3"/>
      <c r="O78" s="2">
        <v>2460.65</v>
      </c>
      <c r="P78" s="3"/>
      <c r="Q78" s="2">
        <v>1444.53</v>
      </c>
      <c r="R78" s="3"/>
      <c r="S78" s="2">
        <v>1941.09</v>
      </c>
      <c r="T78" s="3"/>
      <c r="U78" s="2">
        <v>768.63</v>
      </c>
      <c r="V78" s="3"/>
      <c r="W78" s="2">
        <v>861.41</v>
      </c>
      <c r="X78" s="3"/>
      <c r="Y78" s="2">
        <v>504.79</v>
      </c>
      <c r="Z78" s="3"/>
      <c r="AA78" s="2">
        <v>897.92</v>
      </c>
      <c r="AB78" s="3"/>
      <c r="AC78" s="2">
        <v>781.79</v>
      </c>
      <c r="AD78" s="3"/>
      <c r="AE78" s="2">
        <v>875.14</v>
      </c>
      <c r="AF78" s="3"/>
      <c r="AG78" s="2">
        <v>1676.4</v>
      </c>
      <c r="AH78" s="3"/>
      <c r="AI78" s="2">
        <v>2808.31</v>
      </c>
      <c r="AJ78" s="3"/>
      <c r="AK78" s="2">
        <v>2113.1999999999998</v>
      </c>
      <c r="AL78" s="3"/>
      <c r="AM78" s="2">
        <f>ROUND(SUM(G78:AK78),5)</f>
        <v>26917.63</v>
      </c>
    </row>
    <row r="79" spans="1:39" x14ac:dyDescent="0.25">
      <c r="A79" s="1"/>
      <c r="B79" s="1"/>
      <c r="C79" s="1"/>
      <c r="D79" s="1"/>
      <c r="E79" s="1"/>
      <c r="F79" s="1" t="s">
        <v>94</v>
      </c>
      <c r="G79" s="2">
        <v>0</v>
      </c>
      <c r="H79" s="3"/>
      <c r="I79" s="2">
        <v>991.09</v>
      </c>
      <c r="J79" s="3"/>
      <c r="K79" s="2">
        <v>910.2</v>
      </c>
      <c r="L79" s="3"/>
      <c r="M79" s="2">
        <v>1035.08</v>
      </c>
      <c r="N79" s="3"/>
      <c r="O79" s="2">
        <v>570.48</v>
      </c>
      <c r="P79" s="3"/>
      <c r="Q79" s="2">
        <v>1091.06</v>
      </c>
      <c r="R79" s="3"/>
      <c r="S79" s="2">
        <v>552.47</v>
      </c>
      <c r="T79" s="3"/>
      <c r="U79" s="2">
        <v>921.58</v>
      </c>
      <c r="V79" s="3"/>
      <c r="W79" s="2">
        <v>1436.21</v>
      </c>
      <c r="X79" s="3"/>
      <c r="Y79" s="2">
        <v>1425.6</v>
      </c>
      <c r="Z79" s="3"/>
      <c r="AA79" s="2">
        <v>896.82</v>
      </c>
      <c r="AB79" s="3"/>
      <c r="AC79" s="2">
        <v>958.61</v>
      </c>
      <c r="AD79" s="3"/>
      <c r="AE79" s="2">
        <v>1043</v>
      </c>
      <c r="AF79" s="3"/>
      <c r="AG79" s="2">
        <v>1478.16</v>
      </c>
      <c r="AH79" s="3"/>
      <c r="AI79" s="2">
        <v>1411.73</v>
      </c>
      <c r="AJ79" s="3"/>
      <c r="AK79" s="2">
        <v>1346.4</v>
      </c>
      <c r="AL79" s="3"/>
      <c r="AM79" s="2">
        <f>ROUND(SUM(G79:AK79),5)</f>
        <v>16068.49</v>
      </c>
    </row>
    <row r="80" spans="1:39" x14ac:dyDescent="0.25">
      <c r="A80" s="1"/>
      <c r="B80" s="1"/>
      <c r="C80" s="1"/>
      <c r="D80" s="1"/>
      <c r="E80" s="1"/>
      <c r="F80" s="1" t="s">
        <v>95</v>
      </c>
      <c r="G80" s="2">
        <v>702</v>
      </c>
      <c r="H80" s="3"/>
      <c r="I80" s="2">
        <v>6381.93</v>
      </c>
      <c r="J80" s="3"/>
      <c r="K80" s="2">
        <v>4235.0600000000004</v>
      </c>
      <c r="L80" s="3"/>
      <c r="M80" s="2">
        <v>3324.35</v>
      </c>
      <c r="N80" s="3"/>
      <c r="O80" s="2">
        <v>5217.72</v>
      </c>
      <c r="P80" s="3"/>
      <c r="Q80" s="2">
        <v>3442.15</v>
      </c>
      <c r="R80" s="3"/>
      <c r="S80" s="2">
        <v>13435.15</v>
      </c>
      <c r="T80" s="3"/>
      <c r="U80" s="2">
        <v>8578.35</v>
      </c>
      <c r="V80" s="3"/>
      <c r="W80" s="2">
        <v>2527.62</v>
      </c>
      <c r="X80" s="3"/>
      <c r="Y80" s="2">
        <v>9314.67</v>
      </c>
      <c r="Z80" s="3"/>
      <c r="AA80" s="2">
        <v>4322.75</v>
      </c>
      <c r="AB80" s="3"/>
      <c r="AC80" s="2">
        <v>6940.63</v>
      </c>
      <c r="AD80" s="3"/>
      <c r="AE80" s="2">
        <v>2786.25</v>
      </c>
      <c r="AF80" s="3"/>
      <c r="AG80" s="2">
        <v>3635.74</v>
      </c>
      <c r="AH80" s="3"/>
      <c r="AI80" s="2">
        <v>4046.4</v>
      </c>
      <c r="AJ80" s="3"/>
      <c r="AK80" s="2">
        <v>4155.83</v>
      </c>
      <c r="AL80" s="3"/>
      <c r="AM80" s="2">
        <f>ROUND(SUM(G80:AK80),5)</f>
        <v>83046.600000000006</v>
      </c>
    </row>
    <row r="81" spans="1:39" x14ac:dyDescent="0.25">
      <c r="A81" s="1"/>
      <c r="B81" s="1"/>
      <c r="C81" s="1"/>
      <c r="D81" s="1"/>
      <c r="E81" s="1"/>
      <c r="F81" s="1" t="s">
        <v>96</v>
      </c>
      <c r="G81" s="2">
        <v>0</v>
      </c>
      <c r="H81" s="3"/>
      <c r="I81" s="2">
        <v>0</v>
      </c>
      <c r="J81" s="3"/>
      <c r="K81" s="2">
        <v>324.14</v>
      </c>
      <c r="L81" s="3"/>
      <c r="M81" s="2">
        <v>1355.79</v>
      </c>
      <c r="N81" s="3"/>
      <c r="O81" s="2">
        <v>318.75</v>
      </c>
      <c r="P81" s="3"/>
      <c r="Q81" s="2">
        <v>960</v>
      </c>
      <c r="R81" s="3"/>
      <c r="S81" s="2">
        <v>67.31</v>
      </c>
      <c r="T81" s="3"/>
      <c r="U81" s="2">
        <v>104.44</v>
      </c>
      <c r="V81" s="3"/>
      <c r="W81" s="2">
        <v>742.08</v>
      </c>
      <c r="X81" s="3"/>
      <c r="Y81" s="2">
        <v>37.020000000000003</v>
      </c>
      <c r="Z81" s="3"/>
      <c r="AA81" s="2">
        <v>257.39999999999998</v>
      </c>
      <c r="AB81" s="3"/>
      <c r="AC81" s="2">
        <v>120.69</v>
      </c>
      <c r="AD81" s="3"/>
      <c r="AE81" s="2">
        <v>1969.62</v>
      </c>
      <c r="AF81" s="3"/>
      <c r="AG81" s="2">
        <v>2119.0100000000002</v>
      </c>
      <c r="AH81" s="3"/>
      <c r="AI81" s="2">
        <v>1748.88</v>
      </c>
      <c r="AJ81" s="3"/>
      <c r="AK81" s="2">
        <v>425.64</v>
      </c>
      <c r="AL81" s="3"/>
      <c r="AM81" s="2">
        <f>ROUND(SUM(G81:AK81),5)</f>
        <v>10550.77</v>
      </c>
    </row>
    <row r="82" spans="1:39" ht="15.75" thickBot="1" x14ac:dyDescent="0.3">
      <c r="A82" s="1"/>
      <c r="B82" s="1"/>
      <c r="C82" s="1"/>
      <c r="D82" s="1"/>
      <c r="E82" s="1"/>
      <c r="F82" s="1" t="s">
        <v>97</v>
      </c>
      <c r="G82" s="6">
        <v>0</v>
      </c>
      <c r="H82" s="3"/>
      <c r="I82" s="6">
        <v>0</v>
      </c>
      <c r="J82" s="3"/>
      <c r="K82" s="6">
        <v>722.79</v>
      </c>
      <c r="L82" s="3"/>
      <c r="M82" s="6">
        <v>1405.06</v>
      </c>
      <c r="N82" s="3"/>
      <c r="O82" s="6">
        <v>853.22</v>
      </c>
      <c r="P82" s="3"/>
      <c r="Q82" s="6">
        <v>743</v>
      </c>
      <c r="R82" s="3"/>
      <c r="S82" s="6">
        <v>853.22</v>
      </c>
      <c r="T82" s="3"/>
      <c r="U82" s="6">
        <v>743</v>
      </c>
      <c r="V82" s="3"/>
      <c r="W82" s="6">
        <v>928.22</v>
      </c>
      <c r="X82" s="3"/>
      <c r="Y82" s="6">
        <v>1148.44</v>
      </c>
      <c r="Z82" s="3"/>
      <c r="AA82" s="6">
        <v>1654</v>
      </c>
      <c r="AB82" s="3"/>
      <c r="AC82" s="6">
        <v>1068</v>
      </c>
      <c r="AD82" s="3"/>
      <c r="AE82" s="6">
        <v>1318</v>
      </c>
      <c r="AF82" s="3"/>
      <c r="AG82" s="6">
        <v>1625</v>
      </c>
      <c r="AH82" s="3"/>
      <c r="AI82" s="6">
        <v>839.6</v>
      </c>
      <c r="AJ82" s="3"/>
      <c r="AK82" s="6">
        <v>1024.8</v>
      </c>
      <c r="AL82" s="3"/>
      <c r="AM82" s="6">
        <f>ROUND(SUM(G82:AK82),5)</f>
        <v>14926.35</v>
      </c>
    </row>
    <row r="83" spans="1:39" x14ac:dyDescent="0.25">
      <c r="A83" s="1"/>
      <c r="B83" s="1"/>
      <c r="C83" s="1"/>
      <c r="D83" s="1"/>
      <c r="E83" s="1" t="s">
        <v>98</v>
      </c>
      <c r="F83" s="1"/>
      <c r="G83" s="2">
        <f>ROUND(SUM(G75:G82),5)</f>
        <v>16581.22</v>
      </c>
      <c r="H83" s="3"/>
      <c r="I83" s="2">
        <f>ROUND(SUM(I75:I82),5)</f>
        <v>22570.97</v>
      </c>
      <c r="J83" s="3"/>
      <c r="K83" s="2">
        <f>ROUND(SUM(K75:K82),5)</f>
        <v>29914.61</v>
      </c>
      <c r="L83" s="3"/>
      <c r="M83" s="2">
        <f>ROUND(SUM(M75:M82),5)</f>
        <v>23824.21</v>
      </c>
      <c r="N83" s="3"/>
      <c r="O83" s="2">
        <f>ROUND(SUM(O75:O82),5)</f>
        <v>26167.77</v>
      </c>
      <c r="P83" s="3"/>
      <c r="Q83" s="2">
        <f>ROUND(SUM(Q75:Q82),5)</f>
        <v>22995.02</v>
      </c>
      <c r="R83" s="3"/>
      <c r="S83" s="2">
        <f>ROUND(SUM(S75:S82),5)</f>
        <v>35631.589999999997</v>
      </c>
      <c r="T83" s="3"/>
      <c r="U83" s="2">
        <f>ROUND(SUM(U75:U82),5)</f>
        <v>28219.57</v>
      </c>
      <c r="V83" s="3"/>
      <c r="W83" s="2">
        <f>ROUND(SUM(W75:W82),5)</f>
        <v>23834.59</v>
      </c>
      <c r="X83" s="3"/>
      <c r="Y83" s="2">
        <f>ROUND(SUM(Y75:Y82),5)</f>
        <v>28431.18</v>
      </c>
      <c r="Z83" s="3"/>
      <c r="AA83" s="2">
        <f>ROUND(SUM(AA75:AA82),5)</f>
        <v>23985.040000000001</v>
      </c>
      <c r="AB83" s="3"/>
      <c r="AC83" s="2">
        <f>ROUND(SUM(AC75:AC82),5)</f>
        <v>27759.05</v>
      </c>
      <c r="AD83" s="3"/>
      <c r="AE83" s="2">
        <f>ROUND(SUM(AE75:AE82),5)</f>
        <v>24446.27</v>
      </c>
      <c r="AF83" s="3"/>
      <c r="AG83" s="2">
        <f>ROUND(SUM(AG75:AG82),5)</f>
        <v>27044.12</v>
      </c>
      <c r="AH83" s="3"/>
      <c r="AI83" s="2">
        <f>ROUND(SUM(AI75:AI82),5)</f>
        <v>26886.34</v>
      </c>
      <c r="AJ83" s="3"/>
      <c r="AK83" s="2">
        <f>ROUND(SUM(AK75:AK82),5)</f>
        <v>25268.86</v>
      </c>
      <c r="AL83" s="3"/>
      <c r="AM83" s="2">
        <f>ROUND(SUM(G83:AK83),5)</f>
        <v>413560.41</v>
      </c>
    </row>
    <row r="84" spans="1:39" x14ac:dyDescent="0.25">
      <c r="A84" s="1"/>
      <c r="B84" s="1"/>
      <c r="C84" s="1"/>
      <c r="D84" s="1"/>
      <c r="E84" s="1" t="s">
        <v>99</v>
      </c>
      <c r="F84" s="1"/>
      <c r="G84" s="2"/>
      <c r="H84" s="3"/>
      <c r="I84" s="2"/>
      <c r="J84" s="3"/>
      <c r="K84" s="2"/>
      <c r="L84" s="3"/>
      <c r="M84" s="2"/>
      <c r="N84" s="3"/>
      <c r="O84" s="2"/>
      <c r="P84" s="3"/>
      <c r="Q84" s="2"/>
      <c r="R84" s="3"/>
      <c r="S84" s="2"/>
      <c r="T84" s="3"/>
      <c r="U84" s="2"/>
      <c r="V84" s="3"/>
      <c r="W84" s="2"/>
      <c r="X84" s="3"/>
      <c r="Y84" s="2"/>
      <c r="Z84" s="3"/>
      <c r="AA84" s="2"/>
      <c r="AB84" s="3"/>
      <c r="AC84" s="2"/>
      <c r="AD84" s="3"/>
      <c r="AE84" s="2"/>
      <c r="AF84" s="3"/>
      <c r="AG84" s="2"/>
      <c r="AH84" s="3"/>
      <c r="AI84" s="2"/>
      <c r="AJ84" s="3"/>
      <c r="AK84" s="2"/>
      <c r="AL84" s="3"/>
      <c r="AM84" s="2"/>
    </row>
    <row r="85" spans="1:39" x14ac:dyDescent="0.25">
      <c r="A85" s="1"/>
      <c r="B85" s="1"/>
      <c r="C85" s="1"/>
      <c r="D85" s="1"/>
      <c r="E85" s="1"/>
      <c r="F85" s="1" t="s">
        <v>100</v>
      </c>
      <c r="G85" s="2">
        <v>4145.8100000000004</v>
      </c>
      <c r="H85" s="3"/>
      <c r="I85" s="2">
        <v>4409.5</v>
      </c>
      <c r="J85" s="3"/>
      <c r="K85" s="2">
        <v>4328.47</v>
      </c>
      <c r="L85" s="3"/>
      <c r="M85" s="2">
        <v>3568.82</v>
      </c>
      <c r="N85" s="3"/>
      <c r="O85" s="2">
        <v>4963.2299999999996</v>
      </c>
      <c r="P85" s="3"/>
      <c r="Q85" s="2">
        <v>2983.82</v>
      </c>
      <c r="R85" s="3"/>
      <c r="S85" s="2">
        <v>2459.86</v>
      </c>
      <c r="T85" s="3"/>
      <c r="U85" s="2">
        <v>1775.71</v>
      </c>
      <c r="V85" s="3"/>
      <c r="W85" s="2">
        <v>2414.86</v>
      </c>
      <c r="X85" s="3"/>
      <c r="Y85" s="2">
        <v>2277.14</v>
      </c>
      <c r="Z85" s="3"/>
      <c r="AA85" s="2">
        <v>2224</v>
      </c>
      <c r="AB85" s="3"/>
      <c r="AC85" s="2">
        <v>2300.5700000000002</v>
      </c>
      <c r="AD85" s="3"/>
      <c r="AE85" s="2">
        <v>2666.86</v>
      </c>
      <c r="AF85" s="3"/>
      <c r="AG85" s="2">
        <v>2510.29</v>
      </c>
      <c r="AH85" s="3"/>
      <c r="AI85" s="2">
        <v>2680.57</v>
      </c>
      <c r="AJ85" s="3"/>
      <c r="AK85" s="2">
        <v>3378.33</v>
      </c>
      <c r="AL85" s="3"/>
      <c r="AM85" s="2">
        <f>ROUND(SUM(G85:AK85),5)</f>
        <v>49087.839999999997</v>
      </c>
    </row>
    <row r="86" spans="1:39" x14ac:dyDescent="0.25">
      <c r="A86" s="1"/>
      <c r="B86" s="1"/>
      <c r="C86" s="1"/>
      <c r="D86" s="1"/>
      <c r="E86" s="1"/>
      <c r="F86" s="1" t="s">
        <v>101</v>
      </c>
      <c r="G86" s="2">
        <v>0</v>
      </c>
      <c r="H86" s="3"/>
      <c r="I86" s="2">
        <v>0</v>
      </c>
      <c r="J86" s="3"/>
      <c r="K86" s="2">
        <v>0</v>
      </c>
      <c r="L86" s="3"/>
      <c r="M86" s="2">
        <v>0</v>
      </c>
      <c r="N86" s="3"/>
      <c r="O86" s="2">
        <v>0</v>
      </c>
      <c r="P86" s="3"/>
      <c r="Q86" s="2">
        <v>0</v>
      </c>
      <c r="R86" s="3"/>
      <c r="S86" s="2">
        <v>0</v>
      </c>
      <c r="T86" s="3"/>
      <c r="U86" s="2">
        <v>870.75</v>
      </c>
      <c r="V86" s="3"/>
      <c r="W86" s="2">
        <v>2909.25</v>
      </c>
      <c r="X86" s="3"/>
      <c r="Y86" s="2">
        <v>3108.53</v>
      </c>
      <c r="Z86" s="3"/>
      <c r="AA86" s="2">
        <v>2948.21</v>
      </c>
      <c r="AB86" s="3"/>
      <c r="AC86" s="2">
        <v>2127.86</v>
      </c>
      <c r="AD86" s="3"/>
      <c r="AE86" s="2">
        <v>0</v>
      </c>
      <c r="AF86" s="3"/>
      <c r="AG86" s="2">
        <v>0</v>
      </c>
      <c r="AH86" s="3"/>
      <c r="AI86" s="2">
        <v>5853.84</v>
      </c>
      <c r="AJ86" s="3"/>
      <c r="AK86" s="2">
        <v>3141.54</v>
      </c>
      <c r="AL86" s="3"/>
      <c r="AM86" s="2">
        <f>ROUND(SUM(G86:AK86),5)</f>
        <v>20959.98</v>
      </c>
    </row>
    <row r="87" spans="1:39" x14ac:dyDescent="0.25">
      <c r="A87" s="1"/>
      <c r="B87" s="1"/>
      <c r="C87" s="1"/>
      <c r="D87" s="1"/>
      <c r="E87" s="1"/>
      <c r="F87" s="1" t="s">
        <v>102</v>
      </c>
      <c r="G87" s="2">
        <v>0</v>
      </c>
      <c r="H87" s="3"/>
      <c r="I87" s="2">
        <v>0</v>
      </c>
      <c r="J87" s="3"/>
      <c r="K87" s="2">
        <v>296.11</v>
      </c>
      <c r="L87" s="3"/>
      <c r="M87" s="2">
        <v>549.97</v>
      </c>
      <c r="N87" s="3"/>
      <c r="O87" s="2">
        <v>0</v>
      </c>
      <c r="P87" s="3"/>
      <c r="Q87" s="2">
        <v>342.68</v>
      </c>
      <c r="R87" s="3"/>
      <c r="S87" s="2">
        <v>300</v>
      </c>
      <c r="T87" s="3"/>
      <c r="U87" s="2">
        <v>336.93</v>
      </c>
      <c r="V87" s="3"/>
      <c r="W87" s="2">
        <v>0</v>
      </c>
      <c r="X87" s="3"/>
      <c r="Y87" s="2">
        <v>300</v>
      </c>
      <c r="Z87" s="3"/>
      <c r="AA87" s="2">
        <v>300</v>
      </c>
      <c r="AB87" s="3"/>
      <c r="AC87" s="2">
        <v>309.49</v>
      </c>
      <c r="AD87" s="3"/>
      <c r="AE87" s="2">
        <v>114.27</v>
      </c>
      <c r="AF87" s="3"/>
      <c r="AG87" s="2">
        <v>300</v>
      </c>
      <c r="AH87" s="3"/>
      <c r="AI87" s="2">
        <v>0</v>
      </c>
      <c r="AJ87" s="3"/>
      <c r="AK87" s="2">
        <v>0</v>
      </c>
      <c r="AL87" s="3"/>
      <c r="AM87" s="2">
        <f>ROUND(SUM(G87:AK87),5)</f>
        <v>3149.45</v>
      </c>
    </row>
    <row r="88" spans="1:39" x14ac:dyDescent="0.25">
      <c r="A88" s="1"/>
      <c r="B88" s="1"/>
      <c r="C88" s="1"/>
      <c r="D88" s="1"/>
      <c r="E88" s="1"/>
      <c r="F88" s="1" t="s">
        <v>103</v>
      </c>
      <c r="G88" s="2">
        <v>0</v>
      </c>
      <c r="H88" s="3"/>
      <c r="I88" s="2">
        <v>0</v>
      </c>
      <c r="J88" s="3"/>
      <c r="K88" s="2">
        <v>0</v>
      </c>
      <c r="L88" s="3"/>
      <c r="M88" s="2">
        <v>0</v>
      </c>
      <c r="N88" s="3"/>
      <c r="O88" s="2">
        <v>455</v>
      </c>
      <c r="P88" s="3"/>
      <c r="Q88" s="2">
        <v>385</v>
      </c>
      <c r="R88" s="3"/>
      <c r="S88" s="2">
        <v>0</v>
      </c>
      <c r="T88" s="3"/>
      <c r="U88" s="2">
        <v>0</v>
      </c>
      <c r="V88" s="3"/>
      <c r="W88" s="2">
        <v>455</v>
      </c>
      <c r="X88" s="3"/>
      <c r="Y88" s="2">
        <v>770</v>
      </c>
      <c r="Z88" s="3"/>
      <c r="AA88" s="2">
        <v>0</v>
      </c>
      <c r="AB88" s="3"/>
      <c r="AC88" s="2">
        <v>0</v>
      </c>
      <c r="AD88" s="3"/>
      <c r="AE88" s="2">
        <v>0</v>
      </c>
      <c r="AF88" s="3"/>
      <c r="AG88" s="2">
        <v>0</v>
      </c>
      <c r="AH88" s="3"/>
      <c r="AI88" s="2">
        <v>490</v>
      </c>
      <c r="AJ88" s="3"/>
      <c r="AK88" s="2">
        <v>0</v>
      </c>
      <c r="AL88" s="3"/>
      <c r="AM88" s="2">
        <f>ROUND(SUM(G88:AK88),5)</f>
        <v>2555</v>
      </c>
    </row>
    <row r="89" spans="1:39" x14ac:dyDescent="0.25">
      <c r="A89" s="1"/>
      <c r="B89" s="1"/>
      <c r="C89" s="1"/>
      <c r="D89" s="1"/>
      <c r="E89" s="1"/>
      <c r="F89" s="1" t="s">
        <v>104</v>
      </c>
      <c r="G89" s="2">
        <v>2878.5</v>
      </c>
      <c r="H89" s="3"/>
      <c r="I89" s="2">
        <v>2803.86</v>
      </c>
      <c r="J89" s="3"/>
      <c r="K89" s="2">
        <v>2705.12</v>
      </c>
      <c r="L89" s="3"/>
      <c r="M89" s="2">
        <v>2313.59</v>
      </c>
      <c r="N89" s="3"/>
      <c r="O89" s="2">
        <v>3257.22</v>
      </c>
      <c r="P89" s="3"/>
      <c r="Q89" s="2">
        <v>3064.35</v>
      </c>
      <c r="R89" s="3"/>
      <c r="S89" s="2">
        <v>2659.36</v>
      </c>
      <c r="T89" s="3"/>
      <c r="U89" s="2">
        <v>2379.75</v>
      </c>
      <c r="V89" s="3"/>
      <c r="W89" s="2">
        <v>1064</v>
      </c>
      <c r="X89" s="3"/>
      <c r="Y89" s="2">
        <v>1478.6</v>
      </c>
      <c r="Z89" s="3"/>
      <c r="AA89" s="2">
        <v>3133.2</v>
      </c>
      <c r="AB89" s="3"/>
      <c r="AC89" s="2">
        <v>3094.41</v>
      </c>
      <c r="AD89" s="3"/>
      <c r="AE89" s="2">
        <v>3067.69</v>
      </c>
      <c r="AF89" s="3"/>
      <c r="AG89" s="2">
        <v>2655.86</v>
      </c>
      <c r="AH89" s="3"/>
      <c r="AI89" s="2">
        <v>3243.75</v>
      </c>
      <c r="AJ89" s="3"/>
      <c r="AK89" s="2">
        <v>2967.38</v>
      </c>
      <c r="AL89" s="3"/>
      <c r="AM89" s="2">
        <f>ROUND(SUM(G89:AK89),5)</f>
        <v>42766.64</v>
      </c>
    </row>
    <row r="90" spans="1:39" ht="15.75" thickBot="1" x14ac:dyDescent="0.3">
      <c r="A90" s="1"/>
      <c r="B90" s="1"/>
      <c r="C90" s="1"/>
      <c r="D90" s="1"/>
      <c r="E90" s="1"/>
      <c r="F90" s="1" t="s">
        <v>105</v>
      </c>
      <c r="G90" s="6">
        <v>0</v>
      </c>
      <c r="H90" s="3"/>
      <c r="I90" s="6">
        <v>0</v>
      </c>
      <c r="J90" s="3"/>
      <c r="K90" s="6">
        <v>0</v>
      </c>
      <c r="L90" s="3"/>
      <c r="M90" s="6">
        <v>0</v>
      </c>
      <c r="N90" s="3"/>
      <c r="O90" s="6">
        <v>437.5</v>
      </c>
      <c r="P90" s="3"/>
      <c r="Q90" s="6">
        <v>0</v>
      </c>
      <c r="R90" s="3"/>
      <c r="S90" s="6">
        <v>0</v>
      </c>
      <c r="T90" s="3"/>
      <c r="U90" s="6">
        <v>0</v>
      </c>
      <c r="V90" s="3"/>
      <c r="W90" s="6">
        <v>0</v>
      </c>
      <c r="X90" s="3"/>
      <c r="Y90" s="6">
        <v>0</v>
      </c>
      <c r="Z90" s="3"/>
      <c r="AA90" s="6">
        <v>0</v>
      </c>
      <c r="AB90" s="3"/>
      <c r="AC90" s="6">
        <v>210</v>
      </c>
      <c r="AD90" s="3"/>
      <c r="AE90" s="6">
        <v>0</v>
      </c>
      <c r="AF90" s="3"/>
      <c r="AG90" s="6">
        <v>0</v>
      </c>
      <c r="AH90" s="3"/>
      <c r="AI90" s="6">
        <v>0</v>
      </c>
      <c r="AJ90" s="3"/>
      <c r="AK90" s="6">
        <v>0</v>
      </c>
      <c r="AL90" s="3"/>
      <c r="AM90" s="6">
        <f>ROUND(SUM(G90:AK90),5)</f>
        <v>647.5</v>
      </c>
    </row>
    <row r="91" spans="1:39" x14ac:dyDescent="0.25">
      <c r="A91" s="1"/>
      <c r="B91" s="1"/>
      <c r="C91" s="1"/>
      <c r="D91" s="1"/>
      <c r="E91" s="1" t="s">
        <v>106</v>
      </c>
      <c r="F91" s="1"/>
      <c r="G91" s="2">
        <f>ROUND(SUM(G84:G90),5)</f>
        <v>7024.31</v>
      </c>
      <c r="H91" s="3"/>
      <c r="I91" s="2">
        <f>ROUND(SUM(I84:I90),5)</f>
        <v>7213.36</v>
      </c>
      <c r="J91" s="3"/>
      <c r="K91" s="2">
        <f>ROUND(SUM(K84:K90),5)</f>
        <v>7329.7</v>
      </c>
      <c r="L91" s="3"/>
      <c r="M91" s="2">
        <f>ROUND(SUM(M84:M90),5)</f>
        <v>6432.38</v>
      </c>
      <c r="N91" s="3"/>
      <c r="O91" s="2">
        <f>ROUND(SUM(O84:O90),5)</f>
        <v>9112.9500000000007</v>
      </c>
      <c r="P91" s="3"/>
      <c r="Q91" s="2">
        <f>ROUND(SUM(Q84:Q90),5)</f>
        <v>6775.85</v>
      </c>
      <c r="R91" s="3"/>
      <c r="S91" s="2">
        <f>ROUND(SUM(S84:S90),5)</f>
        <v>5419.22</v>
      </c>
      <c r="T91" s="3"/>
      <c r="U91" s="2">
        <f>ROUND(SUM(U84:U90),5)</f>
        <v>5363.14</v>
      </c>
      <c r="V91" s="3"/>
      <c r="W91" s="2">
        <f>ROUND(SUM(W84:W90),5)</f>
        <v>6843.11</v>
      </c>
      <c r="X91" s="3"/>
      <c r="Y91" s="2">
        <f>ROUND(SUM(Y84:Y90),5)</f>
        <v>7934.27</v>
      </c>
      <c r="Z91" s="3"/>
      <c r="AA91" s="2">
        <f>ROUND(SUM(AA84:AA90),5)</f>
        <v>8605.41</v>
      </c>
      <c r="AB91" s="3"/>
      <c r="AC91" s="2">
        <f>ROUND(SUM(AC84:AC90),5)</f>
        <v>8042.33</v>
      </c>
      <c r="AD91" s="3"/>
      <c r="AE91" s="2">
        <f>ROUND(SUM(AE84:AE90),5)</f>
        <v>5848.82</v>
      </c>
      <c r="AF91" s="3"/>
      <c r="AG91" s="2">
        <f>ROUND(SUM(AG84:AG90),5)</f>
        <v>5466.15</v>
      </c>
      <c r="AH91" s="3"/>
      <c r="AI91" s="2">
        <f>ROUND(SUM(AI84:AI90),5)</f>
        <v>12268.16</v>
      </c>
      <c r="AJ91" s="3"/>
      <c r="AK91" s="2">
        <f>ROUND(SUM(AK84:AK90),5)</f>
        <v>9487.25</v>
      </c>
      <c r="AL91" s="3"/>
      <c r="AM91" s="2">
        <f>ROUND(SUM(G91:AK91),5)</f>
        <v>119166.41</v>
      </c>
    </row>
    <row r="92" spans="1:39" x14ac:dyDescent="0.25">
      <c r="A92" s="1"/>
      <c r="B92" s="1"/>
      <c r="C92" s="1"/>
      <c r="D92" s="1"/>
      <c r="E92" s="1" t="s">
        <v>107</v>
      </c>
      <c r="F92" s="1"/>
      <c r="G92" s="2"/>
      <c r="H92" s="3"/>
      <c r="I92" s="2"/>
      <c r="J92" s="3"/>
      <c r="K92" s="2"/>
      <c r="L92" s="3"/>
      <c r="M92" s="2"/>
      <c r="N92" s="3"/>
      <c r="O92" s="2"/>
      <c r="P92" s="3"/>
      <c r="Q92" s="2"/>
      <c r="R92" s="3"/>
      <c r="S92" s="2"/>
      <c r="T92" s="3"/>
      <c r="U92" s="2"/>
      <c r="V92" s="3"/>
      <c r="W92" s="2"/>
      <c r="X92" s="3"/>
      <c r="Y92" s="2"/>
      <c r="Z92" s="3"/>
      <c r="AA92" s="2"/>
      <c r="AB92" s="3"/>
      <c r="AC92" s="2"/>
      <c r="AD92" s="3"/>
      <c r="AE92" s="2"/>
      <c r="AF92" s="3"/>
      <c r="AG92" s="2"/>
      <c r="AH92" s="3"/>
      <c r="AI92" s="2"/>
      <c r="AJ92" s="3"/>
      <c r="AK92" s="2"/>
      <c r="AL92" s="3"/>
      <c r="AM92" s="2"/>
    </row>
    <row r="93" spans="1:39" x14ac:dyDescent="0.25">
      <c r="A93" s="1"/>
      <c r="B93" s="1"/>
      <c r="C93" s="1"/>
      <c r="D93" s="1"/>
      <c r="E93" s="1"/>
      <c r="F93" s="1" t="s">
        <v>108</v>
      </c>
      <c r="G93" s="2">
        <v>0</v>
      </c>
      <c r="H93" s="3"/>
      <c r="I93" s="2">
        <v>0</v>
      </c>
      <c r="J93" s="3"/>
      <c r="K93" s="2">
        <v>0</v>
      </c>
      <c r="L93" s="3"/>
      <c r="M93" s="2">
        <v>0</v>
      </c>
      <c r="N93" s="3"/>
      <c r="O93" s="2">
        <v>13.93</v>
      </c>
      <c r="P93" s="3"/>
      <c r="Q93" s="2">
        <v>83.57</v>
      </c>
      <c r="R93" s="3"/>
      <c r="S93" s="2">
        <v>0</v>
      </c>
      <c r="T93" s="3"/>
      <c r="U93" s="2">
        <v>0</v>
      </c>
      <c r="V93" s="3"/>
      <c r="W93" s="2">
        <v>0</v>
      </c>
      <c r="X93" s="3"/>
      <c r="Y93" s="2">
        <v>97.5</v>
      </c>
      <c r="Z93" s="3"/>
      <c r="AA93" s="2">
        <v>0</v>
      </c>
      <c r="AB93" s="3"/>
      <c r="AC93" s="2">
        <v>0</v>
      </c>
      <c r="AD93" s="3"/>
      <c r="AE93" s="2">
        <v>0</v>
      </c>
      <c r="AF93" s="3"/>
      <c r="AG93" s="2">
        <v>0</v>
      </c>
      <c r="AH93" s="3"/>
      <c r="AI93" s="2">
        <v>0</v>
      </c>
      <c r="AJ93" s="3"/>
      <c r="AK93" s="2">
        <v>0</v>
      </c>
      <c r="AL93" s="3"/>
      <c r="AM93" s="2">
        <f>ROUND(SUM(G93:AK93),5)</f>
        <v>195</v>
      </c>
    </row>
    <row r="94" spans="1:39" x14ac:dyDescent="0.25">
      <c r="A94" s="1"/>
      <c r="B94" s="1"/>
      <c r="C94" s="1"/>
      <c r="D94" s="1"/>
      <c r="E94" s="1"/>
      <c r="F94" s="1" t="s">
        <v>109</v>
      </c>
      <c r="G94" s="2">
        <v>0</v>
      </c>
      <c r="H94" s="3"/>
      <c r="I94" s="2">
        <v>0</v>
      </c>
      <c r="J94" s="3"/>
      <c r="K94" s="2">
        <v>0</v>
      </c>
      <c r="L94" s="3"/>
      <c r="M94" s="2">
        <v>0</v>
      </c>
      <c r="N94" s="3"/>
      <c r="O94" s="2">
        <v>0</v>
      </c>
      <c r="P94" s="3"/>
      <c r="Q94" s="2">
        <v>0</v>
      </c>
      <c r="R94" s="3"/>
      <c r="S94" s="2">
        <v>383.55</v>
      </c>
      <c r="T94" s="3"/>
      <c r="U94" s="2">
        <v>0</v>
      </c>
      <c r="V94" s="3"/>
      <c r="W94" s="2">
        <v>0</v>
      </c>
      <c r="X94" s="3"/>
      <c r="Y94" s="2">
        <v>0</v>
      </c>
      <c r="Z94" s="3"/>
      <c r="AA94" s="2">
        <v>433.79</v>
      </c>
      <c r="AB94" s="3"/>
      <c r="AC94" s="2">
        <v>540.69000000000005</v>
      </c>
      <c r="AD94" s="3"/>
      <c r="AE94" s="2">
        <v>0</v>
      </c>
      <c r="AF94" s="3"/>
      <c r="AG94" s="2">
        <v>0</v>
      </c>
      <c r="AH94" s="3"/>
      <c r="AI94" s="2">
        <v>0</v>
      </c>
      <c r="AJ94" s="3"/>
      <c r="AK94" s="2">
        <v>0</v>
      </c>
      <c r="AL94" s="3"/>
      <c r="AM94" s="2">
        <f>ROUND(SUM(G94:AK94),5)</f>
        <v>1358.03</v>
      </c>
    </row>
    <row r="95" spans="1:39" x14ac:dyDescent="0.25">
      <c r="A95" s="1"/>
      <c r="B95" s="1"/>
      <c r="C95" s="1"/>
      <c r="D95" s="1"/>
      <c r="E95" s="1"/>
      <c r="F95" s="1" t="s">
        <v>110</v>
      </c>
      <c r="G95" s="2">
        <v>0</v>
      </c>
      <c r="H95" s="3"/>
      <c r="I95" s="2">
        <v>1798.01</v>
      </c>
      <c r="J95" s="3"/>
      <c r="K95" s="2">
        <v>1589.52</v>
      </c>
      <c r="L95" s="3"/>
      <c r="M95" s="2">
        <v>175.84</v>
      </c>
      <c r="N95" s="3"/>
      <c r="O95" s="2">
        <v>448.83</v>
      </c>
      <c r="P95" s="3"/>
      <c r="Q95" s="2">
        <v>0</v>
      </c>
      <c r="R95" s="3"/>
      <c r="S95" s="2">
        <v>0</v>
      </c>
      <c r="T95" s="3"/>
      <c r="U95" s="2">
        <v>0</v>
      </c>
      <c r="V95" s="3"/>
      <c r="W95" s="2">
        <v>386.3</v>
      </c>
      <c r="X95" s="3"/>
      <c r="Y95" s="2">
        <v>98.18</v>
      </c>
      <c r="Z95" s="3"/>
      <c r="AA95" s="2">
        <v>0</v>
      </c>
      <c r="AB95" s="3"/>
      <c r="AC95" s="2">
        <v>21.45</v>
      </c>
      <c r="AD95" s="3"/>
      <c r="AE95" s="2">
        <v>0</v>
      </c>
      <c r="AF95" s="3"/>
      <c r="AG95" s="2">
        <v>225.12</v>
      </c>
      <c r="AH95" s="3"/>
      <c r="AI95" s="2">
        <v>0</v>
      </c>
      <c r="AJ95" s="3"/>
      <c r="AK95" s="2">
        <v>51.53</v>
      </c>
      <c r="AL95" s="3"/>
      <c r="AM95" s="2">
        <f>ROUND(SUM(G95:AK95),5)</f>
        <v>4794.78</v>
      </c>
    </row>
    <row r="96" spans="1:39" x14ac:dyDescent="0.25">
      <c r="A96" s="1"/>
      <c r="B96" s="1"/>
      <c r="C96" s="1"/>
      <c r="D96" s="1"/>
      <c r="E96" s="1"/>
      <c r="F96" s="1" t="s">
        <v>111</v>
      </c>
      <c r="G96" s="2">
        <v>0</v>
      </c>
      <c r="H96" s="3"/>
      <c r="I96" s="2">
        <v>0</v>
      </c>
      <c r="J96" s="3"/>
      <c r="K96" s="2">
        <v>1355.89</v>
      </c>
      <c r="L96" s="3"/>
      <c r="M96" s="2">
        <v>389.76</v>
      </c>
      <c r="N96" s="3"/>
      <c r="O96" s="2">
        <v>188.6</v>
      </c>
      <c r="P96" s="3"/>
      <c r="Q96" s="2">
        <v>317.52</v>
      </c>
      <c r="R96" s="3"/>
      <c r="S96" s="2">
        <v>462.69</v>
      </c>
      <c r="T96" s="3"/>
      <c r="U96" s="2">
        <v>150.88</v>
      </c>
      <c r="V96" s="3"/>
      <c r="W96" s="2">
        <v>315.89999999999998</v>
      </c>
      <c r="X96" s="3"/>
      <c r="Y96" s="2">
        <v>378.17</v>
      </c>
      <c r="Z96" s="3"/>
      <c r="AA96" s="2">
        <v>241.38</v>
      </c>
      <c r="AB96" s="3"/>
      <c r="AC96" s="2">
        <v>0</v>
      </c>
      <c r="AD96" s="3"/>
      <c r="AE96" s="2">
        <v>0</v>
      </c>
      <c r="AF96" s="3"/>
      <c r="AG96" s="2">
        <v>128.74</v>
      </c>
      <c r="AH96" s="3"/>
      <c r="AI96" s="2">
        <v>249.43</v>
      </c>
      <c r="AJ96" s="3"/>
      <c r="AK96" s="2">
        <v>225.29</v>
      </c>
      <c r="AL96" s="3"/>
      <c r="AM96" s="2">
        <f>ROUND(SUM(G96:AK96),5)</f>
        <v>4404.25</v>
      </c>
    </row>
    <row r="97" spans="1:39" x14ac:dyDescent="0.25">
      <c r="A97" s="1"/>
      <c r="B97" s="1"/>
      <c r="C97" s="1"/>
      <c r="D97" s="1"/>
      <c r="E97" s="1"/>
      <c r="F97" s="1" t="s">
        <v>112</v>
      </c>
      <c r="G97" s="2">
        <v>0</v>
      </c>
      <c r="H97" s="3"/>
      <c r="I97" s="2">
        <v>959.9</v>
      </c>
      <c r="J97" s="3"/>
      <c r="K97" s="2">
        <v>1378.73</v>
      </c>
      <c r="L97" s="3"/>
      <c r="M97" s="2">
        <v>106.21</v>
      </c>
      <c r="N97" s="3"/>
      <c r="O97" s="2">
        <v>399.94</v>
      </c>
      <c r="P97" s="3"/>
      <c r="Q97" s="2">
        <v>389.19</v>
      </c>
      <c r="R97" s="3"/>
      <c r="S97" s="2">
        <v>749.62</v>
      </c>
      <c r="T97" s="3"/>
      <c r="U97" s="2">
        <v>793.58</v>
      </c>
      <c r="V97" s="3"/>
      <c r="W97" s="2">
        <v>974.39</v>
      </c>
      <c r="X97" s="3"/>
      <c r="Y97" s="2">
        <v>1344.22</v>
      </c>
      <c r="Z97" s="3"/>
      <c r="AA97" s="2">
        <v>607.82000000000005</v>
      </c>
      <c r="AB97" s="3"/>
      <c r="AC97" s="2">
        <v>576.99</v>
      </c>
      <c r="AD97" s="3"/>
      <c r="AE97" s="2">
        <v>508.85</v>
      </c>
      <c r="AF97" s="3"/>
      <c r="AG97" s="2">
        <v>359.62</v>
      </c>
      <c r="AH97" s="3"/>
      <c r="AI97" s="2">
        <v>1277.74</v>
      </c>
      <c r="AJ97" s="3"/>
      <c r="AK97" s="2">
        <v>563.73</v>
      </c>
      <c r="AL97" s="3"/>
      <c r="AM97" s="2">
        <f>ROUND(SUM(G97:AK97),5)</f>
        <v>10990.53</v>
      </c>
    </row>
    <row r="98" spans="1:39" ht="15.75" thickBot="1" x14ac:dyDescent="0.3">
      <c r="A98" s="1"/>
      <c r="B98" s="1"/>
      <c r="C98" s="1"/>
      <c r="D98" s="1"/>
      <c r="E98" s="1"/>
      <c r="F98" s="1" t="s">
        <v>113</v>
      </c>
      <c r="G98" s="6">
        <v>0</v>
      </c>
      <c r="H98" s="3"/>
      <c r="I98" s="6">
        <v>0</v>
      </c>
      <c r="J98" s="3"/>
      <c r="K98" s="6">
        <v>0</v>
      </c>
      <c r="L98" s="3"/>
      <c r="M98" s="6">
        <v>0</v>
      </c>
      <c r="N98" s="3"/>
      <c r="O98" s="6">
        <v>0</v>
      </c>
      <c r="P98" s="3"/>
      <c r="Q98" s="6">
        <v>0</v>
      </c>
      <c r="R98" s="3"/>
      <c r="S98" s="6">
        <v>0</v>
      </c>
      <c r="T98" s="3"/>
      <c r="U98" s="6">
        <v>0</v>
      </c>
      <c r="V98" s="3"/>
      <c r="W98" s="6">
        <v>0</v>
      </c>
      <c r="X98" s="3"/>
      <c r="Y98" s="6">
        <v>0</v>
      </c>
      <c r="Z98" s="3"/>
      <c r="AA98" s="6">
        <v>0</v>
      </c>
      <c r="AB98" s="3"/>
      <c r="AC98" s="6">
        <v>0</v>
      </c>
      <c r="AD98" s="3"/>
      <c r="AE98" s="6">
        <v>165</v>
      </c>
      <c r="AF98" s="3"/>
      <c r="AG98" s="6">
        <v>0</v>
      </c>
      <c r="AH98" s="3"/>
      <c r="AI98" s="6">
        <v>0</v>
      </c>
      <c r="AJ98" s="3"/>
      <c r="AK98" s="6">
        <v>0</v>
      </c>
      <c r="AL98" s="3"/>
      <c r="AM98" s="6">
        <f>ROUND(SUM(G98:AK98),5)</f>
        <v>165</v>
      </c>
    </row>
    <row r="99" spans="1:39" x14ac:dyDescent="0.25">
      <c r="A99" s="1"/>
      <c r="B99" s="1"/>
      <c r="C99" s="1"/>
      <c r="D99" s="1"/>
      <c r="E99" s="1" t="s">
        <v>114</v>
      </c>
      <c r="F99" s="1"/>
      <c r="G99" s="2">
        <f>ROUND(SUM(G92:G98),5)</f>
        <v>0</v>
      </c>
      <c r="H99" s="3"/>
      <c r="I99" s="2">
        <f>ROUND(SUM(I92:I98),5)</f>
        <v>2757.91</v>
      </c>
      <c r="J99" s="3"/>
      <c r="K99" s="2">
        <f>ROUND(SUM(K92:K98),5)</f>
        <v>4324.1400000000003</v>
      </c>
      <c r="L99" s="3"/>
      <c r="M99" s="2">
        <f>ROUND(SUM(M92:M98),5)</f>
        <v>671.81</v>
      </c>
      <c r="N99" s="3"/>
      <c r="O99" s="2">
        <f>ROUND(SUM(O92:O98),5)</f>
        <v>1051.3</v>
      </c>
      <c r="P99" s="3"/>
      <c r="Q99" s="2">
        <f>ROUND(SUM(Q92:Q98),5)</f>
        <v>790.28</v>
      </c>
      <c r="R99" s="3"/>
      <c r="S99" s="2">
        <f>ROUND(SUM(S92:S98),5)</f>
        <v>1595.86</v>
      </c>
      <c r="T99" s="3"/>
      <c r="U99" s="2">
        <f>ROUND(SUM(U92:U98),5)</f>
        <v>944.46</v>
      </c>
      <c r="V99" s="3"/>
      <c r="W99" s="2">
        <f>ROUND(SUM(W92:W98),5)</f>
        <v>1676.59</v>
      </c>
      <c r="X99" s="3"/>
      <c r="Y99" s="2">
        <f>ROUND(SUM(Y92:Y98),5)</f>
        <v>1918.07</v>
      </c>
      <c r="Z99" s="3"/>
      <c r="AA99" s="2">
        <f>ROUND(SUM(AA92:AA98),5)</f>
        <v>1282.99</v>
      </c>
      <c r="AB99" s="3"/>
      <c r="AC99" s="2">
        <f>ROUND(SUM(AC92:AC98),5)</f>
        <v>1139.1300000000001</v>
      </c>
      <c r="AD99" s="3"/>
      <c r="AE99" s="2">
        <f>ROUND(SUM(AE92:AE98),5)</f>
        <v>673.85</v>
      </c>
      <c r="AF99" s="3"/>
      <c r="AG99" s="2">
        <f>ROUND(SUM(AG92:AG98),5)</f>
        <v>713.48</v>
      </c>
      <c r="AH99" s="3"/>
      <c r="AI99" s="2">
        <f>ROUND(SUM(AI92:AI98),5)</f>
        <v>1527.17</v>
      </c>
      <c r="AJ99" s="3"/>
      <c r="AK99" s="2">
        <f>ROUND(SUM(AK92:AK98),5)</f>
        <v>840.55</v>
      </c>
      <c r="AL99" s="3"/>
      <c r="AM99" s="2">
        <f>ROUND(SUM(G99:AK99),5)</f>
        <v>21907.59</v>
      </c>
    </row>
    <row r="100" spans="1:39" x14ac:dyDescent="0.25">
      <c r="A100" s="1"/>
      <c r="B100" s="1"/>
      <c r="C100" s="1"/>
      <c r="D100" s="1"/>
      <c r="E100" s="1" t="s">
        <v>115</v>
      </c>
      <c r="F100" s="1"/>
      <c r="G100" s="2"/>
      <c r="H100" s="3"/>
      <c r="I100" s="2"/>
      <c r="J100" s="3"/>
      <c r="K100" s="2"/>
      <c r="L100" s="3"/>
      <c r="M100" s="2"/>
      <c r="N100" s="3"/>
      <c r="O100" s="2"/>
      <c r="P100" s="3"/>
      <c r="Q100" s="2"/>
      <c r="R100" s="3"/>
      <c r="S100" s="2"/>
      <c r="T100" s="3"/>
      <c r="U100" s="2"/>
      <c r="V100" s="3"/>
      <c r="W100" s="2"/>
      <c r="X100" s="3"/>
      <c r="Y100" s="2"/>
      <c r="Z100" s="3"/>
      <c r="AA100" s="2"/>
      <c r="AB100" s="3"/>
      <c r="AC100" s="2"/>
      <c r="AD100" s="3"/>
      <c r="AE100" s="2"/>
      <c r="AF100" s="3"/>
      <c r="AG100" s="2"/>
      <c r="AH100" s="3"/>
      <c r="AI100" s="2"/>
      <c r="AJ100" s="3"/>
      <c r="AK100" s="2"/>
      <c r="AL100" s="3"/>
      <c r="AM100" s="2"/>
    </row>
    <row r="101" spans="1:39" x14ac:dyDescent="0.25">
      <c r="A101" s="1"/>
      <c r="B101" s="1"/>
      <c r="C101" s="1"/>
      <c r="D101" s="1"/>
      <c r="E101" s="1"/>
      <c r="F101" s="1" t="s">
        <v>116</v>
      </c>
      <c r="G101" s="2">
        <v>5542.23</v>
      </c>
      <c r="H101" s="3"/>
      <c r="I101" s="2">
        <v>4860.84</v>
      </c>
      <c r="J101" s="3"/>
      <c r="K101" s="2">
        <v>4417.1899999999996</v>
      </c>
      <c r="L101" s="3"/>
      <c r="M101" s="2">
        <v>3293.43</v>
      </c>
      <c r="N101" s="3"/>
      <c r="O101" s="2">
        <v>3668.19</v>
      </c>
      <c r="P101" s="3"/>
      <c r="Q101" s="2">
        <v>3546</v>
      </c>
      <c r="R101" s="3"/>
      <c r="S101" s="2">
        <v>3507</v>
      </c>
      <c r="T101" s="3"/>
      <c r="U101" s="2">
        <v>3230.62</v>
      </c>
      <c r="V101" s="3"/>
      <c r="W101" s="2">
        <v>3448.88</v>
      </c>
      <c r="X101" s="3"/>
      <c r="Y101" s="2">
        <v>3326.62</v>
      </c>
      <c r="Z101" s="3"/>
      <c r="AA101" s="2">
        <v>3343.88</v>
      </c>
      <c r="AB101" s="3"/>
      <c r="AC101" s="2">
        <v>3390.75</v>
      </c>
      <c r="AD101" s="3"/>
      <c r="AE101" s="2">
        <v>3191.25</v>
      </c>
      <c r="AF101" s="3"/>
      <c r="AG101" s="2">
        <v>4954.6899999999996</v>
      </c>
      <c r="AH101" s="3"/>
      <c r="AI101" s="2">
        <v>1331.81</v>
      </c>
      <c r="AJ101" s="3"/>
      <c r="AK101" s="2">
        <v>3260.25</v>
      </c>
      <c r="AL101" s="3"/>
      <c r="AM101" s="2">
        <f>ROUND(SUM(G101:AK101),5)</f>
        <v>58313.63</v>
      </c>
    </row>
    <row r="102" spans="1:39" x14ac:dyDescent="0.25">
      <c r="A102" s="1"/>
      <c r="B102" s="1"/>
      <c r="C102" s="1"/>
      <c r="D102" s="1"/>
      <c r="E102" s="1"/>
      <c r="F102" s="1" t="s">
        <v>117</v>
      </c>
      <c r="G102" s="2">
        <v>9100</v>
      </c>
      <c r="H102" s="3"/>
      <c r="I102" s="2">
        <v>9100</v>
      </c>
      <c r="J102" s="3"/>
      <c r="K102" s="2">
        <v>9100</v>
      </c>
      <c r="L102" s="3"/>
      <c r="M102" s="2">
        <v>9100</v>
      </c>
      <c r="N102" s="3"/>
      <c r="O102" s="2">
        <v>9100</v>
      </c>
      <c r="P102" s="3"/>
      <c r="Q102" s="2">
        <v>9100</v>
      </c>
      <c r="R102" s="3"/>
      <c r="S102" s="2">
        <v>9100</v>
      </c>
      <c r="T102" s="3"/>
      <c r="U102" s="2">
        <v>9100</v>
      </c>
      <c r="V102" s="3"/>
      <c r="W102" s="2">
        <v>9100</v>
      </c>
      <c r="X102" s="3"/>
      <c r="Y102" s="2">
        <v>7650</v>
      </c>
      <c r="Z102" s="3"/>
      <c r="AA102" s="2">
        <v>7650</v>
      </c>
      <c r="AB102" s="3"/>
      <c r="AC102" s="2">
        <v>7650</v>
      </c>
      <c r="AD102" s="3"/>
      <c r="AE102" s="2">
        <v>7650</v>
      </c>
      <c r="AF102" s="3"/>
      <c r="AG102" s="2">
        <v>7650</v>
      </c>
      <c r="AH102" s="3"/>
      <c r="AI102" s="2">
        <v>7650</v>
      </c>
      <c r="AJ102" s="3"/>
      <c r="AK102" s="2">
        <v>7650</v>
      </c>
      <c r="AL102" s="3"/>
      <c r="AM102" s="2">
        <f>ROUND(SUM(G102:AK102),5)</f>
        <v>135450</v>
      </c>
    </row>
    <row r="103" spans="1:39" x14ac:dyDescent="0.25">
      <c r="A103" s="1"/>
      <c r="B103" s="1"/>
      <c r="C103" s="1"/>
      <c r="D103" s="1"/>
      <c r="E103" s="1"/>
      <c r="F103" s="1" t="s">
        <v>118</v>
      </c>
      <c r="G103" s="2">
        <v>6533.64</v>
      </c>
      <c r="H103" s="3"/>
      <c r="I103" s="2">
        <v>9005.67</v>
      </c>
      <c r="J103" s="3"/>
      <c r="K103" s="2">
        <v>7348.87</v>
      </c>
      <c r="L103" s="3"/>
      <c r="M103" s="2">
        <v>6195.04</v>
      </c>
      <c r="N103" s="3"/>
      <c r="O103" s="2">
        <v>6813.17</v>
      </c>
      <c r="P103" s="3"/>
      <c r="Q103" s="2">
        <v>6593.38</v>
      </c>
      <c r="R103" s="3"/>
      <c r="S103" s="2">
        <v>6813.17</v>
      </c>
      <c r="T103" s="3"/>
      <c r="U103" s="2">
        <v>6593.38</v>
      </c>
      <c r="V103" s="3"/>
      <c r="W103" s="2">
        <v>6813.16</v>
      </c>
      <c r="X103" s="3"/>
      <c r="Y103" s="2">
        <v>6813.17</v>
      </c>
      <c r="Z103" s="3"/>
      <c r="AA103" s="2">
        <v>6593.39</v>
      </c>
      <c r="AB103" s="3"/>
      <c r="AC103" s="2">
        <v>8027.45</v>
      </c>
      <c r="AD103" s="3"/>
      <c r="AE103" s="2">
        <v>7164.8</v>
      </c>
      <c r="AF103" s="3"/>
      <c r="AG103" s="2">
        <v>5507.86</v>
      </c>
      <c r="AH103" s="3"/>
      <c r="AI103" s="2">
        <v>5755.85</v>
      </c>
      <c r="AJ103" s="3"/>
      <c r="AK103" s="2">
        <v>6153.83</v>
      </c>
      <c r="AL103" s="3"/>
      <c r="AM103" s="2">
        <f>ROUND(SUM(G103:AK103),5)</f>
        <v>108725.83</v>
      </c>
    </row>
    <row r="104" spans="1:39" x14ac:dyDescent="0.25">
      <c r="A104" s="1"/>
      <c r="B104" s="1"/>
      <c r="C104" s="1"/>
      <c r="D104" s="1"/>
      <c r="E104" s="1"/>
      <c r="F104" s="1" t="s">
        <v>119</v>
      </c>
      <c r="G104" s="2">
        <v>0</v>
      </c>
      <c r="H104" s="3"/>
      <c r="I104" s="2">
        <v>0</v>
      </c>
      <c r="J104" s="3"/>
      <c r="K104" s="2">
        <v>0</v>
      </c>
      <c r="L104" s="3"/>
      <c r="M104" s="2">
        <v>0</v>
      </c>
      <c r="N104" s="3"/>
      <c r="O104" s="2">
        <v>616.09</v>
      </c>
      <c r="P104" s="3"/>
      <c r="Q104" s="2">
        <v>2247.4299999999998</v>
      </c>
      <c r="R104" s="3"/>
      <c r="S104" s="2">
        <v>1563.64</v>
      </c>
      <c r="T104" s="3"/>
      <c r="U104" s="2">
        <v>426.67</v>
      </c>
      <c r="V104" s="3"/>
      <c r="W104" s="2">
        <v>4817.13</v>
      </c>
      <c r="X104" s="3"/>
      <c r="Y104" s="2">
        <v>308.81</v>
      </c>
      <c r="Z104" s="3"/>
      <c r="AA104" s="2">
        <v>1719.39</v>
      </c>
      <c r="AB104" s="3"/>
      <c r="AC104" s="2">
        <v>426.68</v>
      </c>
      <c r="AD104" s="3"/>
      <c r="AE104" s="2">
        <v>2507.12</v>
      </c>
      <c r="AF104" s="3"/>
      <c r="AG104" s="2">
        <v>384.01</v>
      </c>
      <c r="AH104" s="3"/>
      <c r="AI104" s="2">
        <v>405.34</v>
      </c>
      <c r="AJ104" s="3"/>
      <c r="AK104" s="2">
        <v>597.35</v>
      </c>
      <c r="AL104" s="3"/>
      <c r="AM104" s="2">
        <f>ROUND(SUM(G104:AK104),5)</f>
        <v>16019.66</v>
      </c>
    </row>
    <row r="105" spans="1:39" x14ac:dyDescent="0.25">
      <c r="A105" s="1"/>
      <c r="B105" s="1"/>
      <c r="C105" s="1"/>
      <c r="D105" s="1"/>
      <c r="E105" s="1"/>
      <c r="F105" s="1" t="s">
        <v>120</v>
      </c>
      <c r="G105" s="2">
        <v>2447</v>
      </c>
      <c r="H105" s="3"/>
      <c r="I105" s="2">
        <v>2447</v>
      </c>
      <c r="J105" s="3"/>
      <c r="K105" s="2">
        <v>2447</v>
      </c>
      <c r="L105" s="3"/>
      <c r="M105" s="2">
        <v>2447</v>
      </c>
      <c r="N105" s="3"/>
      <c r="O105" s="2">
        <v>2447</v>
      </c>
      <c r="P105" s="3"/>
      <c r="Q105" s="2">
        <v>2447</v>
      </c>
      <c r="R105" s="3"/>
      <c r="S105" s="2">
        <v>2857</v>
      </c>
      <c r="T105" s="3"/>
      <c r="U105" s="2">
        <v>2857</v>
      </c>
      <c r="V105" s="3"/>
      <c r="W105" s="2">
        <v>2857</v>
      </c>
      <c r="X105" s="3"/>
      <c r="Y105" s="2">
        <v>2857</v>
      </c>
      <c r="Z105" s="3"/>
      <c r="AA105" s="2">
        <v>2857</v>
      </c>
      <c r="AB105" s="3"/>
      <c r="AC105" s="2">
        <v>2857</v>
      </c>
      <c r="AD105" s="3"/>
      <c r="AE105" s="2">
        <v>2857</v>
      </c>
      <c r="AF105" s="3"/>
      <c r="AG105" s="2">
        <v>3330</v>
      </c>
      <c r="AH105" s="3"/>
      <c r="AI105" s="2">
        <v>3330</v>
      </c>
      <c r="AJ105" s="3"/>
      <c r="AK105" s="2">
        <v>3330</v>
      </c>
      <c r="AL105" s="3"/>
      <c r="AM105" s="2">
        <f>ROUND(SUM(G105:AK105),5)</f>
        <v>44671</v>
      </c>
    </row>
    <row r="106" spans="1:39" x14ac:dyDescent="0.25">
      <c r="A106" s="1"/>
      <c r="B106" s="1"/>
      <c r="C106" s="1"/>
      <c r="D106" s="1"/>
      <c r="E106" s="1"/>
      <c r="F106" s="1" t="s">
        <v>121</v>
      </c>
      <c r="G106" s="2">
        <v>1127</v>
      </c>
      <c r="H106" s="3"/>
      <c r="I106" s="2">
        <v>1127</v>
      </c>
      <c r="J106" s="3"/>
      <c r="K106" s="2">
        <v>1127</v>
      </c>
      <c r="L106" s="3"/>
      <c r="M106" s="2">
        <v>1127</v>
      </c>
      <c r="N106" s="3"/>
      <c r="O106" s="2">
        <v>1127</v>
      </c>
      <c r="P106" s="3"/>
      <c r="Q106" s="2">
        <v>1127</v>
      </c>
      <c r="R106" s="3"/>
      <c r="S106" s="2">
        <v>1352</v>
      </c>
      <c r="T106" s="3"/>
      <c r="U106" s="2">
        <v>1352</v>
      </c>
      <c r="V106" s="3"/>
      <c r="W106" s="2">
        <v>1352</v>
      </c>
      <c r="X106" s="3"/>
      <c r="Y106" s="2">
        <v>1352</v>
      </c>
      <c r="Z106" s="3"/>
      <c r="AA106" s="2">
        <v>1352</v>
      </c>
      <c r="AB106" s="3"/>
      <c r="AC106" s="2">
        <v>1352</v>
      </c>
      <c r="AD106" s="3"/>
      <c r="AE106" s="2">
        <v>1352</v>
      </c>
      <c r="AF106" s="3"/>
      <c r="AG106" s="2">
        <v>2640</v>
      </c>
      <c r="AH106" s="3"/>
      <c r="AI106" s="2">
        <v>2640</v>
      </c>
      <c r="AJ106" s="3"/>
      <c r="AK106" s="2">
        <v>2640</v>
      </c>
      <c r="AL106" s="3"/>
      <c r="AM106" s="2">
        <f>ROUND(SUM(G106:AK106),5)</f>
        <v>24146</v>
      </c>
    </row>
    <row r="107" spans="1:39" x14ac:dyDescent="0.25">
      <c r="A107" s="1"/>
      <c r="B107" s="1"/>
      <c r="C107" s="1"/>
      <c r="D107" s="1"/>
      <c r="E107" s="1"/>
      <c r="F107" s="1" t="s">
        <v>122</v>
      </c>
      <c r="G107" s="2">
        <v>0</v>
      </c>
      <c r="H107" s="3"/>
      <c r="I107" s="2">
        <v>0</v>
      </c>
      <c r="J107" s="3"/>
      <c r="K107" s="2">
        <v>11405</v>
      </c>
      <c r="L107" s="3"/>
      <c r="M107" s="2">
        <v>9101</v>
      </c>
      <c r="N107" s="3"/>
      <c r="O107" s="2">
        <v>10022</v>
      </c>
      <c r="P107" s="3"/>
      <c r="Q107" s="2">
        <v>11078</v>
      </c>
      <c r="R107" s="3"/>
      <c r="S107" s="2">
        <v>10368</v>
      </c>
      <c r="T107" s="3"/>
      <c r="U107" s="2">
        <v>9850</v>
      </c>
      <c r="V107" s="3"/>
      <c r="W107" s="2">
        <v>9101</v>
      </c>
      <c r="X107" s="3"/>
      <c r="Y107" s="2">
        <v>9101</v>
      </c>
      <c r="Z107" s="3"/>
      <c r="AA107" s="2">
        <v>9101</v>
      </c>
      <c r="AB107" s="3"/>
      <c r="AC107" s="2">
        <v>9101</v>
      </c>
      <c r="AD107" s="3"/>
      <c r="AE107" s="2">
        <v>9101</v>
      </c>
      <c r="AF107" s="3"/>
      <c r="AG107" s="2">
        <v>9101</v>
      </c>
      <c r="AH107" s="3"/>
      <c r="AI107" s="2">
        <v>9101</v>
      </c>
      <c r="AJ107" s="3"/>
      <c r="AK107" s="2">
        <v>9101</v>
      </c>
      <c r="AL107" s="3"/>
      <c r="AM107" s="2">
        <f>ROUND(SUM(G107:AK107),5)</f>
        <v>134632</v>
      </c>
    </row>
    <row r="108" spans="1:39" x14ac:dyDescent="0.25">
      <c r="A108" s="1"/>
      <c r="B108" s="1"/>
      <c r="C108" s="1"/>
      <c r="D108" s="1"/>
      <c r="E108" s="1"/>
      <c r="F108" s="1" t="s">
        <v>123</v>
      </c>
      <c r="G108" s="2">
        <v>6055.67</v>
      </c>
      <c r="H108" s="3"/>
      <c r="I108" s="2">
        <v>6227.06</v>
      </c>
      <c r="J108" s="3"/>
      <c r="K108" s="2">
        <v>7938.46</v>
      </c>
      <c r="L108" s="3"/>
      <c r="M108" s="2">
        <v>6435.31</v>
      </c>
      <c r="N108" s="3"/>
      <c r="O108" s="2">
        <v>7278.26</v>
      </c>
      <c r="P108" s="3"/>
      <c r="Q108" s="2">
        <v>6120.7</v>
      </c>
      <c r="R108" s="3"/>
      <c r="S108" s="2">
        <v>6354.98</v>
      </c>
      <c r="T108" s="3"/>
      <c r="U108" s="2">
        <v>7376.54</v>
      </c>
      <c r="V108" s="3"/>
      <c r="W108" s="2">
        <v>6292.22</v>
      </c>
      <c r="X108" s="3"/>
      <c r="Y108" s="2">
        <v>7457.01</v>
      </c>
      <c r="Z108" s="3"/>
      <c r="AA108" s="2">
        <v>6464.1</v>
      </c>
      <c r="AB108" s="3"/>
      <c r="AC108" s="2">
        <v>6627.66</v>
      </c>
      <c r="AD108" s="3"/>
      <c r="AE108" s="2">
        <v>8112.44</v>
      </c>
      <c r="AF108" s="3"/>
      <c r="AG108" s="2">
        <v>7207.18</v>
      </c>
      <c r="AH108" s="3"/>
      <c r="AI108" s="2">
        <v>7533.7</v>
      </c>
      <c r="AJ108" s="3"/>
      <c r="AK108" s="2">
        <v>5604.56</v>
      </c>
      <c r="AL108" s="3"/>
      <c r="AM108" s="2">
        <f>ROUND(SUM(G108:AK108),5)</f>
        <v>109085.85</v>
      </c>
    </row>
    <row r="109" spans="1:39" x14ac:dyDescent="0.25">
      <c r="A109" s="1"/>
      <c r="B109" s="1"/>
      <c r="C109" s="1"/>
      <c r="D109" s="1"/>
      <c r="E109" s="1"/>
      <c r="F109" s="1" t="s">
        <v>124</v>
      </c>
      <c r="G109" s="2">
        <v>0</v>
      </c>
      <c r="H109" s="3"/>
      <c r="I109" s="2">
        <v>0</v>
      </c>
      <c r="J109" s="3"/>
      <c r="K109" s="2">
        <v>0</v>
      </c>
      <c r="L109" s="3"/>
      <c r="M109" s="2">
        <v>0</v>
      </c>
      <c r="N109" s="3"/>
      <c r="O109" s="2">
        <v>0</v>
      </c>
      <c r="P109" s="3"/>
      <c r="Q109" s="2">
        <v>0</v>
      </c>
      <c r="R109" s="3"/>
      <c r="S109" s="2">
        <v>0</v>
      </c>
      <c r="T109" s="3"/>
      <c r="U109" s="2">
        <v>0</v>
      </c>
      <c r="V109" s="3"/>
      <c r="W109" s="2">
        <v>0</v>
      </c>
      <c r="X109" s="3"/>
      <c r="Y109" s="2">
        <v>0</v>
      </c>
      <c r="Z109" s="3"/>
      <c r="AA109" s="2">
        <v>0</v>
      </c>
      <c r="AB109" s="3"/>
      <c r="AC109" s="2">
        <v>4000</v>
      </c>
      <c r="AD109" s="3"/>
      <c r="AE109" s="2">
        <v>0</v>
      </c>
      <c r="AF109" s="3"/>
      <c r="AG109" s="2">
        <v>0</v>
      </c>
      <c r="AH109" s="3"/>
      <c r="AI109" s="2">
        <v>0</v>
      </c>
      <c r="AJ109" s="3"/>
      <c r="AK109" s="2">
        <v>0</v>
      </c>
      <c r="AL109" s="3"/>
      <c r="AM109" s="2">
        <f>ROUND(SUM(G109:AK109),5)</f>
        <v>4000</v>
      </c>
    </row>
    <row r="110" spans="1:39" x14ac:dyDescent="0.25">
      <c r="A110" s="1"/>
      <c r="B110" s="1"/>
      <c r="C110" s="1"/>
      <c r="D110" s="1"/>
      <c r="E110" s="1"/>
      <c r="F110" s="1" t="s">
        <v>125</v>
      </c>
      <c r="G110" s="2">
        <v>0</v>
      </c>
      <c r="H110" s="3"/>
      <c r="I110" s="2">
        <v>0</v>
      </c>
      <c r="J110" s="3"/>
      <c r="K110" s="2">
        <v>250</v>
      </c>
      <c r="L110" s="3"/>
      <c r="M110" s="2">
        <v>0</v>
      </c>
      <c r="N110" s="3"/>
      <c r="O110" s="2">
        <v>0</v>
      </c>
      <c r="P110" s="3"/>
      <c r="Q110" s="2">
        <v>0</v>
      </c>
      <c r="R110" s="3"/>
      <c r="S110" s="2">
        <v>0</v>
      </c>
      <c r="T110" s="3"/>
      <c r="U110" s="2">
        <v>6537</v>
      </c>
      <c r="V110" s="3"/>
      <c r="W110" s="2">
        <v>0</v>
      </c>
      <c r="X110" s="3"/>
      <c r="Y110" s="2">
        <v>325</v>
      </c>
      <c r="Z110" s="3"/>
      <c r="AA110" s="2">
        <v>325</v>
      </c>
      <c r="AB110" s="3"/>
      <c r="AC110" s="2">
        <v>0</v>
      </c>
      <c r="AD110" s="3"/>
      <c r="AE110" s="2">
        <v>0</v>
      </c>
      <c r="AF110" s="3"/>
      <c r="AG110" s="2">
        <v>0</v>
      </c>
      <c r="AH110" s="3"/>
      <c r="AI110" s="2">
        <v>0</v>
      </c>
      <c r="AJ110" s="3"/>
      <c r="AK110" s="2">
        <v>0</v>
      </c>
      <c r="AL110" s="3"/>
      <c r="AM110" s="2">
        <f>ROUND(SUM(G110:AK110),5)</f>
        <v>7437</v>
      </c>
    </row>
    <row r="111" spans="1:39" x14ac:dyDescent="0.25">
      <c r="A111" s="1"/>
      <c r="B111" s="1"/>
      <c r="C111" s="1"/>
      <c r="D111" s="1"/>
      <c r="E111" s="1"/>
      <c r="F111" s="1" t="s">
        <v>126</v>
      </c>
      <c r="G111" s="2">
        <v>0</v>
      </c>
      <c r="H111" s="3"/>
      <c r="I111" s="2">
        <v>0</v>
      </c>
      <c r="J111" s="3"/>
      <c r="K111" s="2">
        <v>0</v>
      </c>
      <c r="L111" s="3"/>
      <c r="M111" s="2">
        <v>0</v>
      </c>
      <c r="N111" s="3"/>
      <c r="O111" s="2">
        <v>0</v>
      </c>
      <c r="P111" s="3"/>
      <c r="Q111" s="2">
        <v>100</v>
      </c>
      <c r="R111" s="3"/>
      <c r="S111" s="2">
        <v>0</v>
      </c>
      <c r="T111" s="3"/>
      <c r="U111" s="2">
        <v>100</v>
      </c>
      <c r="V111" s="3"/>
      <c r="W111" s="2">
        <v>0</v>
      </c>
      <c r="X111" s="3"/>
      <c r="Y111" s="2">
        <v>0</v>
      </c>
      <c r="Z111" s="3"/>
      <c r="AA111" s="2">
        <v>0</v>
      </c>
      <c r="AB111" s="3"/>
      <c r="AC111" s="2">
        <v>100</v>
      </c>
      <c r="AD111" s="3"/>
      <c r="AE111" s="2">
        <v>0</v>
      </c>
      <c r="AF111" s="3"/>
      <c r="AG111" s="2">
        <v>0</v>
      </c>
      <c r="AH111" s="3"/>
      <c r="AI111" s="2">
        <v>100</v>
      </c>
      <c r="AJ111" s="3"/>
      <c r="AK111" s="2">
        <v>0</v>
      </c>
      <c r="AL111" s="3"/>
      <c r="AM111" s="2">
        <f>ROUND(SUM(G111:AK111),5)</f>
        <v>400</v>
      </c>
    </row>
    <row r="112" spans="1:39" x14ac:dyDescent="0.25">
      <c r="A112" s="1"/>
      <c r="B112" s="1"/>
      <c r="C112" s="1"/>
      <c r="D112" s="1"/>
      <c r="E112" s="1"/>
      <c r="F112" s="1" t="s">
        <v>127</v>
      </c>
      <c r="G112" s="2">
        <v>0</v>
      </c>
      <c r="H112" s="3"/>
      <c r="I112" s="2">
        <v>0</v>
      </c>
      <c r="J112" s="3"/>
      <c r="K112" s="2">
        <v>90</v>
      </c>
      <c r="L112" s="3"/>
      <c r="M112" s="2">
        <v>120</v>
      </c>
      <c r="N112" s="3"/>
      <c r="O112" s="2">
        <v>95</v>
      </c>
      <c r="P112" s="3"/>
      <c r="Q112" s="2">
        <v>1014</v>
      </c>
      <c r="R112" s="3"/>
      <c r="S112" s="2">
        <v>45</v>
      </c>
      <c r="T112" s="3"/>
      <c r="U112" s="2">
        <v>260</v>
      </c>
      <c r="V112" s="3"/>
      <c r="W112" s="2">
        <v>90</v>
      </c>
      <c r="X112" s="3"/>
      <c r="Y112" s="2">
        <v>110</v>
      </c>
      <c r="Z112" s="3"/>
      <c r="AA112" s="2">
        <v>0</v>
      </c>
      <c r="AB112" s="3"/>
      <c r="AC112" s="2">
        <v>40</v>
      </c>
      <c r="AD112" s="3"/>
      <c r="AE112" s="2">
        <v>561</v>
      </c>
      <c r="AF112" s="3"/>
      <c r="AG112" s="2">
        <v>0</v>
      </c>
      <c r="AH112" s="3"/>
      <c r="AI112" s="2">
        <v>260</v>
      </c>
      <c r="AJ112" s="3"/>
      <c r="AK112" s="2">
        <v>292</v>
      </c>
      <c r="AL112" s="3"/>
      <c r="AM112" s="2">
        <f>ROUND(SUM(G112:AK112),5)</f>
        <v>2977</v>
      </c>
    </row>
    <row r="113" spans="1:39" x14ac:dyDescent="0.25">
      <c r="A113" s="1"/>
      <c r="B113" s="1"/>
      <c r="C113" s="1"/>
      <c r="D113" s="1"/>
      <c r="E113" s="1"/>
      <c r="F113" s="1" t="s">
        <v>128</v>
      </c>
      <c r="G113" s="2">
        <v>2757.41</v>
      </c>
      <c r="H113" s="3"/>
      <c r="I113" s="2">
        <v>3955.2</v>
      </c>
      <c r="J113" s="3"/>
      <c r="K113" s="2">
        <v>8175.53</v>
      </c>
      <c r="L113" s="3"/>
      <c r="M113" s="2">
        <v>2960.41</v>
      </c>
      <c r="N113" s="3"/>
      <c r="O113" s="2">
        <v>4211.2700000000004</v>
      </c>
      <c r="P113" s="3"/>
      <c r="Q113" s="2">
        <v>3993.21</v>
      </c>
      <c r="R113" s="3"/>
      <c r="S113" s="2">
        <v>2067.3200000000002</v>
      </c>
      <c r="T113" s="3"/>
      <c r="U113" s="2">
        <v>3773.52</v>
      </c>
      <c r="V113" s="3"/>
      <c r="W113" s="2">
        <v>4734.95</v>
      </c>
      <c r="X113" s="3"/>
      <c r="Y113" s="2">
        <v>2431.17</v>
      </c>
      <c r="Z113" s="3"/>
      <c r="AA113" s="2">
        <v>3979.78</v>
      </c>
      <c r="AB113" s="3"/>
      <c r="AC113" s="2">
        <v>11038.87</v>
      </c>
      <c r="AD113" s="3"/>
      <c r="AE113" s="2">
        <v>3528.07</v>
      </c>
      <c r="AF113" s="3"/>
      <c r="AG113" s="2">
        <v>2415.98</v>
      </c>
      <c r="AH113" s="3"/>
      <c r="AI113" s="2">
        <v>10000.27</v>
      </c>
      <c r="AJ113" s="3"/>
      <c r="AK113" s="2">
        <v>7345.77</v>
      </c>
      <c r="AL113" s="3"/>
      <c r="AM113" s="2">
        <f>ROUND(SUM(G113:AK113),5)</f>
        <v>77368.73</v>
      </c>
    </row>
    <row r="114" spans="1:39" x14ac:dyDescent="0.25">
      <c r="A114" s="1"/>
      <c r="B114" s="1"/>
      <c r="C114" s="1"/>
      <c r="D114" s="1"/>
      <c r="E114" s="1"/>
      <c r="F114" s="1" t="s">
        <v>129</v>
      </c>
      <c r="G114" s="2">
        <v>0</v>
      </c>
      <c r="H114" s="3"/>
      <c r="I114" s="2">
        <v>230.79</v>
      </c>
      <c r="J114" s="3"/>
      <c r="K114" s="2">
        <v>-4427.45</v>
      </c>
      <c r="L114" s="3"/>
      <c r="M114" s="2">
        <v>2182.59</v>
      </c>
      <c r="N114" s="3"/>
      <c r="O114" s="2">
        <v>0</v>
      </c>
      <c r="P114" s="3"/>
      <c r="Q114" s="2">
        <v>936</v>
      </c>
      <c r="R114" s="3"/>
      <c r="S114" s="2">
        <v>546.35</v>
      </c>
      <c r="T114" s="3"/>
      <c r="U114" s="2">
        <v>301.89</v>
      </c>
      <c r="V114" s="3"/>
      <c r="W114" s="2">
        <v>1096.6400000000001</v>
      </c>
      <c r="X114" s="3"/>
      <c r="Y114" s="2">
        <v>1028.54</v>
      </c>
      <c r="Z114" s="3"/>
      <c r="AA114" s="2">
        <v>301.89</v>
      </c>
      <c r="AB114" s="3"/>
      <c r="AC114" s="2">
        <v>736.29</v>
      </c>
      <c r="AD114" s="3"/>
      <c r="AE114" s="2">
        <v>409.38</v>
      </c>
      <c r="AF114" s="3"/>
      <c r="AG114" s="2">
        <v>3309.22</v>
      </c>
      <c r="AH114" s="3"/>
      <c r="AI114" s="2">
        <v>589.02</v>
      </c>
      <c r="AJ114" s="3"/>
      <c r="AK114" s="2">
        <v>495.25</v>
      </c>
      <c r="AL114" s="3"/>
      <c r="AM114" s="2">
        <f>ROUND(SUM(G114:AK114),5)</f>
        <v>7736.4</v>
      </c>
    </row>
    <row r="115" spans="1:39" x14ac:dyDescent="0.25">
      <c r="A115" s="1"/>
      <c r="B115" s="1"/>
      <c r="C115" s="1"/>
      <c r="D115" s="1"/>
      <c r="E115" s="1"/>
      <c r="F115" s="1" t="s">
        <v>130</v>
      </c>
      <c r="G115" s="2">
        <v>0</v>
      </c>
      <c r="H115" s="3"/>
      <c r="I115" s="2">
        <v>15</v>
      </c>
      <c r="J115" s="3"/>
      <c r="K115" s="2">
        <v>190</v>
      </c>
      <c r="L115" s="3"/>
      <c r="M115" s="2">
        <v>10</v>
      </c>
      <c r="N115" s="3"/>
      <c r="O115" s="2">
        <v>143.13999999999999</v>
      </c>
      <c r="P115" s="3"/>
      <c r="Q115" s="2">
        <v>117.02</v>
      </c>
      <c r="R115" s="3"/>
      <c r="S115" s="2">
        <v>137.02000000000001</v>
      </c>
      <c r="T115" s="3"/>
      <c r="U115" s="2">
        <v>180.79</v>
      </c>
      <c r="V115" s="3"/>
      <c r="W115" s="2">
        <v>161.63</v>
      </c>
      <c r="X115" s="3"/>
      <c r="Y115" s="2">
        <v>112.26</v>
      </c>
      <c r="Z115" s="3"/>
      <c r="AA115" s="2">
        <v>264.58999999999997</v>
      </c>
      <c r="AB115" s="3"/>
      <c r="AC115" s="2">
        <v>215.82</v>
      </c>
      <c r="AD115" s="3"/>
      <c r="AE115" s="2">
        <v>153.91</v>
      </c>
      <c r="AF115" s="3"/>
      <c r="AG115" s="2">
        <v>118.22</v>
      </c>
      <c r="AH115" s="3"/>
      <c r="AI115" s="2">
        <v>120.34</v>
      </c>
      <c r="AJ115" s="3"/>
      <c r="AK115" s="2">
        <v>134.49</v>
      </c>
      <c r="AL115" s="3"/>
      <c r="AM115" s="2">
        <f>ROUND(SUM(G115:AK115),5)</f>
        <v>2074.23</v>
      </c>
    </row>
    <row r="116" spans="1:39" x14ac:dyDescent="0.25">
      <c r="A116" s="1"/>
      <c r="B116" s="1"/>
      <c r="C116" s="1"/>
      <c r="D116" s="1"/>
      <c r="E116" s="1"/>
      <c r="F116" s="1" t="s">
        <v>131</v>
      </c>
      <c r="G116" s="2">
        <v>0</v>
      </c>
      <c r="H116" s="3"/>
      <c r="I116" s="2">
        <v>0</v>
      </c>
      <c r="J116" s="3"/>
      <c r="K116" s="2">
        <v>2433.04</v>
      </c>
      <c r="L116" s="3"/>
      <c r="M116" s="2">
        <v>1710.24</v>
      </c>
      <c r="N116" s="3"/>
      <c r="O116" s="2">
        <v>943.58</v>
      </c>
      <c r="P116" s="3"/>
      <c r="Q116" s="2">
        <v>0</v>
      </c>
      <c r="R116" s="3"/>
      <c r="S116" s="2">
        <v>434.77</v>
      </c>
      <c r="T116" s="3"/>
      <c r="U116" s="2">
        <v>2454.75</v>
      </c>
      <c r="V116" s="3"/>
      <c r="W116" s="2">
        <v>811.41</v>
      </c>
      <c r="X116" s="3"/>
      <c r="Y116" s="2">
        <v>2933.69</v>
      </c>
      <c r="Z116" s="3"/>
      <c r="AA116" s="2">
        <v>182.03</v>
      </c>
      <c r="AB116" s="3"/>
      <c r="AC116" s="2">
        <v>182.03</v>
      </c>
      <c r="AD116" s="3"/>
      <c r="AE116" s="2">
        <v>182.47</v>
      </c>
      <c r="AF116" s="3"/>
      <c r="AG116" s="2">
        <v>182.47</v>
      </c>
      <c r="AH116" s="3"/>
      <c r="AI116" s="2">
        <v>182.47</v>
      </c>
      <c r="AJ116" s="3"/>
      <c r="AK116" s="2">
        <v>182.42</v>
      </c>
      <c r="AL116" s="3"/>
      <c r="AM116" s="2">
        <f>ROUND(SUM(G116:AK116),5)</f>
        <v>12815.37</v>
      </c>
    </row>
    <row r="117" spans="1:39" x14ac:dyDescent="0.25">
      <c r="A117" s="1"/>
      <c r="B117" s="1"/>
      <c r="C117" s="1"/>
      <c r="D117" s="1"/>
      <c r="E117" s="1"/>
      <c r="F117" s="1" t="s">
        <v>132</v>
      </c>
      <c r="G117" s="2">
        <v>0</v>
      </c>
      <c r="H117" s="3"/>
      <c r="I117" s="2">
        <v>0</v>
      </c>
      <c r="J117" s="3"/>
      <c r="K117" s="2">
        <v>2711.58</v>
      </c>
      <c r="L117" s="3"/>
      <c r="M117" s="2">
        <v>208.83</v>
      </c>
      <c r="N117" s="3"/>
      <c r="O117" s="2">
        <v>323.92</v>
      </c>
      <c r="P117" s="3"/>
      <c r="Q117" s="2">
        <v>230.55</v>
      </c>
      <c r="R117" s="3"/>
      <c r="S117" s="2">
        <v>260.12</v>
      </c>
      <c r="T117" s="3"/>
      <c r="U117" s="2">
        <v>260.92</v>
      </c>
      <c r="V117" s="3"/>
      <c r="W117" s="2">
        <v>503.08</v>
      </c>
      <c r="X117" s="3"/>
      <c r="Y117" s="2">
        <v>467.48</v>
      </c>
      <c r="Z117" s="3"/>
      <c r="AA117" s="2">
        <v>515.5</v>
      </c>
      <c r="AB117" s="3"/>
      <c r="AC117" s="2">
        <v>457.7</v>
      </c>
      <c r="AD117" s="3"/>
      <c r="AE117" s="2">
        <v>761.44</v>
      </c>
      <c r="AF117" s="3"/>
      <c r="AG117" s="2">
        <v>494.37</v>
      </c>
      <c r="AH117" s="3"/>
      <c r="AI117" s="2">
        <v>222.14</v>
      </c>
      <c r="AJ117" s="3"/>
      <c r="AK117" s="2">
        <v>332.61</v>
      </c>
      <c r="AL117" s="3"/>
      <c r="AM117" s="2">
        <f>ROUND(SUM(G117:AK117),5)</f>
        <v>7750.24</v>
      </c>
    </row>
    <row r="118" spans="1:39" x14ac:dyDescent="0.25">
      <c r="A118" s="1"/>
      <c r="B118" s="1"/>
      <c r="C118" s="1"/>
      <c r="D118" s="1"/>
      <c r="E118" s="1"/>
      <c r="F118" s="1" t="s">
        <v>133</v>
      </c>
      <c r="G118" s="2">
        <v>0</v>
      </c>
      <c r="H118" s="3"/>
      <c r="I118" s="2">
        <v>0</v>
      </c>
      <c r="J118" s="3"/>
      <c r="K118" s="2">
        <v>0</v>
      </c>
      <c r="L118" s="3"/>
      <c r="M118" s="2">
        <v>0</v>
      </c>
      <c r="N118" s="3"/>
      <c r="O118" s="2">
        <v>1631.28</v>
      </c>
      <c r="P118" s="3"/>
      <c r="Q118" s="2">
        <v>922.83</v>
      </c>
      <c r="R118" s="3"/>
      <c r="S118" s="2">
        <v>631.88</v>
      </c>
      <c r="T118" s="3"/>
      <c r="U118" s="2">
        <v>887.25</v>
      </c>
      <c r="V118" s="3"/>
      <c r="W118" s="2">
        <v>324.77</v>
      </c>
      <c r="X118" s="3"/>
      <c r="Y118" s="2">
        <v>1019.74</v>
      </c>
      <c r="Z118" s="3"/>
      <c r="AA118" s="2">
        <v>4983.9399999999996</v>
      </c>
      <c r="AB118" s="3"/>
      <c r="AC118" s="2">
        <v>1846.79</v>
      </c>
      <c r="AD118" s="3"/>
      <c r="AE118" s="2">
        <v>0</v>
      </c>
      <c r="AF118" s="3"/>
      <c r="AG118" s="2">
        <v>1825.16</v>
      </c>
      <c r="AH118" s="3"/>
      <c r="AI118" s="2">
        <v>0</v>
      </c>
      <c r="AJ118" s="3"/>
      <c r="AK118" s="2">
        <v>2438.77</v>
      </c>
      <c r="AL118" s="3"/>
      <c r="AM118" s="2">
        <f>ROUND(SUM(G118:AK118),5)</f>
        <v>16512.41</v>
      </c>
    </row>
    <row r="119" spans="1:39" x14ac:dyDescent="0.25">
      <c r="A119" s="1"/>
      <c r="B119" s="1"/>
      <c r="C119" s="1"/>
      <c r="D119" s="1"/>
      <c r="E119" s="1"/>
      <c r="F119" s="1" t="s">
        <v>134</v>
      </c>
      <c r="G119" s="2">
        <v>0</v>
      </c>
      <c r="H119" s="3"/>
      <c r="I119" s="2">
        <v>0</v>
      </c>
      <c r="J119" s="3"/>
      <c r="K119" s="2">
        <v>0</v>
      </c>
      <c r="L119" s="3"/>
      <c r="M119" s="2">
        <v>0</v>
      </c>
      <c r="N119" s="3"/>
      <c r="O119" s="2">
        <v>0</v>
      </c>
      <c r="P119" s="3"/>
      <c r="Q119" s="2">
        <v>0</v>
      </c>
      <c r="R119" s="3"/>
      <c r="S119" s="2">
        <v>0</v>
      </c>
      <c r="T119" s="3"/>
      <c r="U119" s="2">
        <v>0</v>
      </c>
      <c r="V119" s="3"/>
      <c r="W119" s="2">
        <v>835.91</v>
      </c>
      <c r="X119" s="3"/>
      <c r="Y119" s="2">
        <v>110.63</v>
      </c>
      <c r="Z119" s="3"/>
      <c r="AA119" s="2">
        <v>63.74</v>
      </c>
      <c r="AB119" s="3"/>
      <c r="AC119" s="2">
        <v>1712.21</v>
      </c>
      <c r="AD119" s="3"/>
      <c r="AE119" s="2">
        <v>98.86</v>
      </c>
      <c r="AF119" s="3"/>
      <c r="AG119" s="2">
        <v>58.9</v>
      </c>
      <c r="AH119" s="3"/>
      <c r="AI119" s="2">
        <v>612.22</v>
      </c>
      <c r="AJ119" s="3"/>
      <c r="AK119" s="2">
        <v>87.49</v>
      </c>
      <c r="AL119" s="3"/>
      <c r="AM119" s="2">
        <f>ROUND(SUM(G119:AK119),5)</f>
        <v>3579.96</v>
      </c>
    </row>
    <row r="120" spans="1:39" x14ac:dyDescent="0.25">
      <c r="A120" s="1"/>
      <c r="B120" s="1"/>
      <c r="C120" s="1"/>
      <c r="D120" s="1"/>
      <c r="E120" s="1"/>
      <c r="F120" s="1" t="s">
        <v>135</v>
      </c>
      <c r="G120" s="2">
        <v>0</v>
      </c>
      <c r="H120" s="3"/>
      <c r="I120" s="2">
        <v>0</v>
      </c>
      <c r="J120" s="3"/>
      <c r="K120" s="2">
        <v>7033.28</v>
      </c>
      <c r="L120" s="3"/>
      <c r="M120" s="2">
        <v>1380.8</v>
      </c>
      <c r="N120" s="3"/>
      <c r="O120" s="2">
        <v>1380.8</v>
      </c>
      <c r="P120" s="3"/>
      <c r="Q120" s="2">
        <v>1380.8</v>
      </c>
      <c r="R120" s="3"/>
      <c r="S120" s="2">
        <v>1380.8</v>
      </c>
      <c r="T120" s="3"/>
      <c r="U120" s="2">
        <v>1380.8</v>
      </c>
      <c r="V120" s="3"/>
      <c r="W120" s="2">
        <v>1380.8</v>
      </c>
      <c r="X120" s="3"/>
      <c r="Y120" s="2">
        <v>1380.8</v>
      </c>
      <c r="Z120" s="3"/>
      <c r="AA120" s="2">
        <v>1380.8</v>
      </c>
      <c r="AB120" s="3"/>
      <c r="AC120" s="2">
        <v>1380.8</v>
      </c>
      <c r="AD120" s="3"/>
      <c r="AE120" s="2">
        <v>1380.8</v>
      </c>
      <c r="AF120" s="3"/>
      <c r="AG120" s="2">
        <v>1380.8</v>
      </c>
      <c r="AH120" s="3"/>
      <c r="AI120" s="2">
        <v>1380.8</v>
      </c>
      <c r="AJ120" s="3"/>
      <c r="AK120" s="2">
        <v>1380</v>
      </c>
      <c r="AL120" s="3"/>
      <c r="AM120" s="2">
        <f>ROUND(SUM(G120:AK120),5)</f>
        <v>24982.880000000001</v>
      </c>
    </row>
    <row r="121" spans="1:39" x14ac:dyDescent="0.25">
      <c r="A121" s="1"/>
      <c r="B121" s="1"/>
      <c r="C121" s="1"/>
      <c r="D121" s="1"/>
      <c r="E121" s="1"/>
      <c r="F121" s="1" t="s">
        <v>136</v>
      </c>
      <c r="G121" s="2">
        <v>0</v>
      </c>
      <c r="H121" s="3"/>
      <c r="I121" s="2">
        <v>535</v>
      </c>
      <c r="J121" s="3"/>
      <c r="K121" s="2">
        <v>0</v>
      </c>
      <c r="L121" s="3"/>
      <c r="M121" s="2">
        <v>0</v>
      </c>
      <c r="N121" s="3"/>
      <c r="O121" s="2">
        <v>0</v>
      </c>
      <c r="P121" s="3"/>
      <c r="Q121" s="2">
        <v>0</v>
      </c>
      <c r="R121" s="3"/>
      <c r="S121" s="2">
        <v>0</v>
      </c>
      <c r="T121" s="3"/>
      <c r="U121" s="2">
        <v>0</v>
      </c>
      <c r="V121" s="3"/>
      <c r="W121" s="2">
        <v>0</v>
      </c>
      <c r="X121" s="3"/>
      <c r="Y121" s="2">
        <v>0</v>
      </c>
      <c r="Z121" s="3"/>
      <c r="AA121" s="2">
        <v>153.38</v>
      </c>
      <c r="AB121" s="3"/>
      <c r="AC121" s="2">
        <v>0</v>
      </c>
      <c r="AD121" s="3"/>
      <c r="AE121" s="2">
        <v>11882.13</v>
      </c>
      <c r="AF121" s="3"/>
      <c r="AG121" s="2">
        <v>2415</v>
      </c>
      <c r="AH121" s="3"/>
      <c r="AI121" s="2">
        <v>15</v>
      </c>
      <c r="AJ121" s="3"/>
      <c r="AK121" s="2">
        <v>35</v>
      </c>
      <c r="AL121" s="3"/>
      <c r="AM121" s="2">
        <f>ROUND(SUM(G121:AK121),5)</f>
        <v>15035.51</v>
      </c>
    </row>
    <row r="122" spans="1:39" x14ac:dyDescent="0.25">
      <c r="A122" s="1"/>
      <c r="B122" s="1"/>
      <c r="C122" s="1"/>
      <c r="D122" s="1"/>
      <c r="E122" s="1"/>
      <c r="F122" s="1" t="s">
        <v>137</v>
      </c>
      <c r="G122" s="2">
        <v>0</v>
      </c>
      <c r="H122" s="3"/>
      <c r="I122" s="2">
        <v>0</v>
      </c>
      <c r="J122" s="3"/>
      <c r="K122" s="2">
        <v>0</v>
      </c>
      <c r="L122" s="3"/>
      <c r="M122" s="2">
        <v>0</v>
      </c>
      <c r="N122" s="3"/>
      <c r="O122" s="2">
        <v>0</v>
      </c>
      <c r="P122" s="3"/>
      <c r="Q122" s="2">
        <v>0</v>
      </c>
      <c r="R122" s="3"/>
      <c r="S122" s="2">
        <v>0</v>
      </c>
      <c r="T122" s="3"/>
      <c r="U122" s="2">
        <v>0</v>
      </c>
      <c r="V122" s="3"/>
      <c r="W122" s="2">
        <v>0</v>
      </c>
      <c r="X122" s="3"/>
      <c r="Y122" s="2">
        <v>0</v>
      </c>
      <c r="Z122" s="3"/>
      <c r="AA122" s="2">
        <v>0</v>
      </c>
      <c r="AB122" s="3"/>
      <c r="AC122" s="2">
        <v>0</v>
      </c>
      <c r="AD122" s="3"/>
      <c r="AE122" s="2">
        <v>0</v>
      </c>
      <c r="AF122" s="3"/>
      <c r="AG122" s="2">
        <v>1012.97</v>
      </c>
      <c r="AH122" s="3"/>
      <c r="AI122" s="2">
        <v>0</v>
      </c>
      <c r="AJ122" s="3"/>
      <c r="AK122" s="2">
        <v>0</v>
      </c>
      <c r="AL122" s="3"/>
      <c r="AM122" s="2">
        <f>ROUND(SUM(G122:AK122),5)</f>
        <v>1012.97</v>
      </c>
    </row>
    <row r="123" spans="1:39" x14ac:dyDescent="0.25">
      <c r="A123" s="1"/>
      <c r="B123" s="1"/>
      <c r="C123" s="1"/>
      <c r="D123" s="1"/>
      <c r="E123" s="1"/>
      <c r="F123" s="1" t="s">
        <v>138</v>
      </c>
      <c r="G123" s="2">
        <v>0</v>
      </c>
      <c r="H123" s="3"/>
      <c r="I123" s="2">
        <v>0</v>
      </c>
      <c r="J123" s="3"/>
      <c r="K123" s="2">
        <v>0</v>
      </c>
      <c r="L123" s="3"/>
      <c r="M123" s="2">
        <v>0</v>
      </c>
      <c r="N123" s="3"/>
      <c r="O123" s="2">
        <v>0</v>
      </c>
      <c r="P123" s="3"/>
      <c r="Q123" s="2">
        <v>2847.29</v>
      </c>
      <c r="R123" s="3"/>
      <c r="S123" s="2">
        <v>0</v>
      </c>
      <c r="T123" s="3"/>
      <c r="U123" s="2">
        <v>3311.56</v>
      </c>
      <c r="V123" s="3"/>
      <c r="W123" s="2">
        <v>3269.45</v>
      </c>
      <c r="X123" s="3"/>
      <c r="Y123" s="2">
        <v>6433.44</v>
      </c>
      <c r="Z123" s="3"/>
      <c r="AA123" s="2">
        <v>2119.66</v>
      </c>
      <c r="AB123" s="3"/>
      <c r="AC123" s="2">
        <v>2469.1999999999998</v>
      </c>
      <c r="AD123" s="3"/>
      <c r="AE123" s="2">
        <v>2553.81</v>
      </c>
      <c r="AF123" s="3"/>
      <c r="AG123" s="2">
        <v>0</v>
      </c>
      <c r="AH123" s="3"/>
      <c r="AI123" s="2">
        <v>8225.67</v>
      </c>
      <c r="AJ123" s="3"/>
      <c r="AK123" s="2">
        <v>0</v>
      </c>
      <c r="AL123" s="3"/>
      <c r="AM123" s="2">
        <f>ROUND(SUM(G123:AK123),5)</f>
        <v>31230.080000000002</v>
      </c>
    </row>
    <row r="124" spans="1:39" x14ac:dyDescent="0.25">
      <c r="A124" s="1"/>
      <c r="B124" s="1"/>
      <c r="C124" s="1"/>
      <c r="D124" s="1"/>
      <c r="E124" s="1"/>
      <c r="F124" s="1" t="s">
        <v>139</v>
      </c>
      <c r="G124" s="2">
        <v>0</v>
      </c>
      <c r="H124" s="3"/>
      <c r="I124" s="2">
        <v>7019</v>
      </c>
      <c r="J124" s="3"/>
      <c r="K124" s="2">
        <v>8601.9699999999993</v>
      </c>
      <c r="L124" s="3"/>
      <c r="M124" s="2">
        <v>10184.94</v>
      </c>
      <c r="N124" s="3"/>
      <c r="O124" s="2">
        <v>8601.9699999999993</v>
      </c>
      <c r="P124" s="3"/>
      <c r="Q124" s="2">
        <v>7019</v>
      </c>
      <c r="R124" s="3"/>
      <c r="S124" s="2">
        <v>8601.9699999999993</v>
      </c>
      <c r="T124" s="3"/>
      <c r="U124" s="2">
        <v>10184.94</v>
      </c>
      <c r="V124" s="3"/>
      <c r="W124" s="2">
        <v>7019</v>
      </c>
      <c r="X124" s="3"/>
      <c r="Y124" s="2">
        <v>8414.43</v>
      </c>
      <c r="Z124" s="3"/>
      <c r="AA124" s="2">
        <v>8414.43</v>
      </c>
      <c r="AB124" s="3"/>
      <c r="AC124" s="2">
        <v>8414.4599999999991</v>
      </c>
      <c r="AD124" s="3"/>
      <c r="AE124" s="2">
        <v>7019</v>
      </c>
      <c r="AF124" s="3"/>
      <c r="AG124" s="2">
        <v>9018.34</v>
      </c>
      <c r="AH124" s="3"/>
      <c r="AI124" s="2">
        <v>9427.73</v>
      </c>
      <c r="AJ124" s="3"/>
      <c r="AK124" s="2">
        <v>10408.01</v>
      </c>
      <c r="AL124" s="3"/>
      <c r="AM124" s="2">
        <f>ROUND(SUM(G124:AK124),5)</f>
        <v>128349.19</v>
      </c>
    </row>
    <row r="125" spans="1:39" x14ac:dyDescent="0.25">
      <c r="A125" s="1"/>
      <c r="B125" s="1"/>
      <c r="C125" s="1"/>
      <c r="D125" s="1"/>
      <c r="E125" s="1"/>
      <c r="F125" s="1" t="s">
        <v>140</v>
      </c>
      <c r="G125" s="2">
        <v>0</v>
      </c>
      <c r="H125" s="3"/>
      <c r="I125" s="2">
        <v>0</v>
      </c>
      <c r="J125" s="3"/>
      <c r="K125" s="2">
        <v>0</v>
      </c>
      <c r="L125" s="3"/>
      <c r="M125" s="2">
        <v>0</v>
      </c>
      <c r="N125" s="3"/>
      <c r="O125" s="2">
        <v>0</v>
      </c>
      <c r="P125" s="3"/>
      <c r="Q125" s="2">
        <v>0</v>
      </c>
      <c r="R125" s="3"/>
      <c r="S125" s="2">
        <v>0</v>
      </c>
      <c r="T125" s="3"/>
      <c r="U125" s="2">
        <v>2075.4299999999998</v>
      </c>
      <c r="V125" s="3"/>
      <c r="W125" s="2">
        <v>0</v>
      </c>
      <c r="X125" s="3"/>
      <c r="Y125" s="2">
        <v>497.33</v>
      </c>
      <c r="Z125" s="3"/>
      <c r="AA125" s="2">
        <v>1070.73</v>
      </c>
      <c r="AB125" s="3"/>
      <c r="AC125" s="2">
        <v>271.95</v>
      </c>
      <c r="AD125" s="3"/>
      <c r="AE125" s="2">
        <v>1085.2</v>
      </c>
      <c r="AF125" s="3"/>
      <c r="AG125" s="2">
        <v>1868.98</v>
      </c>
      <c r="AH125" s="3"/>
      <c r="AI125" s="2">
        <v>462.65</v>
      </c>
      <c r="AJ125" s="3"/>
      <c r="AK125" s="2">
        <v>1325.52</v>
      </c>
      <c r="AL125" s="3"/>
      <c r="AM125" s="2">
        <f>ROUND(SUM(G125:AK125),5)</f>
        <v>8657.7900000000009</v>
      </c>
    </row>
    <row r="126" spans="1:39" x14ac:dyDescent="0.25">
      <c r="A126" s="1"/>
      <c r="B126" s="1"/>
      <c r="C126" s="1"/>
      <c r="D126" s="1"/>
      <c r="E126" s="1"/>
      <c r="F126" s="1" t="s">
        <v>141</v>
      </c>
      <c r="G126" s="2">
        <v>0</v>
      </c>
      <c r="H126" s="3"/>
      <c r="I126" s="2">
        <v>600</v>
      </c>
      <c r="J126" s="3"/>
      <c r="K126" s="2">
        <v>0</v>
      </c>
      <c r="L126" s="3"/>
      <c r="M126" s="2">
        <v>0</v>
      </c>
      <c r="N126" s="3"/>
      <c r="O126" s="2">
        <v>0</v>
      </c>
      <c r="P126" s="3"/>
      <c r="Q126" s="2">
        <v>0</v>
      </c>
      <c r="R126" s="3"/>
      <c r="S126" s="2">
        <v>0</v>
      </c>
      <c r="T126" s="3"/>
      <c r="U126" s="2">
        <v>0</v>
      </c>
      <c r="V126" s="3"/>
      <c r="W126" s="2">
        <v>0</v>
      </c>
      <c r="X126" s="3"/>
      <c r="Y126" s="2">
        <v>0</v>
      </c>
      <c r="Z126" s="3"/>
      <c r="AA126" s="2">
        <v>0</v>
      </c>
      <c r="AB126" s="3"/>
      <c r="AC126" s="2">
        <v>0</v>
      </c>
      <c r="AD126" s="3"/>
      <c r="AE126" s="2">
        <v>1000</v>
      </c>
      <c r="AF126" s="3"/>
      <c r="AG126" s="2">
        <v>250</v>
      </c>
      <c r="AH126" s="3"/>
      <c r="AI126" s="2">
        <v>0</v>
      </c>
      <c r="AJ126" s="3"/>
      <c r="AK126" s="2">
        <v>0</v>
      </c>
      <c r="AL126" s="3"/>
      <c r="AM126" s="2">
        <f>ROUND(SUM(G126:AK126),5)</f>
        <v>1850</v>
      </c>
    </row>
    <row r="127" spans="1:39" ht="15.75" thickBot="1" x14ac:dyDescent="0.3">
      <c r="A127" s="1"/>
      <c r="B127" s="1"/>
      <c r="C127" s="1"/>
      <c r="D127" s="1"/>
      <c r="E127" s="1"/>
      <c r="F127" s="1" t="s">
        <v>142</v>
      </c>
      <c r="G127" s="4">
        <v>0</v>
      </c>
      <c r="H127" s="3"/>
      <c r="I127" s="4">
        <v>0</v>
      </c>
      <c r="J127" s="3"/>
      <c r="K127" s="4">
        <v>0</v>
      </c>
      <c r="L127" s="3"/>
      <c r="M127" s="4">
        <v>0</v>
      </c>
      <c r="N127" s="3"/>
      <c r="O127" s="4">
        <v>446.11</v>
      </c>
      <c r="P127" s="3"/>
      <c r="Q127" s="4">
        <v>600</v>
      </c>
      <c r="R127" s="3"/>
      <c r="S127" s="4">
        <v>0</v>
      </c>
      <c r="T127" s="3"/>
      <c r="U127" s="4">
        <v>328.75</v>
      </c>
      <c r="V127" s="3"/>
      <c r="W127" s="4">
        <v>600</v>
      </c>
      <c r="X127" s="3"/>
      <c r="Y127" s="4">
        <v>0</v>
      </c>
      <c r="Z127" s="3"/>
      <c r="AA127" s="4">
        <v>0</v>
      </c>
      <c r="AB127" s="3"/>
      <c r="AC127" s="4">
        <v>0</v>
      </c>
      <c r="AD127" s="3"/>
      <c r="AE127" s="4">
        <v>0</v>
      </c>
      <c r="AF127" s="3"/>
      <c r="AG127" s="4">
        <v>0</v>
      </c>
      <c r="AH127" s="3"/>
      <c r="AI127" s="4">
        <v>0</v>
      </c>
      <c r="AJ127" s="3"/>
      <c r="AK127" s="4">
        <v>0</v>
      </c>
      <c r="AL127" s="3"/>
      <c r="AM127" s="4">
        <f>ROUND(SUM(G127:AK127),5)</f>
        <v>1974.86</v>
      </c>
    </row>
    <row r="128" spans="1:39" ht="15.75" thickBot="1" x14ac:dyDescent="0.3">
      <c r="A128" s="1"/>
      <c r="B128" s="1"/>
      <c r="C128" s="1"/>
      <c r="D128" s="1"/>
      <c r="E128" s="1" t="s">
        <v>143</v>
      </c>
      <c r="F128" s="1"/>
      <c r="G128" s="7">
        <f>ROUND(SUM(G100:G127),5)</f>
        <v>33562.949999999997</v>
      </c>
      <c r="H128" s="3"/>
      <c r="I128" s="7">
        <f>ROUND(SUM(I100:I127),5)</f>
        <v>45122.559999999998</v>
      </c>
      <c r="J128" s="3"/>
      <c r="K128" s="7">
        <f>ROUND(SUM(K100:K127),5)</f>
        <v>68841.47</v>
      </c>
      <c r="L128" s="3"/>
      <c r="M128" s="7">
        <f>ROUND(SUM(M100:M127),5)</f>
        <v>56456.59</v>
      </c>
      <c r="N128" s="3"/>
      <c r="O128" s="7">
        <f>ROUND(SUM(O100:O127),5)</f>
        <v>58848.78</v>
      </c>
      <c r="P128" s="3"/>
      <c r="Q128" s="7">
        <f>ROUND(SUM(Q100:Q127),5)</f>
        <v>61420.21</v>
      </c>
      <c r="R128" s="3"/>
      <c r="S128" s="7">
        <f>ROUND(SUM(S100:S127),5)</f>
        <v>56021.02</v>
      </c>
      <c r="T128" s="3"/>
      <c r="U128" s="7">
        <f>ROUND(SUM(U100:U127),5)</f>
        <v>72823.81</v>
      </c>
      <c r="V128" s="3"/>
      <c r="W128" s="7">
        <f>ROUND(SUM(W100:W127),5)</f>
        <v>64609.03</v>
      </c>
      <c r="X128" s="3"/>
      <c r="Y128" s="7">
        <f>ROUND(SUM(Y100:Y127),5)</f>
        <v>64130.12</v>
      </c>
      <c r="Z128" s="3"/>
      <c r="AA128" s="7">
        <f>ROUND(SUM(AA100:AA127),5)</f>
        <v>62836.23</v>
      </c>
      <c r="AB128" s="3"/>
      <c r="AC128" s="7">
        <f>ROUND(SUM(AC100:AC127),5)</f>
        <v>72298.66</v>
      </c>
      <c r="AD128" s="3"/>
      <c r="AE128" s="7">
        <f>ROUND(SUM(AE100:AE127),5)</f>
        <v>72551.679999999993</v>
      </c>
      <c r="AF128" s="3"/>
      <c r="AG128" s="7">
        <f>ROUND(SUM(AG100:AG127),5)</f>
        <v>65125.15</v>
      </c>
      <c r="AH128" s="3"/>
      <c r="AI128" s="7">
        <f>ROUND(SUM(AI100:AI127),5)</f>
        <v>69346.009999999995</v>
      </c>
      <c r="AJ128" s="3"/>
      <c r="AK128" s="7">
        <f>ROUND(SUM(AK100:AK127),5)</f>
        <v>62794.32</v>
      </c>
      <c r="AL128" s="3"/>
      <c r="AM128" s="7">
        <f>ROUND(SUM(G128:AK128),5)</f>
        <v>986788.59</v>
      </c>
    </row>
    <row r="129" spans="1:39" ht="15.75" thickBot="1" x14ac:dyDescent="0.3">
      <c r="A129" s="1"/>
      <c r="B129" s="1"/>
      <c r="C129" s="1"/>
      <c r="D129" s="1" t="s">
        <v>144</v>
      </c>
      <c r="E129" s="1"/>
      <c r="F129" s="1"/>
      <c r="G129" s="5">
        <f>ROUND(G28+G54+G64+G74+G83+G91+G99+G128,5)</f>
        <v>149889.85</v>
      </c>
      <c r="H129" s="3"/>
      <c r="I129" s="5">
        <f>ROUND(I28+I54+I64+I74+I83+I91+I99+I128,5)</f>
        <v>196755.61</v>
      </c>
      <c r="J129" s="3"/>
      <c r="K129" s="5">
        <f>ROUND(K28+K54+K64+K74+K83+K91+K99+K128,5)</f>
        <v>272229.53999999998</v>
      </c>
      <c r="L129" s="3"/>
      <c r="M129" s="5">
        <f>ROUND(M28+M54+M64+M74+M83+M91+M99+M128,5)</f>
        <v>217630.98</v>
      </c>
      <c r="N129" s="3"/>
      <c r="O129" s="5">
        <f>ROUND(O28+O54+O64+O74+O83+O91+O99+O128,5)</f>
        <v>240492.56</v>
      </c>
      <c r="P129" s="3"/>
      <c r="Q129" s="5">
        <f>ROUND(Q28+Q54+Q64+Q74+Q83+Q91+Q99+Q128,5)</f>
        <v>238275.53</v>
      </c>
      <c r="R129" s="3"/>
      <c r="S129" s="5">
        <f>ROUND(S28+S54+S64+S74+S83+S91+S99+S128,5)</f>
        <v>244679.23</v>
      </c>
      <c r="T129" s="3"/>
      <c r="U129" s="5">
        <f>ROUND(U28+U54+U64+U74+U83+U91+U99+U128,5)</f>
        <v>245743.8</v>
      </c>
      <c r="V129" s="3"/>
      <c r="W129" s="5">
        <f>ROUND(W28+W54+W64+W74+W83+W91+W99+W128,5)</f>
        <v>241547.79</v>
      </c>
      <c r="X129" s="3"/>
      <c r="Y129" s="5">
        <f>ROUND(Y28+Y54+Y64+Y74+Y83+Y91+Y99+Y128,5)</f>
        <v>240736.58</v>
      </c>
      <c r="Z129" s="3"/>
      <c r="AA129" s="5">
        <f>ROUND(AA28+AA54+AA64+AA74+AA83+AA91+AA99+AA128,5)</f>
        <v>257447.23</v>
      </c>
      <c r="AB129" s="3"/>
      <c r="AC129" s="5">
        <f>ROUND(AC28+AC54+AC64+AC74+AC83+AC91+AC99+AC128,5)</f>
        <v>261929.31</v>
      </c>
      <c r="AD129" s="3"/>
      <c r="AE129" s="5">
        <f>ROUND(AE28+AE54+AE64+AE74+AE83+AE91+AE99+AE128,5)</f>
        <v>247259.56</v>
      </c>
      <c r="AF129" s="3"/>
      <c r="AG129" s="5">
        <f>ROUND(AG28+AG54+AG64+AG74+AG83+AG91+AG99+AG128,5)</f>
        <v>254869.19</v>
      </c>
      <c r="AH129" s="3"/>
      <c r="AI129" s="5">
        <f>ROUND(AI28+AI54+AI64+AI74+AI83+AI91+AI99+AI128,5)</f>
        <v>275610.99</v>
      </c>
      <c r="AJ129" s="3"/>
      <c r="AK129" s="5">
        <f>ROUND(AK28+AK54+AK64+AK74+AK83+AK91+AK99+AK128,5)</f>
        <v>243154.5</v>
      </c>
      <c r="AL129" s="3"/>
      <c r="AM129" s="5">
        <f>ROUND(SUM(G129:AK129),5)</f>
        <v>3828252.25</v>
      </c>
    </row>
    <row r="130" spans="1:39" x14ac:dyDescent="0.25">
      <c r="A130" s="1"/>
      <c r="B130" s="1" t="s">
        <v>145</v>
      </c>
      <c r="C130" s="1"/>
      <c r="D130" s="1"/>
      <c r="E130" s="1"/>
      <c r="F130" s="1"/>
      <c r="G130" s="2">
        <f>ROUND(G2+G27-G129,5)</f>
        <v>21392.84</v>
      </c>
      <c r="H130" s="3"/>
      <c r="I130" s="2">
        <f>ROUND(I2+I27-I129,5)</f>
        <v>2054.37</v>
      </c>
      <c r="J130" s="3"/>
      <c r="K130" s="2">
        <f>ROUND(K2+K27-K129,5)</f>
        <v>-44254.13</v>
      </c>
      <c r="L130" s="3"/>
      <c r="M130" s="2">
        <f>ROUND(M2+M27-M129,5)</f>
        <v>-22559.24</v>
      </c>
      <c r="N130" s="3"/>
      <c r="O130" s="2">
        <f>ROUND(O2+O27-O129,5)</f>
        <v>-2343.5700000000002</v>
      </c>
      <c r="P130" s="3"/>
      <c r="Q130" s="2">
        <f>ROUND(Q2+Q27-Q129,5)</f>
        <v>8659.7800000000007</v>
      </c>
      <c r="R130" s="3"/>
      <c r="S130" s="2">
        <f>ROUND(S2+S27-S129,5)</f>
        <v>-19983.25</v>
      </c>
      <c r="T130" s="3"/>
      <c r="U130" s="2">
        <f>ROUND(U2+U27-U129,5)</f>
        <v>-42694.75</v>
      </c>
      <c r="V130" s="3"/>
      <c r="W130" s="2">
        <f>ROUND(W2+W27-W129,5)</f>
        <v>-25439.77</v>
      </c>
      <c r="X130" s="3"/>
      <c r="Y130" s="2">
        <f>ROUND(Y2+Y27-Y129,5)</f>
        <v>51807.62</v>
      </c>
      <c r="Z130" s="3"/>
      <c r="AA130" s="2">
        <f>ROUND(AA2+AA27-AA129,5)</f>
        <v>11044.78</v>
      </c>
      <c r="AB130" s="3"/>
      <c r="AC130" s="2">
        <f>ROUND(AC2+AC27-AC129,5)</f>
        <v>29412.94</v>
      </c>
      <c r="AD130" s="3"/>
      <c r="AE130" s="2">
        <f>ROUND(AE2+AE27-AE129,5)</f>
        <v>11095.93</v>
      </c>
      <c r="AF130" s="3"/>
      <c r="AG130" s="2">
        <f>ROUND(AG2+AG27-AG129,5)</f>
        <v>22631.29</v>
      </c>
      <c r="AH130" s="3"/>
      <c r="AI130" s="2">
        <f>ROUND(AI2+AI27-AI129,5)</f>
        <v>14420.08</v>
      </c>
      <c r="AJ130" s="3"/>
      <c r="AK130" s="2">
        <f>ROUND(AK2+AK27-AK129,5)</f>
        <v>38676.68</v>
      </c>
      <c r="AL130" s="3"/>
      <c r="AM130" s="2">
        <f>ROUND(SUM(G130:AK130),5)</f>
        <v>53921.599999999999</v>
      </c>
    </row>
    <row r="131" spans="1:39" x14ac:dyDescent="0.25">
      <c r="A131" s="1"/>
      <c r="B131" s="1" t="s">
        <v>146</v>
      </c>
      <c r="C131" s="1"/>
      <c r="D131" s="1"/>
      <c r="E131" s="1"/>
      <c r="F131" s="1"/>
      <c r="G131" s="2"/>
      <c r="H131" s="3"/>
      <c r="I131" s="2"/>
      <c r="J131" s="3"/>
      <c r="K131" s="2"/>
      <c r="L131" s="3"/>
      <c r="M131" s="2"/>
      <c r="N131" s="3"/>
      <c r="O131" s="2"/>
      <c r="P131" s="3"/>
      <c r="Q131" s="2"/>
      <c r="R131" s="3"/>
      <c r="S131" s="2"/>
      <c r="T131" s="3"/>
      <c r="U131" s="2"/>
      <c r="V131" s="3"/>
      <c r="W131" s="2"/>
      <c r="X131" s="3"/>
      <c r="Y131" s="2"/>
      <c r="Z131" s="3"/>
      <c r="AA131" s="2"/>
      <c r="AB131" s="3"/>
      <c r="AC131" s="2"/>
      <c r="AD131" s="3"/>
      <c r="AE131" s="2"/>
      <c r="AF131" s="3"/>
      <c r="AG131" s="2"/>
      <c r="AH131" s="3"/>
      <c r="AI131" s="2"/>
      <c r="AJ131" s="3"/>
      <c r="AK131" s="2"/>
      <c r="AL131" s="3"/>
      <c r="AM131" s="2"/>
    </row>
    <row r="132" spans="1:39" x14ac:dyDescent="0.25">
      <c r="A132" s="1"/>
      <c r="B132" s="1"/>
      <c r="C132" s="1" t="s">
        <v>147</v>
      </c>
      <c r="D132" s="1"/>
      <c r="E132" s="1"/>
      <c r="F132" s="1"/>
      <c r="G132" s="2"/>
      <c r="H132" s="3"/>
      <c r="I132" s="2"/>
      <c r="J132" s="3"/>
      <c r="K132" s="2"/>
      <c r="L132" s="3"/>
      <c r="M132" s="2"/>
      <c r="N132" s="3"/>
      <c r="O132" s="2"/>
      <c r="P132" s="3"/>
      <c r="Q132" s="2"/>
      <c r="R132" s="3"/>
      <c r="S132" s="2"/>
      <c r="T132" s="3"/>
      <c r="U132" s="2"/>
      <c r="V132" s="3"/>
      <c r="W132" s="2"/>
      <c r="X132" s="3"/>
      <c r="Y132" s="2"/>
      <c r="Z132" s="3"/>
      <c r="AA132" s="2"/>
      <c r="AB132" s="3"/>
      <c r="AC132" s="2"/>
      <c r="AD132" s="3"/>
      <c r="AE132" s="2"/>
      <c r="AF132" s="3"/>
      <c r="AG132" s="2"/>
      <c r="AH132" s="3"/>
      <c r="AI132" s="2"/>
      <c r="AJ132" s="3"/>
      <c r="AK132" s="2"/>
      <c r="AL132" s="3"/>
      <c r="AM132" s="2"/>
    </row>
    <row r="133" spans="1:39" x14ac:dyDescent="0.25">
      <c r="A133" s="1"/>
      <c r="B133" s="1"/>
      <c r="C133" s="1"/>
      <c r="D133" s="1" t="s">
        <v>148</v>
      </c>
      <c r="E133" s="1"/>
      <c r="F133" s="1"/>
      <c r="G133" s="2"/>
      <c r="H133" s="3"/>
      <c r="I133" s="2"/>
      <c r="J133" s="3"/>
      <c r="K133" s="2"/>
      <c r="L133" s="3"/>
      <c r="M133" s="2"/>
      <c r="N133" s="3"/>
      <c r="O133" s="2"/>
      <c r="P133" s="3"/>
      <c r="Q133" s="2"/>
      <c r="R133" s="3"/>
      <c r="S133" s="2"/>
      <c r="T133" s="3"/>
      <c r="U133" s="2"/>
      <c r="V133" s="3"/>
      <c r="W133" s="2"/>
      <c r="X133" s="3"/>
      <c r="Y133" s="2"/>
      <c r="Z133" s="3"/>
      <c r="AA133" s="2"/>
      <c r="AB133" s="3"/>
      <c r="AC133" s="2"/>
      <c r="AD133" s="3"/>
      <c r="AE133" s="2"/>
      <c r="AF133" s="3"/>
      <c r="AG133" s="2"/>
      <c r="AH133" s="3"/>
      <c r="AI133" s="2"/>
      <c r="AJ133" s="3"/>
      <c r="AK133" s="2"/>
      <c r="AL133" s="3"/>
      <c r="AM133" s="2"/>
    </row>
    <row r="134" spans="1:39" x14ac:dyDescent="0.25">
      <c r="A134" s="1"/>
      <c r="B134" s="1"/>
      <c r="C134" s="1"/>
      <c r="D134" s="1"/>
      <c r="E134" s="1" t="s">
        <v>149</v>
      </c>
      <c r="F134" s="1"/>
      <c r="G134" s="2">
        <v>0</v>
      </c>
      <c r="H134" s="3"/>
      <c r="I134" s="2">
        <v>22340</v>
      </c>
      <c r="J134" s="3"/>
      <c r="K134" s="2">
        <v>22340</v>
      </c>
      <c r="L134" s="3"/>
      <c r="M134" s="2">
        <v>22340</v>
      </c>
      <c r="N134" s="3"/>
      <c r="O134" s="2">
        <v>22340</v>
      </c>
      <c r="P134" s="3"/>
      <c r="Q134" s="2">
        <v>22340</v>
      </c>
      <c r="R134" s="3"/>
      <c r="S134" s="2">
        <v>22340</v>
      </c>
      <c r="T134" s="3"/>
      <c r="U134" s="2">
        <v>22340</v>
      </c>
      <c r="V134" s="3"/>
      <c r="W134" s="2">
        <v>22340</v>
      </c>
      <c r="X134" s="3"/>
      <c r="Y134" s="2">
        <v>22340</v>
      </c>
      <c r="Z134" s="3"/>
      <c r="AA134" s="2">
        <v>22340</v>
      </c>
      <c r="AB134" s="3"/>
      <c r="AC134" s="2">
        <v>22340</v>
      </c>
      <c r="AD134" s="3"/>
      <c r="AE134" s="2">
        <v>22340</v>
      </c>
      <c r="AF134" s="3"/>
      <c r="AG134" s="2">
        <v>24202.13</v>
      </c>
      <c r="AH134" s="3"/>
      <c r="AI134" s="2">
        <v>24202.13</v>
      </c>
      <c r="AJ134" s="3"/>
      <c r="AK134" s="2">
        <v>24202.13</v>
      </c>
      <c r="AL134" s="3"/>
      <c r="AM134" s="2">
        <f>ROUND(SUM(G134:AK134),5)</f>
        <v>340686.39</v>
      </c>
    </row>
    <row r="135" spans="1:39" ht="15.75" thickBot="1" x14ac:dyDescent="0.3">
      <c r="A135" s="1"/>
      <c r="B135" s="1"/>
      <c r="C135" s="1"/>
      <c r="D135" s="1"/>
      <c r="E135" s="1" t="s">
        <v>150</v>
      </c>
      <c r="F135" s="1"/>
      <c r="G135" s="4">
        <v>6272</v>
      </c>
      <c r="H135" s="3"/>
      <c r="I135" s="4">
        <v>5000</v>
      </c>
      <c r="J135" s="3"/>
      <c r="K135" s="4">
        <v>6828.64</v>
      </c>
      <c r="L135" s="3"/>
      <c r="M135" s="4">
        <v>6690.13</v>
      </c>
      <c r="N135" s="3"/>
      <c r="O135" s="4">
        <v>6690.13</v>
      </c>
      <c r="P135" s="3"/>
      <c r="Q135" s="4">
        <v>6690.13</v>
      </c>
      <c r="R135" s="3"/>
      <c r="S135" s="4">
        <v>6690.13</v>
      </c>
      <c r="T135" s="3"/>
      <c r="U135" s="4">
        <v>6690.13</v>
      </c>
      <c r="V135" s="3"/>
      <c r="W135" s="4">
        <v>6690.13</v>
      </c>
      <c r="X135" s="3"/>
      <c r="Y135" s="4">
        <v>6690.13</v>
      </c>
      <c r="Z135" s="3"/>
      <c r="AA135" s="4">
        <v>6690.13</v>
      </c>
      <c r="AB135" s="3"/>
      <c r="AC135" s="4">
        <v>6690.13</v>
      </c>
      <c r="AD135" s="3"/>
      <c r="AE135" s="4">
        <v>6690.13</v>
      </c>
      <c r="AF135" s="3"/>
      <c r="AG135" s="4">
        <v>3091.53</v>
      </c>
      <c r="AH135" s="3"/>
      <c r="AI135" s="4">
        <v>6708.18</v>
      </c>
      <c r="AJ135" s="3"/>
      <c r="AK135" s="4">
        <v>6708.18</v>
      </c>
      <c r="AL135" s="3"/>
      <c r="AM135" s="4">
        <f>ROUND(SUM(G135:AK135),5)</f>
        <v>101509.83</v>
      </c>
    </row>
    <row r="136" spans="1:39" ht="15.75" thickBot="1" x14ac:dyDescent="0.3">
      <c r="A136" s="1"/>
      <c r="B136" s="1"/>
      <c r="C136" s="1"/>
      <c r="D136" s="1" t="s">
        <v>151</v>
      </c>
      <c r="E136" s="1"/>
      <c r="F136" s="1"/>
      <c r="G136" s="7">
        <f>ROUND(SUM(G133:G135),5)</f>
        <v>6272</v>
      </c>
      <c r="H136" s="3"/>
      <c r="I136" s="7">
        <f>ROUND(SUM(I133:I135),5)</f>
        <v>27340</v>
      </c>
      <c r="J136" s="3"/>
      <c r="K136" s="7">
        <f>ROUND(SUM(K133:K135),5)</f>
        <v>29168.639999999999</v>
      </c>
      <c r="L136" s="3"/>
      <c r="M136" s="7">
        <f>ROUND(SUM(M133:M135),5)</f>
        <v>29030.13</v>
      </c>
      <c r="N136" s="3"/>
      <c r="O136" s="7">
        <f>ROUND(SUM(O133:O135),5)</f>
        <v>29030.13</v>
      </c>
      <c r="P136" s="3"/>
      <c r="Q136" s="7">
        <f>ROUND(SUM(Q133:Q135),5)</f>
        <v>29030.13</v>
      </c>
      <c r="R136" s="3"/>
      <c r="S136" s="7">
        <f>ROUND(SUM(S133:S135),5)</f>
        <v>29030.13</v>
      </c>
      <c r="T136" s="3"/>
      <c r="U136" s="7">
        <f>ROUND(SUM(U133:U135),5)</f>
        <v>29030.13</v>
      </c>
      <c r="V136" s="3"/>
      <c r="W136" s="7">
        <f>ROUND(SUM(W133:W135),5)</f>
        <v>29030.13</v>
      </c>
      <c r="X136" s="3"/>
      <c r="Y136" s="7">
        <f>ROUND(SUM(Y133:Y135),5)</f>
        <v>29030.13</v>
      </c>
      <c r="Z136" s="3"/>
      <c r="AA136" s="7">
        <f>ROUND(SUM(AA133:AA135),5)</f>
        <v>29030.13</v>
      </c>
      <c r="AB136" s="3"/>
      <c r="AC136" s="7">
        <f>ROUND(SUM(AC133:AC135),5)</f>
        <v>29030.13</v>
      </c>
      <c r="AD136" s="3"/>
      <c r="AE136" s="7">
        <f>ROUND(SUM(AE133:AE135),5)</f>
        <v>29030.13</v>
      </c>
      <c r="AF136" s="3"/>
      <c r="AG136" s="7">
        <f>ROUND(SUM(AG133:AG135),5)</f>
        <v>27293.66</v>
      </c>
      <c r="AH136" s="3"/>
      <c r="AI136" s="7">
        <f>ROUND(SUM(AI133:AI135),5)</f>
        <v>30910.31</v>
      </c>
      <c r="AJ136" s="3"/>
      <c r="AK136" s="7">
        <f>ROUND(SUM(AK133:AK135),5)</f>
        <v>30910.31</v>
      </c>
      <c r="AL136" s="3"/>
      <c r="AM136" s="7">
        <f>ROUND(SUM(G136:AK136),5)</f>
        <v>442196.22</v>
      </c>
    </row>
    <row r="137" spans="1:39" ht="15.75" thickBot="1" x14ac:dyDescent="0.3">
      <c r="A137" s="1"/>
      <c r="B137" s="1"/>
      <c r="C137" s="1" t="s">
        <v>152</v>
      </c>
      <c r="D137" s="1"/>
      <c r="E137" s="1"/>
      <c r="F137" s="1"/>
      <c r="G137" s="7">
        <f>ROUND(G132+G136,5)</f>
        <v>6272</v>
      </c>
      <c r="H137" s="3"/>
      <c r="I137" s="7">
        <f>ROUND(I132+I136,5)</f>
        <v>27340</v>
      </c>
      <c r="J137" s="3"/>
      <c r="K137" s="7">
        <f>ROUND(K132+K136,5)</f>
        <v>29168.639999999999</v>
      </c>
      <c r="L137" s="3"/>
      <c r="M137" s="7">
        <f>ROUND(M132+M136,5)</f>
        <v>29030.13</v>
      </c>
      <c r="N137" s="3"/>
      <c r="O137" s="7">
        <f>ROUND(O132+O136,5)</f>
        <v>29030.13</v>
      </c>
      <c r="P137" s="3"/>
      <c r="Q137" s="7">
        <f>ROUND(Q132+Q136,5)</f>
        <v>29030.13</v>
      </c>
      <c r="R137" s="3"/>
      <c r="S137" s="7">
        <f>ROUND(S132+S136,5)</f>
        <v>29030.13</v>
      </c>
      <c r="T137" s="3"/>
      <c r="U137" s="7">
        <f>ROUND(U132+U136,5)</f>
        <v>29030.13</v>
      </c>
      <c r="V137" s="3"/>
      <c r="W137" s="7">
        <f>ROUND(W132+W136,5)</f>
        <v>29030.13</v>
      </c>
      <c r="X137" s="3"/>
      <c r="Y137" s="7">
        <f>ROUND(Y132+Y136,5)</f>
        <v>29030.13</v>
      </c>
      <c r="Z137" s="3"/>
      <c r="AA137" s="7">
        <f>ROUND(AA132+AA136,5)</f>
        <v>29030.13</v>
      </c>
      <c r="AB137" s="3"/>
      <c r="AC137" s="7">
        <f>ROUND(AC132+AC136,5)</f>
        <v>29030.13</v>
      </c>
      <c r="AD137" s="3"/>
      <c r="AE137" s="7">
        <f>ROUND(AE132+AE136,5)</f>
        <v>29030.13</v>
      </c>
      <c r="AF137" s="3"/>
      <c r="AG137" s="7">
        <f>ROUND(AG132+AG136,5)</f>
        <v>27293.66</v>
      </c>
      <c r="AH137" s="3"/>
      <c r="AI137" s="7">
        <f>ROUND(AI132+AI136,5)</f>
        <v>30910.31</v>
      </c>
      <c r="AJ137" s="3"/>
      <c r="AK137" s="7">
        <f>ROUND(AK132+AK136,5)</f>
        <v>30910.31</v>
      </c>
      <c r="AL137" s="3"/>
      <c r="AM137" s="7">
        <f>ROUND(SUM(G137:AK137),5)</f>
        <v>442196.22</v>
      </c>
    </row>
    <row r="138" spans="1:39" ht="15.75" thickBot="1" x14ac:dyDescent="0.3">
      <c r="A138" s="1"/>
      <c r="B138" s="1" t="s">
        <v>153</v>
      </c>
      <c r="C138" s="1"/>
      <c r="D138" s="1"/>
      <c r="E138" s="1"/>
      <c r="F138" s="1"/>
      <c r="G138" s="7">
        <f>ROUND(G131-G137,5)</f>
        <v>-6272</v>
      </c>
      <c r="H138" s="3"/>
      <c r="I138" s="7">
        <f>ROUND(I131-I137,5)</f>
        <v>-27340</v>
      </c>
      <c r="J138" s="3"/>
      <c r="K138" s="7">
        <f>ROUND(K131-K137,5)</f>
        <v>-29168.639999999999</v>
      </c>
      <c r="L138" s="3"/>
      <c r="M138" s="7">
        <f>ROUND(M131-M137,5)</f>
        <v>-29030.13</v>
      </c>
      <c r="N138" s="3"/>
      <c r="O138" s="7">
        <f>ROUND(O131-O137,5)</f>
        <v>-29030.13</v>
      </c>
      <c r="P138" s="3"/>
      <c r="Q138" s="7">
        <f>ROUND(Q131-Q137,5)</f>
        <v>-29030.13</v>
      </c>
      <c r="R138" s="3"/>
      <c r="S138" s="7">
        <f>ROUND(S131-S137,5)</f>
        <v>-29030.13</v>
      </c>
      <c r="T138" s="3"/>
      <c r="U138" s="7">
        <f>ROUND(U131-U137,5)</f>
        <v>-29030.13</v>
      </c>
      <c r="V138" s="3"/>
      <c r="W138" s="7">
        <f>ROUND(W131-W137,5)</f>
        <v>-29030.13</v>
      </c>
      <c r="X138" s="3"/>
      <c r="Y138" s="7">
        <f>ROUND(Y131-Y137,5)</f>
        <v>-29030.13</v>
      </c>
      <c r="Z138" s="3"/>
      <c r="AA138" s="7">
        <f>ROUND(AA131-AA137,5)</f>
        <v>-29030.13</v>
      </c>
      <c r="AB138" s="3"/>
      <c r="AC138" s="7">
        <f>ROUND(AC131-AC137,5)</f>
        <v>-29030.13</v>
      </c>
      <c r="AD138" s="3"/>
      <c r="AE138" s="7">
        <f>ROUND(AE131-AE137,5)</f>
        <v>-29030.13</v>
      </c>
      <c r="AF138" s="3"/>
      <c r="AG138" s="7">
        <f>ROUND(AG131-AG137,5)</f>
        <v>-27293.66</v>
      </c>
      <c r="AH138" s="3"/>
      <c r="AI138" s="7">
        <f>ROUND(AI131-AI137,5)</f>
        <v>-30910.31</v>
      </c>
      <c r="AJ138" s="3"/>
      <c r="AK138" s="7">
        <f>ROUND(AK131-AK137,5)</f>
        <v>-30910.31</v>
      </c>
      <c r="AL138" s="3"/>
      <c r="AM138" s="7">
        <f>ROUND(SUM(G138:AK138),5)</f>
        <v>-442196.22</v>
      </c>
    </row>
    <row r="139" spans="1:39" s="9" customFormat="1" ht="12" thickBot="1" x14ac:dyDescent="0.25">
      <c r="A139" s="1" t="s">
        <v>154</v>
      </c>
      <c r="B139" s="1"/>
      <c r="C139" s="1"/>
      <c r="D139" s="1"/>
      <c r="E139" s="1"/>
      <c r="F139" s="1"/>
      <c r="G139" s="8">
        <f>ROUND(G130+G138,5)</f>
        <v>15120.84</v>
      </c>
      <c r="H139" s="1"/>
      <c r="I139" s="8">
        <f>ROUND(I130+I138,5)</f>
        <v>-25285.63</v>
      </c>
      <c r="J139" s="1"/>
      <c r="K139" s="8">
        <f>ROUND(K130+K138,5)</f>
        <v>-73422.77</v>
      </c>
      <c r="L139" s="1"/>
      <c r="M139" s="8">
        <f>ROUND(M130+M138,5)</f>
        <v>-51589.37</v>
      </c>
      <c r="N139" s="1"/>
      <c r="O139" s="8">
        <f>ROUND(O130+O138,5)</f>
        <v>-31373.7</v>
      </c>
      <c r="P139" s="1"/>
      <c r="Q139" s="8">
        <f>ROUND(Q130+Q138,5)</f>
        <v>-20370.349999999999</v>
      </c>
      <c r="R139" s="1"/>
      <c r="S139" s="8">
        <f>ROUND(S130+S138,5)</f>
        <v>-49013.38</v>
      </c>
      <c r="T139" s="1"/>
      <c r="U139" s="8">
        <f>ROUND(U130+U138,5)</f>
        <v>-71724.88</v>
      </c>
      <c r="V139" s="1"/>
      <c r="W139" s="8">
        <f>ROUND(W130+W138,5)</f>
        <v>-54469.9</v>
      </c>
      <c r="X139" s="1"/>
      <c r="Y139" s="8">
        <f>ROUND(Y130+Y138,5)</f>
        <v>22777.49</v>
      </c>
      <c r="Z139" s="1"/>
      <c r="AA139" s="8">
        <f>ROUND(AA130+AA138,5)</f>
        <v>-17985.349999999999</v>
      </c>
      <c r="AB139" s="1"/>
      <c r="AC139" s="8">
        <f>ROUND(AC130+AC138,5)</f>
        <v>382.81</v>
      </c>
      <c r="AD139" s="1"/>
      <c r="AE139" s="8">
        <f>ROUND(AE130+AE138,5)</f>
        <v>-17934.2</v>
      </c>
      <c r="AF139" s="1"/>
      <c r="AG139" s="8">
        <f>ROUND(AG130+AG138,5)</f>
        <v>-4662.37</v>
      </c>
      <c r="AH139" s="1"/>
      <c r="AI139" s="8">
        <f>ROUND(AI130+AI138,5)</f>
        <v>-16490.23</v>
      </c>
      <c r="AJ139" s="1"/>
      <c r="AK139" s="8">
        <f>ROUND(AK130+AK138,5)</f>
        <v>7766.37</v>
      </c>
      <c r="AL139" s="1"/>
      <c r="AM139" s="8">
        <f>ROUND(SUM(G139:AK139),5)</f>
        <v>-388274.62</v>
      </c>
    </row>
    <row r="140" spans="1:39" ht="15.75" thickTop="1" x14ac:dyDescent="0.25"/>
  </sheetData>
  <pageMargins left="0.7" right="0.7" top="0.75" bottom="0.75" header="0.1" footer="0.3"/>
  <pageSetup orientation="portrait" r:id="rId1"/>
  <headerFooter>
    <oddHeader>&amp;L&amp;"Arial,Bold"&amp;8 1:39 PM
&amp;"Arial,Bold"&amp;8 04/20/26
&amp;"Arial,Bold"&amp;8 Accrual Basis&amp;C&amp;"Arial,Bold"&amp;12 Sandwich Living and Rehab Center LLC
&amp;"Arial,Bold"&amp;14 Profit &amp;&amp; Loss
&amp;"Arial,Bold"&amp;10 As of February 28, 2026</oddHeader>
    <oddFooter>&amp;R&amp;"Arial,Bold"&amp;8 Page &amp;P of 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F41890C2B12184E9ECA3D5D24EB83DA" ma:contentTypeVersion="13" ma:contentTypeDescription="Create a new document." ma:contentTypeScope="" ma:versionID="6d054ceb9a0354c0bfb47cf043e39651">
  <xsd:schema xmlns:xsd="http://www.w3.org/2001/XMLSchema" xmlns:xs="http://www.w3.org/2001/XMLSchema" xmlns:p="http://schemas.microsoft.com/office/2006/metadata/properties" xmlns:ns2="9c59f6ae-8f81-4f29-8cb1-f12a8db24abe" xmlns:ns3="06d6442d-a21e-4720-8a99-a5f4f7617557" targetNamespace="http://schemas.microsoft.com/office/2006/metadata/properties" ma:root="true" ma:fieldsID="5981c087a5554635838f78bc8e7878cd" ns2:_="" ns3:_="">
    <xsd:import namespace="9c59f6ae-8f81-4f29-8cb1-f12a8db24abe"/>
    <xsd:import namespace="06d6442d-a21e-4720-8a99-a5f4f76175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c59f6ae-8f81-4f29-8cb1-f12a8db24ab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f5b2fae7-71e6-4a35-b2b9-0129a604f7e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6d6442d-a21e-4720-8a99-a5f4f761755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666a5326-9a2a-4eb6-ac08-3c0190a1edb3}" ma:internalName="TaxCatchAll" ma:showField="CatchAllData" ma:web="06d6442d-a21e-4720-8a99-a5f4f761755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9c59f6ae-8f81-4f29-8cb1-f12a8db24abe">
      <Terms xmlns="http://schemas.microsoft.com/office/infopath/2007/PartnerControls"/>
    </lcf76f155ced4ddcb4097134ff3c332f>
    <TaxCatchAll xmlns="06d6442d-a21e-4720-8a99-a5f4f7617557" xsi:nil="true"/>
  </documentManagement>
</p:properties>
</file>

<file path=customXml/itemProps1.xml><?xml version="1.0" encoding="utf-8"?>
<ds:datastoreItem xmlns:ds="http://schemas.openxmlformats.org/officeDocument/2006/customXml" ds:itemID="{E9B127C9-4200-4918-BFA6-FA75BEF26DA3}"/>
</file>

<file path=customXml/itemProps2.xml><?xml version="1.0" encoding="utf-8"?>
<ds:datastoreItem xmlns:ds="http://schemas.openxmlformats.org/officeDocument/2006/customXml" ds:itemID="{45950087-6AF9-4CB0-A411-2DD1166A20AB}"/>
</file>

<file path=customXml/itemProps3.xml><?xml version="1.0" encoding="utf-8"?>
<ds:datastoreItem xmlns:ds="http://schemas.openxmlformats.org/officeDocument/2006/customXml" ds:itemID="{7A277004-B7D2-4DCF-8D12-CD542BD4C2EB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QuickBooks Desktop Export Tips</vt:lpstr>
      <vt:lpstr>Sheet1</vt:lpstr>
      <vt:lpstr>Sheet1!Print_Titles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Brocha Swadron</dc:creator>
  <cp:lastModifiedBy>Brocha Swadron</cp:lastModifiedBy>
  <dcterms:created xsi:type="dcterms:W3CDTF">2026-04-20T18:39:30Z</dcterms:created>
  <dcterms:modified xsi:type="dcterms:W3CDTF">2026-04-20T18:40:31Z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0x0101003F41890C2B12184E9ECA3D5D24EB83DA</vt:lpwstr>
  </property>
</Properties>
</file>