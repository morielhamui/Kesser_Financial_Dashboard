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Petlin/"/>
    </mc:Choice>
  </mc:AlternateContent>
  <xr:revisionPtr revIDLastSave="2" documentId="8_{DF417581-798F-44A0-9811-F49FF60DAC7A}" xr6:coauthVersionLast="47" xr6:coauthVersionMax="47" xr10:uidLastSave="{F6C809E2-2FDD-4B96-9001-317A7D3A5441}"/>
  <bookViews>
    <workbookView xWindow="-120" yWindow="-120" windowWidth="29040" windowHeight="15720" activeTab="1" xr2:uid="{76E0B23E-8284-4FF9-B33A-D442F98CF83B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Sheet1!$4:$4,Sheet1!$5:$5,Sheet1!$6:$6,Sheet1!$7:$7,Sheet1!$8:$8,Sheet1!$9:$9,Sheet1!$10:$10,Sheet1!$11:$11,Sheet1!$12:$12,Sheet1!$13:$13,Sheet1!$14:$14,Sheet1!$19:$19,Sheet1!$20:$20,Sheet1!$21:$21,Sheet1!$22:$22,Sheet1!$23:$23</definedName>
    <definedName name="QB_DATA_1" localSheetId="1" hidden="1">Sheet1!$24:$24,Sheet1!$25:$25,Sheet1!$26:$26,Sheet1!$27:$27,Sheet1!$28:$28,Sheet1!$29:$29,Sheet1!$30:$30,Sheet1!$31:$31,Sheet1!$32:$32,Sheet1!$33:$33,Sheet1!$34:$34,Sheet1!$35:$35,Sheet1!$36:$36,Sheet1!$39:$39,Sheet1!$40:$40,Sheet1!$41:$41</definedName>
    <definedName name="QB_DATA_2" localSheetId="1" hidden="1">Sheet1!$42:$42,Sheet1!$43:$43,Sheet1!$44:$44,Sheet1!$45:$45,Sheet1!$46:$46,Sheet1!$49:$49,Sheet1!$50:$50,Sheet1!$51:$51,Sheet1!$52:$52,Sheet1!$53:$53,Sheet1!$54:$54,Sheet1!$55:$55,Sheet1!$56:$56,Sheet1!$57:$57,Sheet1!$58:$58,Sheet1!$61:$61</definedName>
    <definedName name="QB_DATA_3" localSheetId="1" hidden="1">Sheet1!$62:$62,Sheet1!$63:$63,Sheet1!$64:$64,Sheet1!$65:$65,Sheet1!$66:$66,Sheet1!$67:$67,Sheet1!$68:$68,Sheet1!$71:$71,Sheet1!$72:$72,Sheet1!$73:$73,Sheet1!$74:$74,Sheet1!$75:$75,Sheet1!$76:$76,Sheet1!$77:$77,Sheet1!$80:$80,Sheet1!$81:$81</definedName>
    <definedName name="QB_DATA_4" localSheetId="1" hidden="1">Sheet1!$82:$82,Sheet1!$83:$83,Sheet1!$84:$84,Sheet1!$85:$85,Sheet1!$88:$88,Sheet1!$89:$89,Sheet1!$90:$90,Sheet1!$91:$91,Sheet1!$92:$92,Sheet1!$93:$93,Sheet1!$94:$94,Sheet1!$95:$95,Sheet1!$96:$96,Sheet1!$97:$97,Sheet1!$98:$98,Sheet1!$99:$99</definedName>
    <definedName name="QB_DATA_5" localSheetId="1" hidden="1">Sheet1!$100:$100,Sheet1!$101:$101,Sheet1!$102:$102,Sheet1!$103:$103,Sheet1!$104:$104,Sheet1!$105:$105,Sheet1!$106:$106,Sheet1!$107:$107,Sheet1!$108:$108,Sheet1!$109:$109,Sheet1!$110:$110,Sheet1!$111:$111,Sheet1!$112:$112,Sheet1!$113:$113,Sheet1!$114:$114,Sheet1!$121:$121</definedName>
    <definedName name="QB_DATA_6" localSheetId="1" hidden="1">Sheet1!$122:$122</definedName>
    <definedName name="QB_FORMULA_0" localSheetId="1" hidden="1">Sheet1!$AE$4,Sheet1!$AE$5,Sheet1!$AE$6,Sheet1!$AE$7,Sheet1!$AE$8,Sheet1!$AE$9,Sheet1!$AE$10,Sheet1!$AE$11,Sheet1!$AE$12,Sheet1!$AE$13,Sheet1!$AE$14,Sheet1!$G$15,Sheet1!$I$15,Sheet1!$K$15,Sheet1!$M$15,Sheet1!$O$15</definedName>
    <definedName name="QB_FORMULA_1" localSheetId="1" hidden="1">Sheet1!$Q$15,Sheet1!$S$15,Sheet1!$U$15,Sheet1!$W$15,Sheet1!$Y$15,Sheet1!$AA$15,Sheet1!$AC$15,Sheet1!$AE$15,Sheet1!$G$16,Sheet1!$I$16,Sheet1!$K$16,Sheet1!$M$16,Sheet1!$O$16,Sheet1!$Q$16,Sheet1!$S$16,Sheet1!$U$16</definedName>
    <definedName name="QB_FORMULA_10" localSheetId="1" hidden="1">Sheet1!$I$86,Sheet1!$K$86,Sheet1!$M$86,Sheet1!$O$86,Sheet1!$Q$86,Sheet1!$S$86,Sheet1!$U$86,Sheet1!$W$86,Sheet1!$Y$86,Sheet1!$AA$86,Sheet1!$AC$86,Sheet1!$AE$86,Sheet1!$AE$88,Sheet1!$AE$89,Sheet1!$AE$90,Sheet1!$AE$91</definedName>
    <definedName name="QB_FORMULA_11" localSheetId="1" hidden="1">Sheet1!$AE$92,Sheet1!$AE$93,Sheet1!$AE$94,Sheet1!$AE$95,Sheet1!$AE$96,Sheet1!$AE$97,Sheet1!$AE$98,Sheet1!$AE$99,Sheet1!$AE$100,Sheet1!$AE$101,Sheet1!$AE$102,Sheet1!$AE$103,Sheet1!$AE$104,Sheet1!$AE$105,Sheet1!$AE$106,Sheet1!$AE$107</definedName>
    <definedName name="QB_FORMULA_12" localSheetId="1" hidden="1">Sheet1!$AE$108,Sheet1!$AE$109,Sheet1!$AE$110,Sheet1!$AE$111,Sheet1!$AE$112,Sheet1!$AE$113,Sheet1!$AE$114,Sheet1!$G$115,Sheet1!$I$115,Sheet1!$K$115,Sheet1!$M$115,Sheet1!$O$115,Sheet1!$Q$115,Sheet1!$S$115,Sheet1!$U$115,Sheet1!$W$115</definedName>
    <definedName name="QB_FORMULA_13" localSheetId="1" hidden="1">Sheet1!$Y$115,Sheet1!$AA$115,Sheet1!$AC$115,Sheet1!$AE$115,Sheet1!$G$116,Sheet1!$I$116,Sheet1!$K$116,Sheet1!$M$116,Sheet1!$O$116,Sheet1!$Q$116,Sheet1!$S$116,Sheet1!$U$116,Sheet1!$W$116,Sheet1!$Y$116,Sheet1!$AA$116,Sheet1!$AC$116</definedName>
    <definedName name="QB_FORMULA_14" localSheetId="1" hidden="1">Sheet1!$AE$116,Sheet1!$G$117,Sheet1!$I$117,Sheet1!$K$117,Sheet1!$M$117,Sheet1!$O$117,Sheet1!$Q$117,Sheet1!$S$117,Sheet1!$U$117,Sheet1!$W$117,Sheet1!$Y$117,Sheet1!$AA$117,Sheet1!$AC$117,Sheet1!$AE$117,Sheet1!$AE$121,Sheet1!$AE$122</definedName>
    <definedName name="QB_FORMULA_15" localSheetId="1" hidden="1">Sheet1!$G$123,Sheet1!$I$123,Sheet1!$K$123,Sheet1!$M$123,Sheet1!$O$123,Sheet1!$Q$123,Sheet1!$S$123,Sheet1!$U$123,Sheet1!$W$123,Sheet1!$Y$123,Sheet1!$AA$123,Sheet1!$AC$123,Sheet1!$AE$123,Sheet1!$G$124,Sheet1!$I$124,Sheet1!$K$124</definedName>
    <definedName name="QB_FORMULA_16" localSheetId="1" hidden="1">Sheet1!$M$124,Sheet1!$O$124,Sheet1!$Q$124,Sheet1!$S$124,Sheet1!$U$124,Sheet1!$W$124,Sheet1!$Y$124,Sheet1!$AA$124,Sheet1!$AC$124,Sheet1!$AE$124,Sheet1!$G$125,Sheet1!$I$125,Sheet1!$K$125,Sheet1!$M$125,Sheet1!$O$125,Sheet1!$Q$125</definedName>
    <definedName name="QB_FORMULA_17" localSheetId="1" hidden="1">Sheet1!$S$125,Sheet1!$U$125,Sheet1!$W$125,Sheet1!$Y$125,Sheet1!$AA$125,Sheet1!$AC$125,Sheet1!$AE$125,Sheet1!$G$126,Sheet1!$I$126,Sheet1!$K$126,Sheet1!$M$126,Sheet1!$O$126,Sheet1!$Q$126,Sheet1!$S$126,Sheet1!$U$126,Sheet1!$W$126</definedName>
    <definedName name="QB_FORMULA_18" localSheetId="1" hidden="1">Sheet1!$Y$126,Sheet1!$AA$126,Sheet1!$AC$126,Sheet1!$AE$126</definedName>
    <definedName name="QB_FORMULA_2" localSheetId="1" hidden="1">Sheet1!$W$16,Sheet1!$Y$16,Sheet1!$AA$16,Sheet1!$AC$16,Sheet1!$AE$16,Sheet1!$AE$19,Sheet1!$AE$20,Sheet1!$AE$21,Sheet1!$AE$22,Sheet1!$AE$23,Sheet1!$AE$24,Sheet1!$AE$25,Sheet1!$AE$26,Sheet1!$AE$27,Sheet1!$AE$28,Sheet1!$AE$29</definedName>
    <definedName name="QB_FORMULA_3" localSheetId="1" hidden="1">Sheet1!$AE$30,Sheet1!$AE$31,Sheet1!$AE$32,Sheet1!$AE$33,Sheet1!$AE$34,Sheet1!$AE$35,Sheet1!$AE$36,Sheet1!$G$37,Sheet1!$I$37,Sheet1!$K$37,Sheet1!$M$37,Sheet1!$O$37,Sheet1!$Q$37,Sheet1!$S$37,Sheet1!$U$37,Sheet1!$W$37</definedName>
    <definedName name="QB_FORMULA_4" localSheetId="1" hidden="1">Sheet1!$Y$37,Sheet1!$AA$37,Sheet1!$AC$37,Sheet1!$AE$37,Sheet1!$AE$39,Sheet1!$AE$40,Sheet1!$AE$41,Sheet1!$AE$42,Sheet1!$AE$43,Sheet1!$AE$44,Sheet1!$AE$45,Sheet1!$AE$46,Sheet1!$G$47,Sheet1!$I$47,Sheet1!$K$47,Sheet1!$M$47</definedName>
    <definedName name="QB_FORMULA_5" localSheetId="1" hidden="1">Sheet1!$O$47,Sheet1!$Q$47,Sheet1!$S$47,Sheet1!$U$47,Sheet1!$W$47,Sheet1!$Y$47,Sheet1!$AA$47,Sheet1!$AC$47,Sheet1!$AE$47,Sheet1!$AE$49,Sheet1!$AE$50,Sheet1!$AE$51,Sheet1!$AE$52,Sheet1!$AE$53,Sheet1!$AE$54,Sheet1!$AE$55</definedName>
    <definedName name="QB_FORMULA_6" localSheetId="1" hidden="1">Sheet1!$AE$56,Sheet1!$AE$57,Sheet1!$AE$58,Sheet1!$G$59,Sheet1!$I$59,Sheet1!$K$59,Sheet1!$M$59,Sheet1!$O$59,Sheet1!$Q$59,Sheet1!$S$59,Sheet1!$U$59,Sheet1!$W$59,Sheet1!$Y$59,Sheet1!$AA$59,Sheet1!$AC$59,Sheet1!$AE$59</definedName>
    <definedName name="QB_FORMULA_7" localSheetId="1" hidden="1">Sheet1!$AE$61,Sheet1!$AE$62,Sheet1!$AE$63,Sheet1!$AE$64,Sheet1!$AE$65,Sheet1!$AE$66,Sheet1!$AE$67,Sheet1!$AE$68,Sheet1!$G$69,Sheet1!$I$69,Sheet1!$K$69,Sheet1!$M$69,Sheet1!$O$69,Sheet1!$Q$69,Sheet1!$S$69,Sheet1!$U$69</definedName>
    <definedName name="QB_FORMULA_8" localSheetId="1" hidden="1">Sheet1!$W$69,Sheet1!$Y$69,Sheet1!$AA$69,Sheet1!$AC$69,Sheet1!$AE$69,Sheet1!$AE$71,Sheet1!$AE$72,Sheet1!$AE$73,Sheet1!$AE$74,Sheet1!$AE$75,Sheet1!$AE$76,Sheet1!$AE$77,Sheet1!$G$78,Sheet1!$I$78,Sheet1!$K$78,Sheet1!$M$78</definedName>
    <definedName name="QB_FORMULA_9" localSheetId="1" hidden="1">Sheet1!$O$78,Sheet1!$Q$78,Sheet1!$S$78,Sheet1!$U$78,Sheet1!$W$78,Sheet1!$Y$78,Sheet1!$AA$78,Sheet1!$AC$78,Sheet1!$AE$78,Sheet1!$AE$80,Sheet1!$AE$81,Sheet1!$AE$82,Sheet1!$AE$83,Sheet1!$AE$84,Sheet1!$AE$85,Sheet1!$G$86</definedName>
    <definedName name="QB_ROW_127240" localSheetId="1" hidden="1">Sheet1!$E$4</definedName>
    <definedName name="QB_ROW_128240" localSheetId="1" hidden="1">Sheet1!$E$5</definedName>
    <definedName name="QB_ROW_132240" localSheetId="1" hidden="1">Sheet1!$E$6</definedName>
    <definedName name="QB_ROW_134240" localSheetId="1" hidden="1">Sheet1!$E$7</definedName>
    <definedName name="QB_ROW_135240" localSheetId="1" hidden="1">Sheet1!$E$8</definedName>
    <definedName name="QB_ROW_138240" localSheetId="1" hidden="1">Sheet1!$E$9</definedName>
    <definedName name="QB_ROW_143240" localSheetId="1" hidden="1">Sheet1!$E$10</definedName>
    <definedName name="QB_ROW_161240" localSheetId="1" hidden="1">Sheet1!$E$11</definedName>
    <definedName name="QB_ROW_167240" localSheetId="1" hidden="1">Sheet1!$E$12</definedName>
    <definedName name="QB_ROW_174240" localSheetId="1" hidden="1">Sheet1!$E$13</definedName>
    <definedName name="QB_ROW_182240" localSheetId="1" hidden="1">Sheet1!$E$14</definedName>
    <definedName name="QB_ROW_18301" localSheetId="1" hidden="1">Sheet1!$A$126</definedName>
    <definedName name="QB_ROW_189040" localSheetId="1" hidden="1">Sheet1!$E$18</definedName>
    <definedName name="QB_ROW_189340" localSheetId="1" hidden="1">Sheet1!$E$37</definedName>
    <definedName name="QB_ROW_19011" localSheetId="1" hidden="1">Sheet1!$B$2</definedName>
    <definedName name="QB_ROW_190250" localSheetId="1" hidden="1">Sheet1!$F$19</definedName>
    <definedName name="QB_ROW_191250" localSheetId="1" hidden="1">Sheet1!$F$20</definedName>
    <definedName name="QB_ROW_192250" localSheetId="1" hidden="1">Sheet1!$F$21</definedName>
    <definedName name="QB_ROW_19311" localSheetId="1" hidden="1">Sheet1!$B$117</definedName>
    <definedName name="QB_ROW_196250" localSheetId="1" hidden="1">Sheet1!$F$22</definedName>
    <definedName name="QB_ROW_198250" localSheetId="1" hidden="1">Sheet1!$F$23</definedName>
    <definedName name="QB_ROW_20031" localSheetId="1" hidden="1">Sheet1!$D$3</definedName>
    <definedName name="QB_ROW_202250" localSheetId="1" hidden="1">Sheet1!$F$24</definedName>
    <definedName name="QB_ROW_203250" localSheetId="1" hidden="1">Sheet1!$F$25</definedName>
    <definedName name="QB_ROW_20331" localSheetId="1" hidden="1">Sheet1!$D$15</definedName>
    <definedName name="QB_ROW_204250" localSheetId="1" hidden="1">Sheet1!$F$26</definedName>
    <definedName name="QB_ROW_206250" localSheetId="1" hidden="1">Sheet1!$F$27</definedName>
    <definedName name="QB_ROW_209250" localSheetId="1" hidden="1">Sheet1!$F$28</definedName>
    <definedName name="QB_ROW_21031" localSheetId="1" hidden="1">Sheet1!$D$17</definedName>
    <definedName name="QB_ROW_211250" localSheetId="1" hidden="1">Sheet1!$F$29</definedName>
    <definedName name="QB_ROW_212250" localSheetId="1" hidden="1">Sheet1!$F$30</definedName>
    <definedName name="QB_ROW_213250" localSheetId="1" hidden="1">Sheet1!$F$31</definedName>
    <definedName name="QB_ROW_21331" localSheetId="1" hidden="1">Sheet1!$D$116</definedName>
    <definedName name="QB_ROW_215250" localSheetId="1" hidden="1">Sheet1!$F$32</definedName>
    <definedName name="QB_ROW_216250" localSheetId="1" hidden="1">Sheet1!$F$33</definedName>
    <definedName name="QB_ROW_22011" localSheetId="1" hidden="1">Sheet1!$B$118</definedName>
    <definedName name="QB_ROW_22311" localSheetId="1" hidden="1">Sheet1!$B$125</definedName>
    <definedName name="QB_ROW_227250" localSheetId="1" hidden="1">Sheet1!$F$34</definedName>
    <definedName name="QB_ROW_230250" localSheetId="1" hidden="1">Sheet1!$F$35</definedName>
    <definedName name="QB_ROW_231250" localSheetId="1" hidden="1">Sheet1!$F$36</definedName>
    <definedName name="QB_ROW_234040" localSheetId="1" hidden="1">Sheet1!$E$38</definedName>
    <definedName name="QB_ROW_234250" localSheetId="1" hidden="1">Sheet1!$F$46</definedName>
    <definedName name="QB_ROW_234340" localSheetId="1" hidden="1">Sheet1!$E$47</definedName>
    <definedName name="QB_ROW_235250" localSheetId="1" hidden="1">Sheet1!$F$39</definedName>
    <definedName name="QB_ROW_236250" localSheetId="1" hidden="1">Sheet1!$F$40</definedName>
    <definedName name="QB_ROW_238250" localSheetId="1" hidden="1">Sheet1!$F$41</definedName>
    <definedName name="QB_ROW_24021" localSheetId="1" hidden="1">Sheet1!$C$119</definedName>
    <definedName name="QB_ROW_240250" localSheetId="1" hidden="1">Sheet1!$F$42</definedName>
    <definedName name="QB_ROW_242250" localSheetId="1" hidden="1">Sheet1!$F$43</definedName>
    <definedName name="QB_ROW_24321" localSheetId="1" hidden="1">Sheet1!$C$124</definedName>
    <definedName name="QB_ROW_248040" localSheetId="1" hidden="1">Sheet1!$E$48</definedName>
    <definedName name="QB_ROW_248250" localSheetId="1" hidden="1">Sheet1!$F$58</definedName>
    <definedName name="QB_ROW_248340" localSheetId="1" hidden="1">Sheet1!$E$59</definedName>
    <definedName name="QB_ROW_249250" localSheetId="1" hidden="1">Sheet1!$F$49</definedName>
    <definedName name="QB_ROW_250250" localSheetId="1" hidden="1">Sheet1!$F$50</definedName>
    <definedName name="QB_ROW_251250" localSheetId="1" hidden="1">Sheet1!$F$51</definedName>
    <definedName name="QB_ROW_252250" localSheetId="1" hidden="1">Sheet1!$F$52</definedName>
    <definedName name="QB_ROW_253250" localSheetId="1" hidden="1">Sheet1!$F$53</definedName>
    <definedName name="QB_ROW_254250" localSheetId="1" hidden="1">Sheet1!$F$54</definedName>
    <definedName name="QB_ROW_255250" localSheetId="1" hidden="1">Sheet1!$F$55</definedName>
    <definedName name="QB_ROW_256250" localSheetId="1" hidden="1">Sheet1!$F$56</definedName>
    <definedName name="QB_ROW_257250" localSheetId="1" hidden="1">Sheet1!$F$57</definedName>
    <definedName name="QB_ROW_259040" localSheetId="1" hidden="1">Sheet1!$E$60</definedName>
    <definedName name="QB_ROW_259340" localSheetId="1" hidden="1">Sheet1!$E$69</definedName>
    <definedName name="QB_ROW_260250" localSheetId="1" hidden="1">Sheet1!$F$61</definedName>
    <definedName name="QB_ROW_261250" localSheetId="1" hidden="1">Sheet1!$F$62</definedName>
    <definedName name="QB_ROW_263250" localSheetId="1" hidden="1">Sheet1!$F$63</definedName>
    <definedName name="QB_ROW_264250" localSheetId="1" hidden="1">Sheet1!$F$64</definedName>
    <definedName name="QB_ROW_265250" localSheetId="1" hidden="1">Sheet1!$F$65</definedName>
    <definedName name="QB_ROW_267250" localSheetId="1" hidden="1">Sheet1!$F$66</definedName>
    <definedName name="QB_ROW_269250" localSheetId="1" hidden="1">Sheet1!$F$67</definedName>
    <definedName name="QB_ROW_271250" localSheetId="1" hidden="1">Sheet1!$F$68</definedName>
    <definedName name="QB_ROW_274040" localSheetId="1" hidden="1">Sheet1!$E$70</definedName>
    <definedName name="QB_ROW_274250" localSheetId="1" hidden="1">Sheet1!$F$77</definedName>
    <definedName name="QB_ROW_274340" localSheetId="1" hidden="1">Sheet1!$E$78</definedName>
    <definedName name="QB_ROW_275250" localSheetId="1" hidden="1">Sheet1!$F$71</definedName>
    <definedName name="QB_ROW_276250" localSheetId="1" hidden="1">Sheet1!$F$72</definedName>
    <definedName name="QB_ROW_277250" localSheetId="1" hidden="1">Sheet1!$F$73</definedName>
    <definedName name="QB_ROW_279250" localSheetId="1" hidden="1">Sheet1!$F$74</definedName>
    <definedName name="QB_ROW_280250" localSheetId="1" hidden="1">Sheet1!$F$75</definedName>
    <definedName name="QB_ROW_281250" localSheetId="1" hidden="1">Sheet1!$F$76</definedName>
    <definedName name="QB_ROW_283040" localSheetId="1" hidden="1">Sheet1!$E$79</definedName>
    <definedName name="QB_ROW_283340" localSheetId="1" hidden="1">Sheet1!$E$86</definedName>
    <definedName name="QB_ROW_284250" localSheetId="1" hidden="1">Sheet1!$F$80</definedName>
    <definedName name="QB_ROW_285250" localSheetId="1" hidden="1">Sheet1!$F$81</definedName>
    <definedName name="QB_ROW_286250" localSheetId="1" hidden="1">Sheet1!$F$82</definedName>
    <definedName name="QB_ROW_288250" localSheetId="1" hidden="1">Sheet1!$F$83</definedName>
    <definedName name="QB_ROW_289250" localSheetId="1" hidden="1">Sheet1!$F$84</definedName>
    <definedName name="QB_ROW_290250" localSheetId="1" hidden="1">Sheet1!$F$85</definedName>
    <definedName name="QB_ROW_292040" localSheetId="1" hidden="1">Sheet1!$E$87</definedName>
    <definedName name="QB_ROW_292340" localSheetId="1" hidden="1">Sheet1!$E$115</definedName>
    <definedName name="QB_ROW_293250" localSheetId="1" hidden="1">Sheet1!$F$88</definedName>
    <definedName name="QB_ROW_294250" localSheetId="1" hidden="1">Sheet1!$F$89</definedName>
    <definedName name="QB_ROW_295250" localSheetId="1" hidden="1">Sheet1!$F$90</definedName>
    <definedName name="QB_ROW_296250" localSheetId="1" hidden="1">Sheet1!$F$91</definedName>
    <definedName name="QB_ROW_297250" localSheetId="1" hidden="1">Sheet1!$F$92</definedName>
    <definedName name="QB_ROW_299250" localSheetId="1" hidden="1">Sheet1!$F$93</definedName>
    <definedName name="QB_ROW_301250" localSheetId="1" hidden="1">Sheet1!$F$94</definedName>
    <definedName name="QB_ROW_303250" localSheetId="1" hidden="1">Sheet1!$F$95</definedName>
    <definedName name="QB_ROW_304250" localSheetId="1" hidden="1">Sheet1!$F$96</definedName>
    <definedName name="QB_ROW_305250" localSheetId="1" hidden="1">Sheet1!$F$97</definedName>
    <definedName name="QB_ROW_306250" localSheetId="1" hidden="1">Sheet1!$F$98</definedName>
    <definedName name="QB_ROW_307250" localSheetId="1" hidden="1">Sheet1!$F$99</definedName>
    <definedName name="QB_ROW_309250" localSheetId="1" hidden="1">Sheet1!$F$100</definedName>
    <definedName name="QB_ROW_310250" localSheetId="1" hidden="1">Sheet1!$F$101</definedName>
    <definedName name="QB_ROW_311250" localSheetId="1" hidden="1">Sheet1!$F$102</definedName>
    <definedName name="QB_ROW_313250" localSheetId="1" hidden="1">Sheet1!$F$103</definedName>
    <definedName name="QB_ROW_314250" localSheetId="1" hidden="1">Sheet1!$F$104</definedName>
    <definedName name="QB_ROW_315250" localSheetId="1" hidden="1">Sheet1!$F$105</definedName>
    <definedName name="QB_ROW_317250" localSheetId="1" hidden="1">Sheet1!$F$106</definedName>
    <definedName name="QB_ROW_320250" localSheetId="1" hidden="1">Sheet1!$F$107</definedName>
    <definedName name="QB_ROW_323250" localSheetId="1" hidden="1">Sheet1!$F$108</definedName>
    <definedName name="QB_ROW_324250" localSheetId="1" hidden="1">Sheet1!$F$109</definedName>
    <definedName name="QB_ROW_333250" localSheetId="1" hidden="1">Sheet1!$F$110</definedName>
    <definedName name="QB_ROW_335250" localSheetId="1" hidden="1">Sheet1!$F$111</definedName>
    <definedName name="QB_ROW_341250" localSheetId="1" hidden="1">Sheet1!$F$112</definedName>
    <definedName name="QB_ROW_342250" localSheetId="1" hidden="1">Sheet1!$F$113</definedName>
    <definedName name="QB_ROW_343250" localSheetId="1" hidden="1">Sheet1!$F$114</definedName>
    <definedName name="QB_ROW_349030" localSheetId="1" hidden="1">Sheet1!$D$120</definedName>
    <definedName name="QB_ROW_349330" localSheetId="1" hidden="1">Sheet1!$D$123</definedName>
    <definedName name="QB_ROW_350240" localSheetId="1" hidden="1">Sheet1!$E$121</definedName>
    <definedName name="QB_ROW_351240" localSheetId="1" hidden="1">Sheet1!$E$122</definedName>
    <definedName name="QB_ROW_356250" localSheetId="1" hidden="1">Sheet1!$F$44</definedName>
    <definedName name="QB_ROW_358250" localSheetId="1" hidden="1">Sheet1!$F$45</definedName>
    <definedName name="QB_ROW_86321" localSheetId="1" hidden="1">Sheet1!$C$16</definedName>
    <definedName name="QBCANSUPPORTUPDATE" localSheetId="1">TRUE</definedName>
    <definedName name="QBCOMPANYFILENAME" localSheetId="1">"S:\Quickbooks\north aurora living and rehab center llc.qbw"</definedName>
    <definedName name="QBENDDATE" localSheetId="1">20260630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"cc590d9b3eaa46da85fd169b4c3f2793"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20250701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26" i="1" l="1"/>
  <c r="AC126" i="1"/>
  <c r="AA126" i="1"/>
  <c r="Y126" i="1"/>
  <c r="W126" i="1"/>
  <c r="U126" i="1"/>
  <c r="S126" i="1"/>
  <c r="Q126" i="1"/>
  <c r="O126" i="1"/>
  <c r="M126" i="1"/>
  <c r="K126" i="1"/>
  <c r="I126" i="1"/>
  <c r="G126" i="1"/>
  <c r="AE125" i="1"/>
  <c r="AC125" i="1"/>
  <c r="AA125" i="1"/>
  <c r="Y125" i="1"/>
  <c r="W125" i="1"/>
  <c r="U125" i="1"/>
  <c r="S125" i="1"/>
  <c r="Q125" i="1"/>
  <c r="O125" i="1"/>
  <c r="M125" i="1"/>
  <c r="K125" i="1"/>
  <c r="I125" i="1"/>
  <c r="G125" i="1"/>
  <c r="AE124" i="1"/>
  <c r="AC124" i="1"/>
  <c r="AA124" i="1"/>
  <c r="Y124" i="1"/>
  <c r="W124" i="1"/>
  <c r="U124" i="1"/>
  <c r="S124" i="1"/>
  <c r="Q124" i="1"/>
  <c r="O124" i="1"/>
  <c r="M124" i="1"/>
  <c r="K124" i="1"/>
  <c r="I124" i="1"/>
  <c r="G124" i="1"/>
  <c r="AE123" i="1"/>
  <c r="AC123" i="1"/>
  <c r="AA123" i="1"/>
  <c r="Y123" i="1"/>
  <c r="W123" i="1"/>
  <c r="U123" i="1"/>
  <c r="S123" i="1"/>
  <c r="Q123" i="1"/>
  <c r="O123" i="1"/>
  <c r="M123" i="1"/>
  <c r="K123" i="1"/>
  <c r="I123" i="1"/>
  <c r="G123" i="1"/>
  <c r="AE122" i="1"/>
  <c r="AE121" i="1"/>
  <c r="AE117" i="1"/>
  <c r="AC117" i="1"/>
  <c r="AA117" i="1"/>
  <c r="Y117" i="1"/>
  <c r="W117" i="1"/>
  <c r="U117" i="1"/>
  <c r="S117" i="1"/>
  <c r="Q117" i="1"/>
  <c r="O117" i="1"/>
  <c r="M117" i="1"/>
  <c r="K117" i="1"/>
  <c r="I117" i="1"/>
  <c r="G117" i="1"/>
  <c r="AE116" i="1"/>
  <c r="AC116" i="1"/>
  <c r="AA116" i="1"/>
  <c r="Y116" i="1"/>
  <c r="W116" i="1"/>
  <c r="U116" i="1"/>
  <c r="S116" i="1"/>
  <c r="Q116" i="1"/>
  <c r="O116" i="1"/>
  <c r="M116" i="1"/>
  <c r="K116" i="1"/>
  <c r="I116" i="1"/>
  <c r="G116" i="1"/>
  <c r="AE115" i="1"/>
  <c r="AC115" i="1"/>
  <c r="AA115" i="1"/>
  <c r="Y115" i="1"/>
  <c r="W115" i="1"/>
  <c r="U115" i="1"/>
  <c r="S115" i="1"/>
  <c r="Q115" i="1"/>
  <c r="O115" i="1"/>
  <c r="M115" i="1"/>
  <c r="K115" i="1"/>
  <c r="I115" i="1"/>
  <c r="G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6" i="1"/>
  <c r="AC86" i="1"/>
  <c r="AA86" i="1"/>
  <c r="Y86" i="1"/>
  <c r="W86" i="1"/>
  <c r="U86" i="1"/>
  <c r="S86" i="1"/>
  <c r="Q86" i="1"/>
  <c r="O86" i="1"/>
  <c r="M86" i="1"/>
  <c r="K86" i="1"/>
  <c r="I86" i="1"/>
  <c r="G86" i="1"/>
  <c r="AE85" i="1"/>
  <c r="AE84" i="1"/>
  <c r="AE83" i="1"/>
  <c r="AE82" i="1"/>
  <c r="AE81" i="1"/>
  <c r="AE80" i="1"/>
  <c r="AE78" i="1"/>
  <c r="AC78" i="1"/>
  <c r="AA78" i="1"/>
  <c r="Y78" i="1"/>
  <c r="W78" i="1"/>
  <c r="U78" i="1"/>
  <c r="S78" i="1"/>
  <c r="Q78" i="1"/>
  <c r="O78" i="1"/>
  <c r="M78" i="1"/>
  <c r="K78" i="1"/>
  <c r="I78" i="1"/>
  <c r="G78" i="1"/>
  <c r="AE77" i="1"/>
  <c r="AE76" i="1"/>
  <c r="AE75" i="1"/>
  <c r="AE74" i="1"/>
  <c r="AE73" i="1"/>
  <c r="AE72" i="1"/>
  <c r="AE71" i="1"/>
  <c r="AE69" i="1"/>
  <c r="AC69" i="1"/>
  <c r="AA69" i="1"/>
  <c r="Y69" i="1"/>
  <c r="W69" i="1"/>
  <c r="U69" i="1"/>
  <c r="S69" i="1"/>
  <c r="Q69" i="1"/>
  <c r="O69" i="1"/>
  <c r="M69" i="1"/>
  <c r="K69" i="1"/>
  <c r="I69" i="1"/>
  <c r="G69" i="1"/>
  <c r="AE68" i="1"/>
  <c r="AE67" i="1"/>
  <c r="AE66" i="1"/>
  <c r="AE65" i="1"/>
  <c r="AE64" i="1"/>
  <c r="AE63" i="1"/>
  <c r="AE62" i="1"/>
  <c r="AE61" i="1"/>
  <c r="AE59" i="1"/>
  <c r="AC59" i="1"/>
  <c r="AA59" i="1"/>
  <c r="Y59" i="1"/>
  <c r="W59" i="1"/>
  <c r="U59" i="1"/>
  <c r="S59" i="1"/>
  <c r="Q59" i="1"/>
  <c r="O59" i="1"/>
  <c r="M59" i="1"/>
  <c r="K59" i="1"/>
  <c r="I59" i="1"/>
  <c r="G59" i="1"/>
  <c r="AE58" i="1"/>
  <c r="AE57" i="1"/>
  <c r="AE56" i="1"/>
  <c r="AE55" i="1"/>
  <c r="AE54" i="1"/>
  <c r="AE53" i="1"/>
  <c r="AE52" i="1"/>
  <c r="AE51" i="1"/>
  <c r="AE50" i="1"/>
  <c r="AE49" i="1"/>
  <c r="AE47" i="1"/>
  <c r="AC47" i="1"/>
  <c r="AA47" i="1"/>
  <c r="Y47" i="1"/>
  <c r="W47" i="1"/>
  <c r="U47" i="1"/>
  <c r="S47" i="1"/>
  <c r="Q47" i="1"/>
  <c r="O47" i="1"/>
  <c r="M47" i="1"/>
  <c r="K47" i="1"/>
  <c r="I47" i="1"/>
  <c r="G47" i="1"/>
  <c r="AE46" i="1"/>
  <c r="AE45" i="1"/>
  <c r="AE44" i="1"/>
  <c r="AE43" i="1"/>
  <c r="AE42" i="1"/>
  <c r="AE41" i="1"/>
  <c r="AE40" i="1"/>
  <c r="AE39" i="1"/>
  <c r="AE37" i="1"/>
  <c r="AC37" i="1"/>
  <c r="AA37" i="1"/>
  <c r="Y37" i="1"/>
  <c r="W37" i="1"/>
  <c r="U37" i="1"/>
  <c r="S37" i="1"/>
  <c r="Q37" i="1"/>
  <c r="O37" i="1"/>
  <c r="M37" i="1"/>
  <c r="K37" i="1"/>
  <c r="I37" i="1"/>
  <c r="G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6" i="1"/>
  <c r="AC16" i="1"/>
  <c r="AA16" i="1"/>
  <c r="Y16" i="1"/>
  <c r="W16" i="1"/>
  <c r="U16" i="1"/>
  <c r="S16" i="1"/>
  <c r="Q16" i="1"/>
  <c r="O16" i="1"/>
  <c r="M16" i="1"/>
  <c r="K16" i="1"/>
  <c r="I16" i="1"/>
  <c r="G16" i="1"/>
  <c r="AE15" i="1"/>
  <c r="AC15" i="1"/>
  <c r="AA15" i="1"/>
  <c r="Y15" i="1"/>
  <c r="W15" i="1"/>
  <c r="U15" i="1"/>
  <c r="S15" i="1"/>
  <c r="Q15" i="1"/>
  <c r="O15" i="1"/>
  <c r="M15" i="1"/>
  <c r="K15" i="1"/>
  <c r="I15" i="1"/>
  <c r="G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<sst xmlns="http://schemas.openxmlformats.org/spreadsheetml/2006/main" count="138" uniqueCount="138">
  <si>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</si>
  <si>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</si>
  <si>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</si>
  <si>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</si>
  <si>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</si>
  <si>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</si>
  <si>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</si>
  <si>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</si>
  <si>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</si>
  <si>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</si>
  <si>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314000-MISC. INCOME</t>
  </si>
  <si>
    <t>315060-MCB FLU VACCINE INC</t>
  </si>
  <si>
    <t>318050- MEDICARE A MMAI</t>
  </si>
  <si>
    <t>319000-REFUNDS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</si>
  <si>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</si>
  <si>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</si>
  <si>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</si>
  <si>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</si>
  <si>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</si>
  <si>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</si>
  <si>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</si>
  <si>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</si>
  <si>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</si>
  <si>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403900-PERSONAL CARE ITEMS</t>
  </si>
  <si>
    <t>404000-NURSING SUPPLIES</t>
  </si>
  <si>
    <t>404001-PA EX. OXIMETRY</t>
  </si>
  <si>
    <t>404050-OXYGEN</t>
  </si>
  <si>
    <t>406000-PHARMACY CONSULTANT</t>
  </si>
  <si>
    <t>407000-MEDICAL DIRECTOR</t>
  </si>
  <si>
    <t>407100-DOCTORS</t>
  </si>
  <si>
    <t>407200-LAB &amp; X-RAY</t>
  </si>
  <si>
    <t>408000-SPEECH THER CONSULT</t>
  </si>
  <si>
    <t>409000-OCC REHAB CONSULTANT</t>
  </si>
  <si>
    <t>409100-RESTORATIVE</t>
  </si>
  <si>
    <t>409103-PSYCHO SOCIAL CONSULTANT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</si>
  <si>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</si>
  <si>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</si>
  <si>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</si>
  <si>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</si>
  <si>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</si>
  <si>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</si>
  <si>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</si>
  <si>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</si>
  <si>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600148 PTO GRP 4</t>
  </si>
  <si>
    <t>600149 HOLIDAY PTO</t>
  </si>
  <si>
    <t>5-Employee Welfare Costs - Other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</si>
  <si>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</si>
  <si>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</si>
  <si>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</si>
  <si>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</si>
  <si>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</si>
  <si>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</si>
  <si>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</si>
  <si>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</si>
  <si>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</si>
  <si>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</si>
  <si>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</si>
  <si>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60-Dietary Costs - Other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</si>
  <si>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</si>
  <si>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</si>
  <si>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</si>
  <si>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</si>
  <si>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</si>
  <si>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</si>
  <si>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</si>
  <si>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</si>
  <si>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</si>
  <si>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</si>
  <si>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</si>
  <si>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</si>
  <si>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</si>
  <si>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</si>
  <si>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</si>
  <si>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</si>
  <si>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</si>
  <si>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646050-PRSD</t>
  </si>
  <si>
    <t>64-Activity Costs - Other</t>
  </si>
  <si>
    <t>Total 64-Activity Costs</t>
  </si>
  <si>
    <t>66- Laundry and Linen Costs</t>
  </si>
  <si>
    <t>661009-LAUNDRY SALARIES</t>
  </si>
  <si>
    <t>661020-LAUNDRY EXPENSE</t>
  </si>
  <si>
    <t>661020 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</si>
  <si>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</si>
  <si>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</si>
  <si>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</si>
  <si>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</si>
  <si>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</si>
  <si>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</si>
  <si>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</si>
  <si>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</si>
  <si>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</si>
  <si>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</si>
  <si>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</si>
  <si>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</si>
  <si>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</si>
  <si>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</si>
  <si>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</si>
  <si>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</si>
  <si>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</si>
  <si>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803500-BACKGROUND CHECK</t>
  </si>
  <si>
    <t>804000-OFFICE EXPENSE/SUPPLIES</t>
  </si>
  <si>
    <t>804010-OFFICE MISC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</si>
  <si>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</si>
  <si>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</si>
  <si>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</si>
  <si>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</si>
  <si>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</si>
  <si>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</si>
  <si>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</si>
  <si>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812000-INTEREST</t>
  </si>
  <si>
    <t>814000-INSURANCE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</si>
  <si>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</si>
  <si>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</si>
  <si>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</si>
  <si>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</si>
  <si>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</si>
  <si>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</si>
  <si>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</si>
  <si>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</si>
  <si>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</si>
  <si>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</si>
  <si>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</si>
  <si>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</si>
  <si>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Total Other Expense</t>
  </si>
  <si>
    <t>Net Other Income</t>
  </si>
  <si>
    <t>Net Income</t>
  </si>
  <si>
    <t>Jul 31, 25</t>
  </si>
  <si>
    <t>Aug 31, 25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</si>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</sst>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33C959E9-50C2-4F5A-B5FE-8C080900EA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A377046-61E7-4CAE-9808-CB056917A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4E55-5C75-46BC-81E0-FB48DF2619AD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5794-5994-4662-8E93-8B9EF3BBA509}">
  <dimension ref="A1:AE127"/>
  <sheetViews>
    <sheetView tabSelected="1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G1" sqref="G1:AC1"/>
    </sheetView>
  </sheetViews>
  <sheetFormatPr defaultRowHeight="15" x14ac:dyDescent="0.25"/>
  <cols>
    <col min="1" max="5" width="3" style="14" customWidth="1"/>
    <col min="6" max="6" width="31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71093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10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126</v>
      </c>
      <c r="H1" s="12"/>
      <c r="I1" s="11" t="s">
        <v>127</v>
      </c>
      <c r="J1" s="12"/>
      <c r="K1" s="11" t="s">
        <v>128</v>
      </c>
      <c r="L1" s="12"/>
      <c r="M1" s="11" t="s">
        <v>129</v>
      </c>
      <c r="N1" s="12"/>
      <c r="O1" s="11" t="s">
        <v>130</v>
      </c>
      <c r="P1" s="12"/>
      <c r="Q1" s="11" t="s">
        <v>131</v>
      </c>
      <c r="R1" s="12"/>
      <c r="S1" s="11" t="s">
        <v>132</v>
      </c>
      <c r="T1" s="12"/>
      <c r="U1" s="11" t="s">
        <v>133</v>
      </c>
      <c r="V1" s="12"/>
      <c r="W1" s="11" t="s">
        <v>134</v>
      </c>
      <c r="X1" s="12"/>
      <c r="Y1" s="11" t="s">
        <v>135</v>
      </c>
      <c r="Z1" s="12"/>
      <c r="AA1" s="11" t="s">
        <v>136</v>
      </c>
      <c r="AB1" s="12"/>
      <c r="AC1" s="11" t="s">
        <v>137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0</v>
      </c>
      <c r="H4" s="3"/>
      <c r="I4" s="2">
        <v>0</v>
      </c>
      <c r="J4" s="3"/>
      <c r="K4" s="2">
        <v>6.79</v>
      </c>
      <c r="L4" s="3"/>
      <c r="M4" s="2">
        <v>0</v>
      </c>
      <c r="N4" s="3"/>
      <c r="O4" s="2">
        <v>0</v>
      </c>
      <c r="P4" s="3"/>
      <c r="Q4" s="2">
        <v>49.19</v>
      </c>
      <c r="R4" s="3"/>
      <c r="S4" s="2">
        <v>2051.67</v>
      </c>
      <c r="T4" s="3"/>
      <c r="U4" s="2">
        <v>342.14</v>
      </c>
      <c r="V4" s="3"/>
      <c r="W4" s="2">
        <v>0</v>
      </c>
      <c r="X4" s="3"/>
      <c r="Y4" s="2">
        <v>0</v>
      </c>
      <c r="Z4" s="3"/>
      <c r="AA4" s="2">
        <v>0</v>
      </c>
      <c r="AB4" s="3"/>
      <c r="AC4" s="2">
        <v>168.3</v>
      </c>
      <c r="AD4" s="3"/>
      <c r="AE4" s="2">
        <f t="shared" ref="AE4:AE16" si="0">ROUND(SUM(G4:AC4),5)</f>
        <v>2618.09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37540</v>
      </c>
      <c r="H5" s="3"/>
      <c r="I5" s="2">
        <v>39525</v>
      </c>
      <c r="J5" s="3"/>
      <c r="K5" s="2">
        <v>34115</v>
      </c>
      <c r="L5" s="3"/>
      <c r="M5" s="2">
        <v>30385</v>
      </c>
      <c r="N5" s="3"/>
      <c r="O5" s="2">
        <v>22695</v>
      </c>
      <c r="P5" s="3"/>
      <c r="Q5" s="2">
        <v>23715</v>
      </c>
      <c r="R5" s="3"/>
      <c r="S5" s="2">
        <v>15810</v>
      </c>
      <c r="T5" s="3"/>
      <c r="U5" s="2">
        <v>14280</v>
      </c>
      <c r="V5" s="3"/>
      <c r="W5" s="2">
        <v>15810</v>
      </c>
      <c r="X5" s="3"/>
      <c r="Y5" s="2">
        <v>15300</v>
      </c>
      <c r="Z5" s="3"/>
      <c r="AA5" s="2">
        <v>15810</v>
      </c>
      <c r="AB5" s="3"/>
      <c r="AC5" s="2">
        <v>15300</v>
      </c>
      <c r="AD5" s="3"/>
      <c r="AE5" s="2">
        <f t="shared" si="0"/>
        <v>280285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76067.11</v>
      </c>
      <c r="H6" s="3"/>
      <c r="I6" s="2">
        <v>91924</v>
      </c>
      <c r="J6" s="3"/>
      <c r="K6" s="2">
        <v>101805.83</v>
      </c>
      <c r="L6" s="3"/>
      <c r="M6" s="2">
        <v>73574.720000000001</v>
      </c>
      <c r="N6" s="3"/>
      <c r="O6" s="2">
        <v>77210.679999999993</v>
      </c>
      <c r="P6" s="3"/>
      <c r="Q6" s="2">
        <v>63094.6</v>
      </c>
      <c r="R6" s="3"/>
      <c r="S6" s="2">
        <v>65842.679999999993</v>
      </c>
      <c r="T6" s="3"/>
      <c r="U6" s="2">
        <v>105359.01</v>
      </c>
      <c r="V6" s="3"/>
      <c r="W6" s="2">
        <v>79095.360000000001</v>
      </c>
      <c r="X6" s="3"/>
      <c r="Y6" s="2">
        <v>69793.8</v>
      </c>
      <c r="Z6" s="3"/>
      <c r="AA6" s="2">
        <v>86961.600000000006</v>
      </c>
      <c r="AB6" s="3"/>
      <c r="AC6" s="2">
        <v>94862.64</v>
      </c>
      <c r="AD6" s="3"/>
      <c r="AE6" s="2">
        <f t="shared" si="0"/>
        <v>985592.03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507650.29</v>
      </c>
      <c r="H7" s="3"/>
      <c r="I7" s="2">
        <v>502824.28</v>
      </c>
      <c r="J7" s="3"/>
      <c r="K7" s="2">
        <v>502134.85</v>
      </c>
      <c r="L7" s="3"/>
      <c r="M7" s="2">
        <v>525930.92000000004</v>
      </c>
      <c r="N7" s="3"/>
      <c r="O7" s="2">
        <v>491282.36</v>
      </c>
      <c r="P7" s="3"/>
      <c r="Q7" s="2">
        <v>504329.04</v>
      </c>
      <c r="R7" s="3"/>
      <c r="S7" s="2">
        <v>472258.2</v>
      </c>
      <c r="T7" s="3"/>
      <c r="U7" s="2">
        <v>431869.08</v>
      </c>
      <c r="V7" s="3"/>
      <c r="W7" s="2">
        <v>455736.64</v>
      </c>
      <c r="X7" s="3"/>
      <c r="Y7" s="2">
        <v>500297.6</v>
      </c>
      <c r="Z7" s="3"/>
      <c r="AA7" s="2">
        <v>520266.56</v>
      </c>
      <c r="AB7" s="3"/>
      <c r="AC7" s="2">
        <v>482988.12</v>
      </c>
      <c r="AD7" s="3"/>
      <c r="AE7" s="2">
        <f t="shared" si="0"/>
        <v>5897567.9400000004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31254.16</v>
      </c>
      <c r="H8" s="3"/>
      <c r="I8" s="2">
        <v>35620.550000000003</v>
      </c>
      <c r="J8" s="3"/>
      <c r="K8" s="2">
        <v>27577.200000000001</v>
      </c>
      <c r="L8" s="3"/>
      <c r="M8" s="2">
        <v>35504.080000000002</v>
      </c>
      <c r="N8" s="3"/>
      <c r="O8" s="2">
        <v>36787.360000000001</v>
      </c>
      <c r="P8" s="3"/>
      <c r="Q8" s="2">
        <v>55822.68</v>
      </c>
      <c r="R8" s="3"/>
      <c r="S8" s="2">
        <v>68577.36</v>
      </c>
      <c r="T8" s="3"/>
      <c r="U8" s="2">
        <v>26812.6</v>
      </c>
      <c r="V8" s="3"/>
      <c r="W8" s="2">
        <v>97299.8</v>
      </c>
      <c r="X8" s="3"/>
      <c r="Y8" s="2">
        <v>54529.08</v>
      </c>
      <c r="Z8" s="3"/>
      <c r="AA8" s="2">
        <v>59048</v>
      </c>
      <c r="AB8" s="3"/>
      <c r="AC8" s="2">
        <v>61370.68</v>
      </c>
      <c r="AD8" s="3"/>
      <c r="AE8" s="2">
        <f t="shared" si="0"/>
        <v>590203.55000000005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32840.879999999997</v>
      </c>
      <c r="H9" s="3"/>
      <c r="I9" s="2">
        <v>32840.879999999997</v>
      </c>
      <c r="J9" s="3"/>
      <c r="K9" s="2">
        <v>32840.879999999997</v>
      </c>
      <c r="L9" s="3"/>
      <c r="M9" s="2">
        <v>24272.57</v>
      </c>
      <c r="N9" s="3"/>
      <c r="O9" s="2">
        <v>24272.57</v>
      </c>
      <c r="P9" s="3"/>
      <c r="Q9" s="2">
        <v>24272.57</v>
      </c>
      <c r="R9" s="3"/>
      <c r="S9" s="2">
        <v>25327.42</v>
      </c>
      <c r="T9" s="3"/>
      <c r="U9" s="2">
        <v>25327.42</v>
      </c>
      <c r="V9" s="3"/>
      <c r="W9" s="2">
        <v>25327.42</v>
      </c>
      <c r="X9" s="3"/>
      <c r="Y9" s="2">
        <v>25631.02</v>
      </c>
      <c r="Z9" s="3"/>
      <c r="AA9" s="2">
        <v>25631.02</v>
      </c>
      <c r="AB9" s="3"/>
      <c r="AC9" s="2">
        <v>25631.02</v>
      </c>
      <c r="AD9" s="3"/>
      <c r="AE9" s="2">
        <f t="shared" si="0"/>
        <v>324215.67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10977.68</v>
      </c>
      <c r="H10" s="3"/>
      <c r="I10" s="2">
        <v>0</v>
      </c>
      <c r="J10" s="3"/>
      <c r="K10" s="2">
        <v>0</v>
      </c>
      <c r="L10" s="3"/>
      <c r="M10" s="2">
        <v>0</v>
      </c>
      <c r="N10" s="3"/>
      <c r="O10" s="2">
        <v>0</v>
      </c>
      <c r="P10" s="3"/>
      <c r="Q10" s="2">
        <v>0</v>
      </c>
      <c r="R10" s="3"/>
      <c r="S10" s="2">
        <v>0</v>
      </c>
      <c r="T10" s="3"/>
      <c r="U10" s="2">
        <v>-10977.68</v>
      </c>
      <c r="V10" s="3"/>
      <c r="W10" s="2">
        <v>0</v>
      </c>
      <c r="X10" s="3"/>
      <c r="Y10" s="2">
        <v>0</v>
      </c>
      <c r="Z10" s="3"/>
      <c r="AA10" s="2">
        <v>0</v>
      </c>
      <c r="AB10" s="3"/>
      <c r="AC10" s="2">
        <v>0</v>
      </c>
      <c r="AD10" s="3"/>
      <c r="AE10" s="2">
        <f t="shared" si="0"/>
        <v>0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0</v>
      </c>
      <c r="H11" s="3"/>
      <c r="I11" s="2">
        <v>0</v>
      </c>
      <c r="J11" s="3"/>
      <c r="K11" s="2">
        <v>80.5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f t="shared" si="0"/>
        <v>80.5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-2284.88</v>
      </c>
      <c r="H12" s="3"/>
      <c r="I12" s="2">
        <v>-285.61</v>
      </c>
      <c r="J12" s="3"/>
      <c r="K12" s="2">
        <v>-226.68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0</v>
      </c>
      <c r="Z12" s="3"/>
      <c r="AA12" s="2">
        <v>0</v>
      </c>
      <c r="AB12" s="3"/>
      <c r="AC12" s="2">
        <v>0</v>
      </c>
      <c r="AD12" s="3"/>
      <c r="AE12" s="2">
        <f t="shared" si="0"/>
        <v>-2797.17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7124.11</v>
      </c>
      <c r="H13" s="3"/>
      <c r="I13" s="2">
        <v>7124.11</v>
      </c>
      <c r="J13" s="3"/>
      <c r="K13" s="2">
        <v>10111.64</v>
      </c>
      <c r="L13" s="3"/>
      <c r="M13" s="2">
        <v>6630.28</v>
      </c>
      <c r="N13" s="3"/>
      <c r="O13" s="2">
        <v>6416.4</v>
      </c>
      <c r="P13" s="3"/>
      <c r="Q13" s="2">
        <v>6630.28</v>
      </c>
      <c r="R13" s="3"/>
      <c r="S13" s="2">
        <v>13042.32</v>
      </c>
      <c r="T13" s="3"/>
      <c r="U13" s="2">
        <v>13463.04</v>
      </c>
      <c r="V13" s="3"/>
      <c r="W13" s="2">
        <v>15145.92</v>
      </c>
      <c r="X13" s="3"/>
      <c r="Y13" s="2">
        <v>12883.2</v>
      </c>
      <c r="Z13" s="3"/>
      <c r="AA13" s="2">
        <v>12453.76</v>
      </c>
      <c r="AB13" s="3"/>
      <c r="AC13" s="2">
        <v>13527.36</v>
      </c>
      <c r="AD13" s="3"/>
      <c r="AE13" s="2">
        <f t="shared" si="0"/>
        <v>124552.42</v>
      </c>
    </row>
    <row r="14" spans="1:31" ht="15.75" thickBot="1" x14ac:dyDescent="0.3">
      <c r="A14" s="1"/>
      <c r="B14" s="1"/>
      <c r="C14" s="1"/>
      <c r="D14" s="1"/>
      <c r="E14" s="1" t="s">
        <v>13</v>
      </c>
      <c r="F14" s="1"/>
      <c r="G14" s="4">
        <v>0</v>
      </c>
      <c r="H14" s="3"/>
      <c r="I14" s="4">
        <v>0</v>
      </c>
      <c r="J14" s="3"/>
      <c r="K14" s="4">
        <v>0</v>
      </c>
      <c r="L14" s="3"/>
      <c r="M14" s="4">
        <v>0</v>
      </c>
      <c r="N14" s="3"/>
      <c r="O14" s="4">
        <v>0</v>
      </c>
      <c r="P14" s="3"/>
      <c r="Q14" s="4">
        <v>0</v>
      </c>
      <c r="R14" s="3"/>
      <c r="S14" s="4">
        <v>0</v>
      </c>
      <c r="T14" s="3"/>
      <c r="U14" s="4">
        <v>0</v>
      </c>
      <c r="V14" s="3"/>
      <c r="W14" s="4">
        <v>0</v>
      </c>
      <c r="X14" s="3"/>
      <c r="Y14" s="4">
        <v>0</v>
      </c>
      <c r="Z14" s="3"/>
      <c r="AA14" s="4">
        <v>0</v>
      </c>
      <c r="AB14" s="3"/>
      <c r="AC14" s="4">
        <v>0</v>
      </c>
      <c r="AD14" s="3"/>
      <c r="AE14" s="4">
        <f t="shared" si="0"/>
        <v>0</v>
      </c>
    </row>
    <row r="15" spans="1:31" ht="15.75" thickBot="1" x14ac:dyDescent="0.3">
      <c r="A15" s="1"/>
      <c r="B15" s="1"/>
      <c r="C15" s="1"/>
      <c r="D15" s="1" t="s">
        <v>14</v>
      </c>
      <c r="E15" s="1"/>
      <c r="F15" s="1"/>
      <c r="G15" s="5">
        <f>ROUND(SUM(G3:G14),5)</f>
        <v>701169.35</v>
      </c>
      <c r="H15" s="3"/>
      <c r="I15" s="5">
        <f>ROUND(SUM(I3:I14),5)</f>
        <v>709573.21</v>
      </c>
      <c r="J15" s="3"/>
      <c r="K15" s="5">
        <f>ROUND(SUM(K3:K14),5)</f>
        <v>708446.01</v>
      </c>
      <c r="L15" s="3"/>
      <c r="M15" s="5">
        <f>ROUND(SUM(M3:M14),5)</f>
        <v>696297.57</v>
      </c>
      <c r="N15" s="3"/>
      <c r="O15" s="5">
        <f>ROUND(SUM(O3:O14),5)</f>
        <v>658664.37</v>
      </c>
      <c r="P15" s="3"/>
      <c r="Q15" s="5">
        <f>ROUND(SUM(Q3:Q14),5)</f>
        <v>677913.36</v>
      </c>
      <c r="R15" s="3"/>
      <c r="S15" s="5">
        <f>ROUND(SUM(S3:S14),5)</f>
        <v>662909.65</v>
      </c>
      <c r="T15" s="3"/>
      <c r="U15" s="5">
        <f>ROUND(SUM(U3:U14),5)</f>
        <v>606475.61</v>
      </c>
      <c r="V15" s="3"/>
      <c r="W15" s="5">
        <f>ROUND(SUM(W3:W14),5)</f>
        <v>688415.14</v>
      </c>
      <c r="X15" s="3"/>
      <c r="Y15" s="5">
        <f>ROUND(SUM(Y3:Y14),5)</f>
        <v>678434.7</v>
      </c>
      <c r="Z15" s="3"/>
      <c r="AA15" s="5">
        <f>ROUND(SUM(AA3:AA14),5)</f>
        <v>720170.94</v>
      </c>
      <c r="AB15" s="3"/>
      <c r="AC15" s="5">
        <f>ROUND(SUM(AC3:AC14),5)</f>
        <v>693848.12</v>
      </c>
      <c r="AD15" s="3"/>
      <c r="AE15" s="5">
        <f t="shared" si="0"/>
        <v>8202318.0300000003</v>
      </c>
    </row>
    <row r="16" spans="1:31" x14ac:dyDescent="0.25">
      <c r="A16" s="1"/>
      <c r="B16" s="1"/>
      <c r="C16" s="1" t="s">
        <v>15</v>
      </c>
      <c r="D16" s="1"/>
      <c r="E16" s="1"/>
      <c r="F16" s="1"/>
      <c r="G16" s="2">
        <f>G15</f>
        <v>701169.35</v>
      </c>
      <c r="H16" s="3"/>
      <c r="I16" s="2">
        <f>I15</f>
        <v>709573.21</v>
      </c>
      <c r="J16" s="3"/>
      <c r="K16" s="2">
        <f>K15</f>
        <v>708446.01</v>
      </c>
      <c r="L16" s="3"/>
      <c r="M16" s="2">
        <f>M15</f>
        <v>696297.57</v>
      </c>
      <c r="N16" s="3"/>
      <c r="O16" s="2">
        <f>O15</f>
        <v>658664.37</v>
      </c>
      <c r="P16" s="3"/>
      <c r="Q16" s="2">
        <f>Q15</f>
        <v>677913.36</v>
      </c>
      <c r="R16" s="3"/>
      <c r="S16" s="2">
        <f>S15</f>
        <v>662909.65</v>
      </c>
      <c r="T16" s="3"/>
      <c r="U16" s="2">
        <f>U15</f>
        <v>606475.61</v>
      </c>
      <c r="V16" s="3"/>
      <c r="W16" s="2">
        <f>W15</f>
        <v>688415.14</v>
      </c>
      <c r="X16" s="3"/>
      <c r="Y16" s="2">
        <f>Y15</f>
        <v>678434.7</v>
      </c>
      <c r="Z16" s="3"/>
      <c r="AA16" s="2">
        <f>AA15</f>
        <v>720170.94</v>
      </c>
      <c r="AB16" s="3"/>
      <c r="AC16" s="2">
        <f>AC15</f>
        <v>693848.12</v>
      </c>
      <c r="AD16" s="3"/>
      <c r="AE16" s="2">
        <f t="shared" si="0"/>
        <v>8202318.0300000003</v>
      </c>
    </row>
    <row r="17" spans="1:31" x14ac:dyDescent="0.25">
      <c r="A17" s="1"/>
      <c r="B17" s="1"/>
      <c r="C17" s="1"/>
      <c r="D17" s="1" t="s">
        <v>16</v>
      </c>
      <c r="E17" s="1"/>
      <c r="F17" s="1"/>
      <c r="G17" s="2"/>
      <c r="H17" s="3"/>
      <c r="I17" s="2"/>
      <c r="J17" s="3"/>
      <c r="K17" s="2"/>
      <c r="L17" s="3"/>
      <c r="M17" s="2"/>
      <c r="N17" s="3"/>
      <c r="O17" s="2"/>
      <c r="P17" s="3"/>
      <c r="Q17" s="2"/>
      <c r="R17" s="3"/>
      <c r="S17" s="2"/>
      <c r="T17" s="3"/>
      <c r="U17" s="2"/>
      <c r="V17" s="3"/>
      <c r="W17" s="2"/>
      <c r="X17" s="3"/>
      <c r="Y17" s="2"/>
      <c r="Z17" s="3"/>
      <c r="AA17" s="2"/>
      <c r="AB17" s="3"/>
      <c r="AC17" s="2"/>
      <c r="AD17" s="3"/>
      <c r="AE17" s="2"/>
    </row>
    <row r="18" spans="1:31" x14ac:dyDescent="0.25">
      <c r="A18" s="1"/>
      <c r="B18" s="1"/>
      <c r="C18" s="1"/>
      <c r="D18" s="1"/>
      <c r="E18" s="1" t="s">
        <v>17</v>
      </c>
      <c r="F18" s="1"/>
      <c r="G18" s="2"/>
      <c r="H18" s="3"/>
      <c r="I18" s="2"/>
      <c r="J18" s="3"/>
      <c r="K18" s="2"/>
      <c r="L18" s="3"/>
      <c r="M18" s="2"/>
      <c r="N18" s="3"/>
      <c r="O18" s="2"/>
      <c r="P18" s="3"/>
      <c r="Q18" s="2"/>
      <c r="R18" s="3"/>
      <c r="S18" s="2"/>
      <c r="T18" s="3"/>
      <c r="U18" s="2"/>
      <c r="V18" s="3"/>
      <c r="W18" s="2"/>
      <c r="X18" s="3"/>
      <c r="Y18" s="2"/>
      <c r="Z18" s="3"/>
      <c r="AA18" s="2"/>
      <c r="AB18" s="3"/>
      <c r="AC18" s="2"/>
      <c r="AD18" s="3"/>
      <c r="AE18" s="2"/>
    </row>
    <row r="19" spans="1:31" x14ac:dyDescent="0.25">
      <c r="A19" s="1"/>
      <c r="B19" s="1"/>
      <c r="C19" s="1"/>
      <c r="D19" s="1"/>
      <c r="E19" s="1"/>
      <c r="F19" s="1" t="s">
        <v>18</v>
      </c>
      <c r="G19" s="2">
        <v>55869.67</v>
      </c>
      <c r="H19" s="3"/>
      <c r="I19" s="2">
        <v>57670.19</v>
      </c>
      <c r="J19" s="3"/>
      <c r="K19" s="2">
        <v>51305.74</v>
      </c>
      <c r="L19" s="3"/>
      <c r="M19" s="2">
        <v>52044.06</v>
      </c>
      <c r="N19" s="3"/>
      <c r="O19" s="2">
        <v>51175.63</v>
      </c>
      <c r="P19" s="3"/>
      <c r="Q19" s="2">
        <v>52987.37</v>
      </c>
      <c r="R19" s="3"/>
      <c r="S19" s="2">
        <v>48153.56</v>
      </c>
      <c r="T19" s="3"/>
      <c r="U19" s="2">
        <v>43897.96</v>
      </c>
      <c r="V19" s="3"/>
      <c r="W19" s="2">
        <v>51933.51</v>
      </c>
      <c r="X19" s="3"/>
      <c r="Y19" s="2">
        <v>51298.400000000001</v>
      </c>
      <c r="Z19" s="3"/>
      <c r="AA19" s="2">
        <v>50128.33</v>
      </c>
      <c r="AB19" s="3"/>
      <c r="AC19" s="2">
        <v>54273.66</v>
      </c>
      <c r="AD19" s="3"/>
      <c r="AE19" s="2">
        <f t="shared" ref="AE19:AE37" si="1">ROUND(SUM(G19:AC19),5)</f>
        <v>620738.07999999996</v>
      </c>
    </row>
    <row r="20" spans="1:31" x14ac:dyDescent="0.25">
      <c r="A20" s="1"/>
      <c r="B20" s="1"/>
      <c r="C20" s="1"/>
      <c r="D20" s="1"/>
      <c r="E20" s="1"/>
      <c r="F20" s="1" t="s">
        <v>19</v>
      </c>
      <c r="G20" s="2">
        <v>25581.26</v>
      </c>
      <c r="H20" s="3"/>
      <c r="I20" s="2">
        <v>25024.66</v>
      </c>
      <c r="J20" s="3"/>
      <c r="K20" s="2">
        <v>27554.32</v>
      </c>
      <c r="L20" s="3"/>
      <c r="M20" s="2">
        <v>28871.67</v>
      </c>
      <c r="N20" s="3"/>
      <c r="O20" s="2">
        <v>29945.9</v>
      </c>
      <c r="P20" s="3"/>
      <c r="Q20" s="2">
        <v>29159.18</v>
      </c>
      <c r="R20" s="3"/>
      <c r="S20" s="2">
        <v>31307.09</v>
      </c>
      <c r="T20" s="3"/>
      <c r="U20" s="2">
        <v>31236.77</v>
      </c>
      <c r="V20" s="3"/>
      <c r="W20" s="2">
        <v>30938</v>
      </c>
      <c r="X20" s="3"/>
      <c r="Y20" s="2">
        <v>33174.93</v>
      </c>
      <c r="Z20" s="3"/>
      <c r="AA20" s="2">
        <v>34881.449999999997</v>
      </c>
      <c r="AB20" s="3"/>
      <c r="AC20" s="2">
        <v>32433.9</v>
      </c>
      <c r="AD20" s="3"/>
      <c r="AE20" s="2">
        <f t="shared" si="1"/>
        <v>360109.13</v>
      </c>
    </row>
    <row r="21" spans="1:31" x14ac:dyDescent="0.25">
      <c r="A21" s="1"/>
      <c r="B21" s="1"/>
      <c r="C21" s="1"/>
      <c r="D21" s="1"/>
      <c r="E21" s="1"/>
      <c r="F21" s="1" t="s">
        <v>20</v>
      </c>
      <c r="G21" s="2">
        <v>76793.81</v>
      </c>
      <c r="H21" s="3"/>
      <c r="I21" s="2">
        <v>77171.360000000001</v>
      </c>
      <c r="J21" s="3"/>
      <c r="K21" s="2">
        <v>72695.460000000006</v>
      </c>
      <c r="L21" s="3"/>
      <c r="M21" s="2">
        <v>78926.94</v>
      </c>
      <c r="N21" s="3"/>
      <c r="O21" s="2">
        <v>74418.399999999994</v>
      </c>
      <c r="P21" s="3"/>
      <c r="Q21" s="2">
        <v>74597.61</v>
      </c>
      <c r="R21" s="3"/>
      <c r="S21" s="2">
        <v>76055.63</v>
      </c>
      <c r="T21" s="3"/>
      <c r="U21" s="2">
        <v>69970.09</v>
      </c>
      <c r="V21" s="3"/>
      <c r="W21" s="2">
        <v>80435.399999999994</v>
      </c>
      <c r="X21" s="3"/>
      <c r="Y21" s="2">
        <v>75233.52</v>
      </c>
      <c r="Z21" s="3"/>
      <c r="AA21" s="2">
        <v>85929.93</v>
      </c>
      <c r="AB21" s="3"/>
      <c r="AC21" s="2">
        <v>87311.03</v>
      </c>
      <c r="AD21" s="3"/>
      <c r="AE21" s="2">
        <f t="shared" si="1"/>
        <v>929539.18</v>
      </c>
    </row>
    <row r="22" spans="1:31" x14ac:dyDescent="0.25">
      <c r="A22" s="1"/>
      <c r="B22" s="1"/>
      <c r="C22" s="1"/>
      <c r="D22" s="1"/>
      <c r="E22" s="1"/>
      <c r="F22" s="1" t="s">
        <v>21</v>
      </c>
      <c r="G22" s="2">
        <v>17884.59</v>
      </c>
      <c r="H22" s="3"/>
      <c r="I22" s="2">
        <v>15519.23</v>
      </c>
      <c r="J22" s="3"/>
      <c r="K22" s="2">
        <v>17557.669999999998</v>
      </c>
      <c r="L22" s="3"/>
      <c r="M22" s="2">
        <v>18409.849999999999</v>
      </c>
      <c r="N22" s="3"/>
      <c r="O22" s="2">
        <v>17365.900000000001</v>
      </c>
      <c r="P22" s="3"/>
      <c r="Q22" s="2">
        <v>16317.54</v>
      </c>
      <c r="R22" s="3"/>
      <c r="S22" s="2">
        <v>17079.63</v>
      </c>
      <c r="T22" s="3"/>
      <c r="U22" s="2">
        <v>16769.189999999999</v>
      </c>
      <c r="V22" s="3"/>
      <c r="W22" s="2">
        <v>19016.439999999999</v>
      </c>
      <c r="X22" s="3"/>
      <c r="Y22" s="2">
        <v>17839.240000000002</v>
      </c>
      <c r="Z22" s="3"/>
      <c r="AA22" s="2">
        <v>18805.189999999999</v>
      </c>
      <c r="AB22" s="3"/>
      <c r="AC22" s="2">
        <v>18252.689999999999</v>
      </c>
      <c r="AD22" s="3"/>
      <c r="AE22" s="2">
        <f t="shared" si="1"/>
        <v>210817.16</v>
      </c>
    </row>
    <row r="23" spans="1:31" x14ac:dyDescent="0.25">
      <c r="A23" s="1"/>
      <c r="B23" s="1"/>
      <c r="C23" s="1"/>
      <c r="D23" s="1"/>
      <c r="E23" s="1"/>
      <c r="F23" s="1" t="s">
        <v>22</v>
      </c>
      <c r="G23" s="2">
        <v>972.21</v>
      </c>
      <c r="H23" s="3"/>
      <c r="I23" s="2">
        <v>1669.44</v>
      </c>
      <c r="J23" s="3"/>
      <c r="K23" s="2">
        <v>625.67999999999995</v>
      </c>
      <c r="L23" s="3"/>
      <c r="M23" s="2">
        <v>1627.47</v>
      </c>
      <c r="N23" s="3"/>
      <c r="O23" s="2">
        <v>502.69</v>
      </c>
      <c r="P23" s="3"/>
      <c r="Q23" s="2">
        <v>343.13</v>
      </c>
      <c r="R23" s="3"/>
      <c r="S23" s="2">
        <v>1014.44</v>
      </c>
      <c r="T23" s="3"/>
      <c r="U23" s="2">
        <v>423.33</v>
      </c>
      <c r="V23" s="3"/>
      <c r="W23" s="2">
        <v>779.98</v>
      </c>
      <c r="X23" s="3"/>
      <c r="Y23" s="2">
        <v>1265.6600000000001</v>
      </c>
      <c r="Z23" s="3"/>
      <c r="AA23" s="2">
        <v>606.94000000000005</v>
      </c>
      <c r="AB23" s="3"/>
      <c r="AC23" s="2">
        <v>1167.0899999999999</v>
      </c>
      <c r="AD23" s="3"/>
      <c r="AE23" s="2">
        <f t="shared" si="1"/>
        <v>10998.06</v>
      </c>
    </row>
    <row r="24" spans="1:31" x14ac:dyDescent="0.25">
      <c r="A24" s="1"/>
      <c r="B24" s="1"/>
      <c r="C24" s="1"/>
      <c r="D24" s="1"/>
      <c r="E24" s="1"/>
      <c r="F24" s="1" t="s">
        <v>23</v>
      </c>
      <c r="G24" s="2">
        <v>257.14999999999998</v>
      </c>
      <c r="H24" s="3"/>
      <c r="I24" s="2">
        <v>0</v>
      </c>
      <c r="J24" s="3"/>
      <c r="K24" s="2">
        <v>16.04</v>
      </c>
      <c r="L24" s="3"/>
      <c r="M24" s="2">
        <v>86.41</v>
      </c>
      <c r="N24" s="3"/>
      <c r="O24" s="2">
        <v>267.68</v>
      </c>
      <c r="P24" s="3"/>
      <c r="Q24" s="2">
        <v>0</v>
      </c>
      <c r="R24" s="3"/>
      <c r="S24" s="2">
        <v>480.04</v>
      </c>
      <c r="T24" s="3"/>
      <c r="U24" s="2">
        <v>158.43</v>
      </c>
      <c r="V24" s="3"/>
      <c r="W24" s="2">
        <v>0</v>
      </c>
      <c r="X24" s="3"/>
      <c r="Y24" s="2">
        <v>531.79</v>
      </c>
      <c r="Z24" s="3"/>
      <c r="AA24" s="2">
        <v>170.59</v>
      </c>
      <c r="AB24" s="3"/>
      <c r="AC24" s="2">
        <v>49.8</v>
      </c>
      <c r="AD24" s="3"/>
      <c r="AE24" s="2">
        <f t="shared" si="1"/>
        <v>2017.93</v>
      </c>
    </row>
    <row r="25" spans="1:31" x14ac:dyDescent="0.25">
      <c r="A25" s="1"/>
      <c r="B25" s="1"/>
      <c r="C25" s="1"/>
      <c r="D25" s="1"/>
      <c r="E25" s="1"/>
      <c r="F25" s="1" t="s">
        <v>24</v>
      </c>
      <c r="G25" s="2">
        <v>1316.29</v>
      </c>
      <c r="H25" s="3"/>
      <c r="I25" s="2">
        <v>2517.0700000000002</v>
      </c>
      <c r="J25" s="3"/>
      <c r="K25" s="2">
        <v>2936.04</v>
      </c>
      <c r="L25" s="3"/>
      <c r="M25" s="2">
        <v>4244.62</v>
      </c>
      <c r="N25" s="3"/>
      <c r="O25" s="2">
        <v>2039.22</v>
      </c>
      <c r="P25" s="3"/>
      <c r="Q25" s="2">
        <v>2448.36</v>
      </c>
      <c r="R25" s="3"/>
      <c r="S25" s="2">
        <v>2494.77</v>
      </c>
      <c r="T25" s="3"/>
      <c r="U25" s="2">
        <v>1292.71</v>
      </c>
      <c r="V25" s="3"/>
      <c r="W25" s="2">
        <v>3000.35</v>
      </c>
      <c r="X25" s="3"/>
      <c r="Y25" s="2">
        <v>705.48</v>
      </c>
      <c r="Z25" s="3"/>
      <c r="AA25" s="2">
        <v>2681.82</v>
      </c>
      <c r="AB25" s="3"/>
      <c r="AC25" s="2">
        <v>2566.6799999999998</v>
      </c>
      <c r="AD25" s="3"/>
      <c r="AE25" s="2">
        <f t="shared" si="1"/>
        <v>28243.41</v>
      </c>
    </row>
    <row r="26" spans="1:31" x14ac:dyDescent="0.25">
      <c r="A26" s="1"/>
      <c r="B26" s="1"/>
      <c r="C26" s="1"/>
      <c r="D26" s="1"/>
      <c r="E26" s="1"/>
      <c r="F26" s="1" t="s">
        <v>25</v>
      </c>
      <c r="G26" s="2">
        <v>0</v>
      </c>
      <c r="H26" s="3"/>
      <c r="I26" s="2">
        <v>0</v>
      </c>
      <c r="J26" s="3"/>
      <c r="K26" s="2">
        <v>0</v>
      </c>
      <c r="L26" s="3"/>
      <c r="M26" s="2">
        <v>0</v>
      </c>
      <c r="N26" s="3"/>
      <c r="O26" s="2">
        <v>100</v>
      </c>
      <c r="P26" s="3"/>
      <c r="Q26" s="2">
        <v>0</v>
      </c>
      <c r="R26" s="3"/>
      <c r="S26" s="2">
        <v>0</v>
      </c>
      <c r="T26" s="3"/>
      <c r="U26" s="2">
        <v>0</v>
      </c>
      <c r="V26" s="3"/>
      <c r="W26" s="2">
        <v>0</v>
      </c>
      <c r="X26" s="3"/>
      <c r="Y26" s="2">
        <v>0</v>
      </c>
      <c r="Z26" s="3"/>
      <c r="AA26" s="2">
        <v>0</v>
      </c>
      <c r="AB26" s="3"/>
      <c r="AC26" s="2">
        <v>0</v>
      </c>
      <c r="AD26" s="3"/>
      <c r="AE26" s="2">
        <f t="shared" si="1"/>
        <v>100</v>
      </c>
    </row>
    <row r="27" spans="1:31" x14ac:dyDescent="0.25">
      <c r="A27" s="1"/>
      <c r="B27" s="1"/>
      <c r="C27" s="1"/>
      <c r="D27" s="1"/>
      <c r="E27" s="1"/>
      <c r="F27" s="1" t="s">
        <v>26</v>
      </c>
      <c r="G27" s="2">
        <v>2005.87</v>
      </c>
      <c r="H27" s="3"/>
      <c r="I27" s="2">
        <v>1613.31</v>
      </c>
      <c r="J27" s="3"/>
      <c r="K27" s="2">
        <v>1371.22</v>
      </c>
      <c r="L27" s="3"/>
      <c r="M27" s="2">
        <v>925.36</v>
      </c>
      <c r="N27" s="3"/>
      <c r="O27" s="2">
        <v>1258.93</v>
      </c>
      <c r="P27" s="3"/>
      <c r="Q27" s="2">
        <v>1426.38</v>
      </c>
      <c r="R27" s="3"/>
      <c r="S27" s="2">
        <v>516.36</v>
      </c>
      <c r="T27" s="3"/>
      <c r="U27" s="2">
        <v>541.91999999999996</v>
      </c>
      <c r="V27" s="3"/>
      <c r="W27" s="2">
        <v>771.98</v>
      </c>
      <c r="X27" s="3"/>
      <c r="Y27" s="2">
        <v>541.91999999999996</v>
      </c>
      <c r="Z27" s="3"/>
      <c r="AA27" s="2">
        <v>541.91999999999996</v>
      </c>
      <c r="AB27" s="3"/>
      <c r="AC27" s="2">
        <v>2402.69</v>
      </c>
      <c r="AD27" s="3"/>
      <c r="AE27" s="2">
        <f t="shared" si="1"/>
        <v>13917.86</v>
      </c>
    </row>
    <row r="28" spans="1:31" x14ac:dyDescent="0.25">
      <c r="A28" s="1"/>
      <c r="B28" s="1"/>
      <c r="C28" s="1"/>
      <c r="D28" s="1"/>
      <c r="E28" s="1"/>
      <c r="F28" s="1" t="s">
        <v>27</v>
      </c>
      <c r="G28" s="2">
        <v>892</v>
      </c>
      <c r="H28" s="3"/>
      <c r="I28" s="2">
        <v>800</v>
      </c>
      <c r="J28" s="3"/>
      <c r="K28" s="2">
        <v>942</v>
      </c>
      <c r="L28" s="3"/>
      <c r="M28" s="2">
        <v>980</v>
      </c>
      <c r="N28" s="3"/>
      <c r="O28" s="2">
        <v>934</v>
      </c>
      <c r="P28" s="3"/>
      <c r="Q28" s="2">
        <v>868</v>
      </c>
      <c r="R28" s="3"/>
      <c r="S28" s="2">
        <v>884</v>
      </c>
      <c r="T28" s="3"/>
      <c r="U28" s="2">
        <v>904</v>
      </c>
      <c r="V28" s="3"/>
      <c r="W28" s="2">
        <v>1000</v>
      </c>
      <c r="X28" s="3"/>
      <c r="Y28" s="2">
        <v>934</v>
      </c>
      <c r="Z28" s="3"/>
      <c r="AA28" s="2">
        <v>1080</v>
      </c>
      <c r="AB28" s="3"/>
      <c r="AC28" s="2">
        <v>1018</v>
      </c>
      <c r="AD28" s="3"/>
      <c r="AE28" s="2">
        <f t="shared" si="1"/>
        <v>11236</v>
      </c>
    </row>
    <row r="29" spans="1:31" x14ac:dyDescent="0.25">
      <c r="A29" s="1"/>
      <c r="B29" s="1"/>
      <c r="C29" s="1"/>
      <c r="D29" s="1"/>
      <c r="E29" s="1"/>
      <c r="F29" s="1" t="s">
        <v>28</v>
      </c>
      <c r="G29" s="2">
        <v>1000</v>
      </c>
      <c r="H29" s="3"/>
      <c r="I29" s="2">
        <v>1000</v>
      </c>
      <c r="J29" s="3"/>
      <c r="K29" s="2">
        <v>1000</v>
      </c>
      <c r="L29" s="3"/>
      <c r="M29" s="2">
        <v>1000</v>
      </c>
      <c r="N29" s="3"/>
      <c r="O29" s="2">
        <v>1000</v>
      </c>
      <c r="P29" s="3"/>
      <c r="Q29" s="2">
        <v>1000</v>
      </c>
      <c r="R29" s="3"/>
      <c r="S29" s="2">
        <v>1000</v>
      </c>
      <c r="T29" s="3"/>
      <c r="U29" s="2">
        <v>1000</v>
      </c>
      <c r="V29" s="3"/>
      <c r="W29" s="2">
        <v>0</v>
      </c>
      <c r="X29" s="3"/>
      <c r="Y29" s="2">
        <v>0</v>
      </c>
      <c r="Z29" s="3"/>
      <c r="AA29" s="2">
        <v>0</v>
      </c>
      <c r="AB29" s="3"/>
      <c r="AC29" s="2">
        <v>0</v>
      </c>
      <c r="AD29" s="3"/>
      <c r="AE29" s="2">
        <f t="shared" si="1"/>
        <v>8000</v>
      </c>
    </row>
    <row r="30" spans="1:31" x14ac:dyDescent="0.25">
      <c r="A30" s="1"/>
      <c r="B30" s="1"/>
      <c r="C30" s="1"/>
      <c r="D30" s="1"/>
      <c r="E30" s="1"/>
      <c r="F30" s="1" t="s">
        <v>29</v>
      </c>
      <c r="G30" s="2">
        <v>0</v>
      </c>
      <c r="H30" s="3"/>
      <c r="I30" s="2">
        <v>0</v>
      </c>
      <c r="J30" s="3"/>
      <c r="K30" s="2">
        <v>0</v>
      </c>
      <c r="L30" s="3"/>
      <c r="M30" s="2">
        <v>0</v>
      </c>
      <c r="N30" s="3"/>
      <c r="O30" s="2">
        <v>0</v>
      </c>
      <c r="P30" s="3"/>
      <c r="Q30" s="2">
        <v>0</v>
      </c>
      <c r="R30" s="3"/>
      <c r="S30" s="2">
        <v>0</v>
      </c>
      <c r="T30" s="3"/>
      <c r="U30" s="2">
        <v>0</v>
      </c>
      <c r="V30" s="3"/>
      <c r="W30" s="2">
        <v>0</v>
      </c>
      <c r="X30" s="3"/>
      <c r="Y30" s="2">
        <v>155.56</v>
      </c>
      <c r="Z30" s="3"/>
      <c r="AA30" s="2">
        <v>0</v>
      </c>
      <c r="AB30" s="3"/>
      <c r="AC30" s="2">
        <v>0</v>
      </c>
      <c r="AD30" s="3"/>
      <c r="AE30" s="2">
        <f t="shared" si="1"/>
        <v>155.56</v>
      </c>
    </row>
    <row r="31" spans="1:31" x14ac:dyDescent="0.25">
      <c r="A31" s="1"/>
      <c r="B31" s="1"/>
      <c r="C31" s="1"/>
      <c r="D31" s="1"/>
      <c r="E31" s="1"/>
      <c r="F31" s="1" t="s">
        <v>30</v>
      </c>
      <c r="G31" s="2">
        <v>0</v>
      </c>
      <c r="H31" s="3"/>
      <c r="I31" s="2">
        <v>320</v>
      </c>
      <c r="J31" s="3"/>
      <c r="K31" s="2">
        <v>0</v>
      </c>
      <c r="L31" s="3"/>
      <c r="M31" s="2">
        <v>60</v>
      </c>
      <c r="N31" s="3"/>
      <c r="O31" s="2">
        <v>60</v>
      </c>
      <c r="P31" s="3"/>
      <c r="Q31" s="2">
        <v>0</v>
      </c>
      <c r="R31" s="3"/>
      <c r="S31" s="2">
        <v>0</v>
      </c>
      <c r="T31" s="3"/>
      <c r="U31" s="2">
        <v>0</v>
      </c>
      <c r="V31" s="3"/>
      <c r="W31" s="2">
        <v>100</v>
      </c>
      <c r="X31" s="3"/>
      <c r="Y31" s="2">
        <v>0</v>
      </c>
      <c r="Z31" s="3"/>
      <c r="AA31" s="2">
        <v>100</v>
      </c>
      <c r="AB31" s="3"/>
      <c r="AC31" s="2">
        <v>116.73</v>
      </c>
      <c r="AD31" s="3"/>
      <c r="AE31" s="2">
        <f t="shared" si="1"/>
        <v>756.73</v>
      </c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0</v>
      </c>
      <c r="H32" s="3"/>
      <c r="I32" s="2">
        <v>0</v>
      </c>
      <c r="J32" s="3"/>
      <c r="K32" s="2">
        <v>0</v>
      </c>
      <c r="L32" s="3"/>
      <c r="M32" s="2">
        <v>0</v>
      </c>
      <c r="N32" s="3"/>
      <c r="O32" s="2">
        <v>0</v>
      </c>
      <c r="P32" s="3"/>
      <c r="Q32" s="2">
        <v>0</v>
      </c>
      <c r="R32" s="3"/>
      <c r="S32" s="2">
        <v>0</v>
      </c>
      <c r="T32" s="3"/>
      <c r="U32" s="2">
        <v>90</v>
      </c>
      <c r="V32" s="3"/>
      <c r="W32" s="2">
        <v>0</v>
      </c>
      <c r="X32" s="3"/>
      <c r="Y32" s="2">
        <v>0</v>
      </c>
      <c r="Z32" s="3"/>
      <c r="AA32" s="2">
        <v>0</v>
      </c>
      <c r="AB32" s="3"/>
      <c r="AC32" s="2">
        <v>60</v>
      </c>
      <c r="AD32" s="3"/>
      <c r="AE32" s="2">
        <f t="shared" si="1"/>
        <v>150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0</v>
      </c>
      <c r="H33" s="3"/>
      <c r="I33" s="2">
        <v>0</v>
      </c>
      <c r="J33" s="3"/>
      <c r="K33" s="2">
        <v>0</v>
      </c>
      <c r="L33" s="3"/>
      <c r="M33" s="2">
        <v>0</v>
      </c>
      <c r="N33" s="3"/>
      <c r="O33" s="2">
        <v>0</v>
      </c>
      <c r="P33" s="3"/>
      <c r="Q33" s="2">
        <v>0</v>
      </c>
      <c r="R33" s="3"/>
      <c r="S33" s="2">
        <v>80</v>
      </c>
      <c r="T33" s="3"/>
      <c r="U33" s="2">
        <v>120</v>
      </c>
      <c r="V33" s="3"/>
      <c r="W33" s="2">
        <v>120</v>
      </c>
      <c r="X33" s="3"/>
      <c r="Y33" s="2">
        <v>0</v>
      </c>
      <c r="Z33" s="3"/>
      <c r="AA33" s="2">
        <v>55</v>
      </c>
      <c r="AB33" s="3"/>
      <c r="AC33" s="2">
        <v>0</v>
      </c>
      <c r="AD33" s="3"/>
      <c r="AE33" s="2">
        <f t="shared" si="1"/>
        <v>375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0</v>
      </c>
      <c r="H34" s="3"/>
      <c r="I34" s="2">
        <v>0</v>
      </c>
      <c r="J34" s="3"/>
      <c r="K34" s="2">
        <v>456</v>
      </c>
      <c r="L34" s="3"/>
      <c r="M34" s="2">
        <v>0</v>
      </c>
      <c r="N34" s="3"/>
      <c r="O34" s="2">
        <v>0</v>
      </c>
      <c r="P34" s="3"/>
      <c r="Q34" s="2">
        <v>0</v>
      </c>
      <c r="R34" s="3"/>
      <c r="S34" s="2">
        <v>0</v>
      </c>
      <c r="T34" s="3"/>
      <c r="U34" s="2">
        <v>0</v>
      </c>
      <c r="V34" s="3"/>
      <c r="W34" s="2">
        <v>0</v>
      </c>
      <c r="X34" s="3"/>
      <c r="Y34" s="2">
        <v>0</v>
      </c>
      <c r="Z34" s="3"/>
      <c r="AA34" s="2">
        <v>0</v>
      </c>
      <c r="AB34" s="3"/>
      <c r="AC34" s="2">
        <v>0</v>
      </c>
      <c r="AD34" s="3"/>
      <c r="AE34" s="2">
        <f t="shared" si="1"/>
        <v>456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900</v>
      </c>
      <c r="H35" s="3"/>
      <c r="I35" s="2">
        <v>900</v>
      </c>
      <c r="J35" s="3"/>
      <c r="K35" s="2">
        <v>900</v>
      </c>
      <c r="L35" s="3"/>
      <c r="M35" s="2">
        <v>900</v>
      </c>
      <c r="N35" s="3"/>
      <c r="O35" s="2">
        <v>900</v>
      </c>
      <c r="P35" s="3"/>
      <c r="Q35" s="2">
        <v>900</v>
      </c>
      <c r="R35" s="3"/>
      <c r="S35" s="2">
        <v>900</v>
      </c>
      <c r="T35" s="3"/>
      <c r="U35" s="2">
        <v>900</v>
      </c>
      <c r="V35" s="3"/>
      <c r="W35" s="2">
        <v>900</v>
      </c>
      <c r="X35" s="3"/>
      <c r="Y35" s="2">
        <v>900</v>
      </c>
      <c r="Z35" s="3"/>
      <c r="AA35" s="2">
        <v>900</v>
      </c>
      <c r="AB35" s="3"/>
      <c r="AC35" s="2">
        <v>900</v>
      </c>
      <c r="AD35" s="3"/>
      <c r="AE35" s="2">
        <f t="shared" si="1"/>
        <v>10800</v>
      </c>
    </row>
    <row r="36" spans="1:31" ht="15.75" thickBot="1" x14ac:dyDescent="0.3">
      <c r="A36" s="1"/>
      <c r="B36" s="1"/>
      <c r="C36" s="1"/>
      <c r="D36" s="1"/>
      <c r="E36" s="1"/>
      <c r="F36" s="1" t="s">
        <v>35</v>
      </c>
      <c r="G36" s="6">
        <v>0</v>
      </c>
      <c r="H36" s="3"/>
      <c r="I36" s="6">
        <v>0</v>
      </c>
      <c r="J36" s="3"/>
      <c r="K36" s="6">
        <v>0</v>
      </c>
      <c r="L36" s="3"/>
      <c r="M36" s="6">
        <v>750</v>
      </c>
      <c r="N36" s="3"/>
      <c r="O36" s="6">
        <v>0</v>
      </c>
      <c r="P36" s="3"/>
      <c r="Q36" s="6">
        <v>0</v>
      </c>
      <c r="R36" s="3"/>
      <c r="S36" s="6">
        <v>210</v>
      </c>
      <c r="T36" s="3"/>
      <c r="U36" s="6">
        <v>180</v>
      </c>
      <c r="V36" s="3"/>
      <c r="W36" s="6">
        <v>270</v>
      </c>
      <c r="X36" s="3"/>
      <c r="Y36" s="6">
        <v>30</v>
      </c>
      <c r="Z36" s="3"/>
      <c r="AA36" s="6">
        <v>180</v>
      </c>
      <c r="AB36" s="3"/>
      <c r="AC36" s="6">
        <v>150</v>
      </c>
      <c r="AD36" s="3"/>
      <c r="AE36" s="6">
        <f t="shared" si="1"/>
        <v>1770</v>
      </c>
    </row>
    <row r="37" spans="1:31" x14ac:dyDescent="0.25">
      <c r="A37" s="1"/>
      <c r="B37" s="1"/>
      <c r="C37" s="1"/>
      <c r="D37" s="1"/>
      <c r="E37" s="1" t="s">
        <v>36</v>
      </c>
      <c r="F37" s="1"/>
      <c r="G37" s="2">
        <f>ROUND(SUM(G18:G36),5)</f>
        <v>183472.85</v>
      </c>
      <c r="H37" s="3"/>
      <c r="I37" s="2">
        <f>ROUND(SUM(I18:I36),5)</f>
        <v>184205.26</v>
      </c>
      <c r="J37" s="3"/>
      <c r="K37" s="2">
        <f>ROUND(SUM(K18:K36),5)</f>
        <v>177360.17</v>
      </c>
      <c r="L37" s="3"/>
      <c r="M37" s="2">
        <f>ROUND(SUM(M18:M36),5)</f>
        <v>188826.38</v>
      </c>
      <c r="N37" s="3"/>
      <c r="O37" s="2">
        <f>ROUND(SUM(O18:O36),5)</f>
        <v>179968.35</v>
      </c>
      <c r="P37" s="3"/>
      <c r="Q37" s="2">
        <f>ROUND(SUM(Q18:Q36),5)</f>
        <v>180047.57</v>
      </c>
      <c r="R37" s="3"/>
      <c r="S37" s="2">
        <f>ROUND(SUM(S18:S36),5)</f>
        <v>180175.52</v>
      </c>
      <c r="T37" s="3"/>
      <c r="U37" s="2">
        <f>ROUND(SUM(U18:U36),5)</f>
        <v>167484.4</v>
      </c>
      <c r="V37" s="3"/>
      <c r="W37" s="2">
        <f>ROUND(SUM(W18:W36),5)</f>
        <v>189265.66</v>
      </c>
      <c r="X37" s="3"/>
      <c r="Y37" s="2">
        <f>ROUND(SUM(Y18:Y36),5)</f>
        <v>182610.5</v>
      </c>
      <c r="Z37" s="3"/>
      <c r="AA37" s="2">
        <f>ROUND(SUM(AA18:AA36),5)</f>
        <v>196061.17</v>
      </c>
      <c r="AB37" s="3"/>
      <c r="AC37" s="2">
        <f>ROUND(SUM(AC18:AC36),5)</f>
        <v>200702.27</v>
      </c>
      <c r="AD37" s="3"/>
      <c r="AE37" s="2">
        <f t="shared" si="1"/>
        <v>2210180.1</v>
      </c>
    </row>
    <row r="38" spans="1:31" x14ac:dyDescent="0.25">
      <c r="A38" s="1"/>
      <c r="B38" s="1"/>
      <c r="C38" s="1"/>
      <c r="D38" s="1"/>
      <c r="E38" s="1" t="s">
        <v>37</v>
      </c>
      <c r="F38" s="1"/>
      <c r="G38" s="2"/>
      <c r="H38" s="3"/>
      <c r="I38" s="2"/>
      <c r="J38" s="3"/>
      <c r="K38" s="2"/>
      <c r="L38" s="3"/>
      <c r="M38" s="2"/>
      <c r="N38" s="3"/>
      <c r="O38" s="2"/>
      <c r="P38" s="3"/>
      <c r="Q38" s="2"/>
      <c r="R38" s="3"/>
      <c r="S38" s="2"/>
      <c r="T38" s="3"/>
      <c r="U38" s="2"/>
      <c r="V38" s="3"/>
      <c r="W38" s="2"/>
      <c r="X38" s="3"/>
      <c r="Y38" s="2"/>
      <c r="Z38" s="3"/>
      <c r="AA38" s="2"/>
      <c r="AB38" s="3"/>
      <c r="AC38" s="2"/>
      <c r="AD38" s="3"/>
      <c r="AE38" s="2"/>
    </row>
    <row r="39" spans="1:31" x14ac:dyDescent="0.25">
      <c r="A39" s="1"/>
      <c r="B39" s="1"/>
      <c r="C39" s="1"/>
      <c r="D39" s="1"/>
      <c r="E39" s="1"/>
      <c r="F39" s="1" t="s">
        <v>38</v>
      </c>
      <c r="G39" s="2">
        <v>43.27</v>
      </c>
      <c r="H39" s="3"/>
      <c r="I39" s="2">
        <v>70.78</v>
      </c>
      <c r="J39" s="3"/>
      <c r="K39" s="2">
        <v>79.790000000000006</v>
      </c>
      <c r="L39" s="3"/>
      <c r="M39" s="2">
        <v>40.54</v>
      </c>
      <c r="N39" s="3"/>
      <c r="O39" s="2">
        <v>33.15</v>
      </c>
      <c r="P39" s="3"/>
      <c r="Q39" s="2">
        <v>652.25</v>
      </c>
      <c r="R39" s="3"/>
      <c r="S39" s="2">
        <v>1336.96</v>
      </c>
      <c r="T39" s="3"/>
      <c r="U39" s="2">
        <v>506.71</v>
      </c>
      <c r="V39" s="3"/>
      <c r="W39" s="2">
        <v>133.56</v>
      </c>
      <c r="X39" s="3"/>
      <c r="Y39" s="2">
        <v>76.23</v>
      </c>
      <c r="Z39" s="3"/>
      <c r="AA39" s="2">
        <v>86.33</v>
      </c>
      <c r="AB39" s="3"/>
      <c r="AC39" s="2">
        <v>49.91</v>
      </c>
      <c r="AD39" s="3"/>
      <c r="AE39" s="2">
        <f t="shared" ref="AE39:AE47" si="2">ROUND(SUM(G39:AC39),5)</f>
        <v>3109.48</v>
      </c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658.56</v>
      </c>
      <c r="H40" s="3"/>
      <c r="I40" s="2">
        <v>816.64</v>
      </c>
      <c r="J40" s="3"/>
      <c r="K40" s="2">
        <v>643.83000000000004</v>
      </c>
      <c r="L40" s="3"/>
      <c r="M40" s="2">
        <v>627.83000000000004</v>
      </c>
      <c r="N40" s="3"/>
      <c r="O40" s="2">
        <v>608.54</v>
      </c>
      <c r="P40" s="3"/>
      <c r="Q40" s="2">
        <v>3925.67</v>
      </c>
      <c r="R40" s="3"/>
      <c r="S40" s="2">
        <v>9500.1200000000008</v>
      </c>
      <c r="T40" s="3"/>
      <c r="U40" s="2">
        <v>6276.3</v>
      </c>
      <c r="V40" s="3"/>
      <c r="W40" s="2">
        <v>5131.78</v>
      </c>
      <c r="X40" s="3"/>
      <c r="Y40" s="2">
        <v>2964.13</v>
      </c>
      <c r="Z40" s="3"/>
      <c r="AA40" s="2">
        <v>1651.96</v>
      </c>
      <c r="AB40" s="3"/>
      <c r="AC40" s="2">
        <v>971.42</v>
      </c>
      <c r="AD40" s="3"/>
      <c r="AE40" s="2">
        <f t="shared" si="2"/>
        <v>33776.78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21494.84</v>
      </c>
      <c r="H41" s="3"/>
      <c r="I41" s="2">
        <v>21701.53</v>
      </c>
      <c r="J41" s="3"/>
      <c r="K41" s="2">
        <v>21464.03</v>
      </c>
      <c r="L41" s="3"/>
      <c r="M41" s="2">
        <v>21808.19</v>
      </c>
      <c r="N41" s="3"/>
      <c r="O41" s="2">
        <v>21161.41</v>
      </c>
      <c r="P41" s="3"/>
      <c r="Q41" s="2">
        <v>22135.32</v>
      </c>
      <c r="R41" s="3"/>
      <c r="S41" s="2">
        <v>21752.33</v>
      </c>
      <c r="T41" s="3"/>
      <c r="U41" s="2">
        <v>19700.93</v>
      </c>
      <c r="V41" s="3"/>
      <c r="W41" s="2">
        <v>21763.86</v>
      </c>
      <c r="X41" s="3"/>
      <c r="Y41" s="2">
        <v>21089.4</v>
      </c>
      <c r="Z41" s="3"/>
      <c r="AA41" s="2">
        <v>21666.83</v>
      </c>
      <c r="AB41" s="3"/>
      <c r="AC41" s="2">
        <v>21984.28</v>
      </c>
      <c r="AD41" s="3"/>
      <c r="AE41" s="2">
        <f t="shared" si="2"/>
        <v>257722.95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3334.92</v>
      </c>
      <c r="H42" s="3"/>
      <c r="I42" s="2">
        <v>3424.84</v>
      </c>
      <c r="J42" s="3"/>
      <c r="K42" s="2">
        <v>3519.34</v>
      </c>
      <c r="L42" s="3"/>
      <c r="M42" s="2">
        <v>578.65</v>
      </c>
      <c r="N42" s="3"/>
      <c r="O42" s="2">
        <v>2936.53</v>
      </c>
      <c r="P42" s="3"/>
      <c r="Q42" s="2">
        <v>3109.03</v>
      </c>
      <c r="R42" s="3"/>
      <c r="S42" s="2">
        <v>3281.53</v>
      </c>
      <c r="T42" s="3"/>
      <c r="U42" s="2">
        <v>3281.53</v>
      </c>
      <c r="V42" s="3"/>
      <c r="W42" s="2">
        <v>3281.53</v>
      </c>
      <c r="X42" s="3"/>
      <c r="Y42" s="2">
        <v>833.02</v>
      </c>
      <c r="Z42" s="3"/>
      <c r="AA42" s="2">
        <v>7247.76</v>
      </c>
      <c r="AB42" s="3"/>
      <c r="AC42" s="2">
        <v>2923.16</v>
      </c>
      <c r="AD42" s="3"/>
      <c r="AE42" s="2">
        <f t="shared" si="2"/>
        <v>37751.839999999997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0</v>
      </c>
      <c r="H43" s="3"/>
      <c r="I43" s="2">
        <v>233.88</v>
      </c>
      <c r="J43" s="3"/>
      <c r="K43" s="2">
        <v>0</v>
      </c>
      <c r="L43" s="3"/>
      <c r="M43" s="2">
        <v>233.88</v>
      </c>
      <c r="N43" s="3"/>
      <c r="O43" s="2">
        <v>0</v>
      </c>
      <c r="P43" s="3"/>
      <c r="Q43" s="2">
        <v>0</v>
      </c>
      <c r="R43" s="3"/>
      <c r="S43" s="2">
        <v>0</v>
      </c>
      <c r="T43" s="3"/>
      <c r="U43" s="2">
        <v>254.72</v>
      </c>
      <c r="V43" s="3"/>
      <c r="W43" s="2">
        <v>0</v>
      </c>
      <c r="X43" s="3"/>
      <c r="Y43" s="2">
        <v>128.56</v>
      </c>
      <c r="Z43" s="3"/>
      <c r="AA43" s="2">
        <v>0</v>
      </c>
      <c r="AB43" s="3"/>
      <c r="AC43" s="2">
        <v>0</v>
      </c>
      <c r="AD43" s="3"/>
      <c r="AE43" s="2">
        <f t="shared" si="2"/>
        <v>851.04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8640.36</v>
      </c>
      <c r="H44" s="3"/>
      <c r="I44" s="2">
        <v>10828.78</v>
      </c>
      <c r="J44" s="3"/>
      <c r="K44" s="2">
        <v>9958.5400000000009</v>
      </c>
      <c r="L44" s="3"/>
      <c r="M44" s="2">
        <v>10078.040000000001</v>
      </c>
      <c r="N44" s="3"/>
      <c r="O44" s="2">
        <v>7592.98</v>
      </c>
      <c r="P44" s="3"/>
      <c r="Q44" s="2">
        <v>12185.58</v>
      </c>
      <c r="R44" s="3"/>
      <c r="S44" s="2">
        <v>13148.34</v>
      </c>
      <c r="T44" s="3"/>
      <c r="U44" s="2">
        <v>6392.52</v>
      </c>
      <c r="V44" s="3"/>
      <c r="W44" s="2">
        <v>3960.71</v>
      </c>
      <c r="X44" s="3"/>
      <c r="Y44" s="2">
        <v>10241.1</v>
      </c>
      <c r="Z44" s="3"/>
      <c r="AA44" s="2">
        <v>0</v>
      </c>
      <c r="AB44" s="3"/>
      <c r="AC44" s="2">
        <v>0</v>
      </c>
      <c r="AD44" s="3"/>
      <c r="AE44" s="2">
        <f t="shared" si="2"/>
        <v>93026.95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3178.36</v>
      </c>
      <c r="H45" s="3"/>
      <c r="I45" s="2">
        <v>719.85</v>
      </c>
      <c r="J45" s="3"/>
      <c r="K45" s="2">
        <v>9358.0300000000007</v>
      </c>
      <c r="L45" s="3"/>
      <c r="M45" s="2">
        <v>0</v>
      </c>
      <c r="N45" s="3"/>
      <c r="O45" s="2">
        <v>6167.93</v>
      </c>
      <c r="P45" s="3"/>
      <c r="Q45" s="2">
        <v>17924.87</v>
      </c>
      <c r="R45" s="3"/>
      <c r="S45" s="2">
        <v>3626.95</v>
      </c>
      <c r="T45" s="3"/>
      <c r="U45" s="2">
        <v>0</v>
      </c>
      <c r="V45" s="3"/>
      <c r="W45" s="2">
        <v>0</v>
      </c>
      <c r="X45" s="3"/>
      <c r="Y45" s="2">
        <v>0</v>
      </c>
      <c r="Z45" s="3"/>
      <c r="AA45" s="2">
        <v>0</v>
      </c>
      <c r="AB45" s="3"/>
      <c r="AC45" s="2">
        <v>0</v>
      </c>
      <c r="AD45" s="3"/>
      <c r="AE45" s="2">
        <f t="shared" si="2"/>
        <v>40975.99</v>
      </c>
    </row>
    <row r="46" spans="1:31" ht="15.75" thickBot="1" x14ac:dyDescent="0.3">
      <c r="A46" s="1"/>
      <c r="B46" s="1"/>
      <c r="C46" s="1"/>
      <c r="D46" s="1"/>
      <c r="E46" s="1"/>
      <c r="F46" s="1" t="s">
        <v>45</v>
      </c>
      <c r="G46" s="6">
        <v>0</v>
      </c>
      <c r="H46" s="3"/>
      <c r="I46" s="6">
        <v>0</v>
      </c>
      <c r="J46" s="3"/>
      <c r="K46" s="6">
        <v>0</v>
      </c>
      <c r="L46" s="3"/>
      <c r="M46" s="6">
        <v>0</v>
      </c>
      <c r="N46" s="3"/>
      <c r="O46" s="6">
        <v>0</v>
      </c>
      <c r="P46" s="3"/>
      <c r="Q46" s="6">
        <v>0</v>
      </c>
      <c r="R46" s="3"/>
      <c r="S46" s="6">
        <v>0</v>
      </c>
      <c r="T46" s="3"/>
      <c r="U46" s="6">
        <v>0</v>
      </c>
      <c r="V46" s="3"/>
      <c r="W46" s="6">
        <v>0</v>
      </c>
      <c r="X46" s="3"/>
      <c r="Y46" s="6">
        <v>0</v>
      </c>
      <c r="Z46" s="3"/>
      <c r="AA46" s="6">
        <v>-1192.26</v>
      </c>
      <c r="AB46" s="3"/>
      <c r="AC46" s="6">
        <v>0</v>
      </c>
      <c r="AD46" s="3"/>
      <c r="AE46" s="6">
        <f t="shared" si="2"/>
        <v>-1192.26</v>
      </c>
    </row>
    <row r="47" spans="1:31" x14ac:dyDescent="0.25">
      <c r="A47" s="1"/>
      <c r="B47" s="1"/>
      <c r="C47" s="1"/>
      <c r="D47" s="1"/>
      <c r="E47" s="1" t="s">
        <v>46</v>
      </c>
      <c r="F47" s="1"/>
      <c r="G47" s="2">
        <f>ROUND(SUM(G38:G46),5)</f>
        <v>37350.31</v>
      </c>
      <c r="H47" s="3"/>
      <c r="I47" s="2">
        <f>ROUND(SUM(I38:I46),5)</f>
        <v>37796.300000000003</v>
      </c>
      <c r="J47" s="3"/>
      <c r="K47" s="2">
        <f>ROUND(SUM(K38:K46),5)</f>
        <v>45023.56</v>
      </c>
      <c r="L47" s="3"/>
      <c r="M47" s="2">
        <f>ROUND(SUM(M38:M46),5)</f>
        <v>33367.129999999997</v>
      </c>
      <c r="N47" s="3"/>
      <c r="O47" s="2">
        <f>ROUND(SUM(O38:O46),5)</f>
        <v>38500.54</v>
      </c>
      <c r="P47" s="3"/>
      <c r="Q47" s="2">
        <f>ROUND(SUM(Q38:Q46),5)</f>
        <v>59932.72</v>
      </c>
      <c r="R47" s="3"/>
      <c r="S47" s="2">
        <f>ROUND(SUM(S38:S46),5)</f>
        <v>52646.23</v>
      </c>
      <c r="T47" s="3"/>
      <c r="U47" s="2">
        <f>ROUND(SUM(U38:U46),5)</f>
        <v>36412.71</v>
      </c>
      <c r="V47" s="3"/>
      <c r="W47" s="2">
        <f>ROUND(SUM(W38:W46),5)</f>
        <v>34271.440000000002</v>
      </c>
      <c r="X47" s="3"/>
      <c r="Y47" s="2">
        <f>ROUND(SUM(Y38:Y46),5)</f>
        <v>35332.44</v>
      </c>
      <c r="Z47" s="3"/>
      <c r="AA47" s="2">
        <f>ROUND(SUM(AA38:AA46),5)</f>
        <v>29460.62</v>
      </c>
      <c r="AB47" s="3"/>
      <c r="AC47" s="2">
        <f>ROUND(SUM(AC38:AC46),5)</f>
        <v>25928.77</v>
      </c>
      <c r="AD47" s="3"/>
      <c r="AE47" s="2">
        <f t="shared" si="2"/>
        <v>466022.77</v>
      </c>
    </row>
    <row r="48" spans="1:31" x14ac:dyDescent="0.25">
      <c r="A48" s="1"/>
      <c r="B48" s="1"/>
      <c r="C48" s="1"/>
      <c r="D48" s="1"/>
      <c r="E48" s="1" t="s">
        <v>47</v>
      </c>
      <c r="F48" s="1"/>
      <c r="G48" s="2"/>
      <c r="H48" s="3"/>
      <c r="I48" s="2"/>
      <c r="J48" s="3"/>
      <c r="K48" s="2"/>
      <c r="L48" s="3"/>
      <c r="M48" s="2"/>
      <c r="N48" s="3"/>
      <c r="O48" s="2"/>
      <c r="P48" s="3"/>
      <c r="Q48" s="2"/>
      <c r="R48" s="3"/>
      <c r="S48" s="2"/>
      <c r="T48" s="3"/>
      <c r="U48" s="2"/>
      <c r="V48" s="3"/>
      <c r="W48" s="2"/>
      <c r="X48" s="3"/>
      <c r="Y48" s="2"/>
      <c r="Z48" s="3"/>
      <c r="AA48" s="2"/>
      <c r="AB48" s="3"/>
      <c r="AC48" s="2"/>
      <c r="AD48" s="3"/>
      <c r="AE48" s="2"/>
    </row>
    <row r="49" spans="1:31" x14ac:dyDescent="0.25">
      <c r="A49" s="1"/>
      <c r="B49" s="1"/>
      <c r="C49" s="1"/>
      <c r="D49" s="1"/>
      <c r="E49" s="1"/>
      <c r="F49" s="1" t="s">
        <v>48</v>
      </c>
      <c r="G49" s="2">
        <v>18045.189999999999</v>
      </c>
      <c r="H49" s="3"/>
      <c r="I49" s="2">
        <v>19119.66</v>
      </c>
      <c r="J49" s="3"/>
      <c r="K49" s="2">
        <v>16364.15</v>
      </c>
      <c r="L49" s="3"/>
      <c r="M49" s="2">
        <v>17392.45</v>
      </c>
      <c r="N49" s="3"/>
      <c r="O49" s="2">
        <v>17750.11</v>
      </c>
      <c r="P49" s="3"/>
      <c r="Q49" s="2">
        <v>17704.53</v>
      </c>
      <c r="R49" s="3"/>
      <c r="S49" s="2">
        <v>17099.439999999999</v>
      </c>
      <c r="T49" s="3"/>
      <c r="U49" s="2">
        <v>16575.18</v>
      </c>
      <c r="V49" s="3"/>
      <c r="W49" s="2">
        <v>19127.63</v>
      </c>
      <c r="X49" s="3"/>
      <c r="Y49" s="2">
        <v>18167.61</v>
      </c>
      <c r="Z49" s="3"/>
      <c r="AA49" s="2">
        <v>19695.28</v>
      </c>
      <c r="AB49" s="3"/>
      <c r="AC49" s="2">
        <v>20525.07</v>
      </c>
      <c r="AD49" s="3"/>
      <c r="AE49" s="2">
        <f t="shared" ref="AE49:AE59" si="3">ROUND(SUM(G49:AC49),5)</f>
        <v>217566.3</v>
      </c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2811.15</v>
      </c>
      <c r="H50" s="3"/>
      <c r="I50" s="2">
        <v>2799.03</v>
      </c>
      <c r="J50" s="3"/>
      <c r="K50" s="2">
        <v>2886.1</v>
      </c>
      <c r="L50" s="3"/>
      <c r="M50" s="2">
        <v>2897.87</v>
      </c>
      <c r="N50" s="3"/>
      <c r="O50" s="2">
        <v>2752.22</v>
      </c>
      <c r="P50" s="3"/>
      <c r="Q50" s="2">
        <v>2984.93</v>
      </c>
      <c r="R50" s="3"/>
      <c r="S50" s="2">
        <v>2655.22</v>
      </c>
      <c r="T50" s="3"/>
      <c r="U50" s="2">
        <v>2788.92</v>
      </c>
      <c r="V50" s="3"/>
      <c r="W50" s="2">
        <v>3072.84</v>
      </c>
      <c r="X50" s="3"/>
      <c r="Y50" s="2">
        <v>2465.7199999999998</v>
      </c>
      <c r="Z50" s="3"/>
      <c r="AA50" s="2">
        <v>2824.64</v>
      </c>
      <c r="AB50" s="3"/>
      <c r="AC50" s="2">
        <v>2479.2800000000002</v>
      </c>
      <c r="AD50" s="3"/>
      <c r="AE50" s="2">
        <f t="shared" si="3"/>
        <v>33417.919999999998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21643.72</v>
      </c>
      <c r="H51" s="3"/>
      <c r="I51" s="2">
        <v>24774.87</v>
      </c>
      <c r="J51" s="3"/>
      <c r="K51" s="2">
        <v>22061.32</v>
      </c>
      <c r="L51" s="3"/>
      <c r="M51" s="2">
        <v>23905.119999999999</v>
      </c>
      <c r="N51" s="3"/>
      <c r="O51" s="2">
        <v>21605.9</v>
      </c>
      <c r="P51" s="3"/>
      <c r="Q51" s="2">
        <v>25450.720000000001</v>
      </c>
      <c r="R51" s="3"/>
      <c r="S51" s="2">
        <v>21863.88</v>
      </c>
      <c r="T51" s="3"/>
      <c r="U51" s="2">
        <v>18711.349999999999</v>
      </c>
      <c r="V51" s="3"/>
      <c r="W51" s="2">
        <v>23972.15</v>
      </c>
      <c r="X51" s="3"/>
      <c r="Y51" s="2">
        <v>17805.71</v>
      </c>
      <c r="Z51" s="3"/>
      <c r="AA51" s="2">
        <v>24124.52</v>
      </c>
      <c r="AB51" s="3"/>
      <c r="AC51" s="2">
        <v>28154.18</v>
      </c>
      <c r="AD51" s="3"/>
      <c r="AE51" s="2">
        <f t="shared" si="3"/>
        <v>274073.44</v>
      </c>
    </row>
    <row r="52" spans="1:31" x14ac:dyDescent="0.25">
      <c r="A52" s="1"/>
      <c r="B52" s="1"/>
      <c r="C52" s="1"/>
      <c r="D52" s="1"/>
      <c r="E52" s="1"/>
      <c r="F52" s="1" t="s">
        <v>51</v>
      </c>
      <c r="G52" s="2">
        <v>881.54</v>
      </c>
      <c r="H52" s="3"/>
      <c r="I52" s="2">
        <v>989.26</v>
      </c>
      <c r="J52" s="3"/>
      <c r="K52" s="2">
        <v>778.23</v>
      </c>
      <c r="L52" s="3"/>
      <c r="M52" s="2">
        <v>935.74</v>
      </c>
      <c r="N52" s="3"/>
      <c r="O52" s="2">
        <v>926.55</v>
      </c>
      <c r="P52" s="3"/>
      <c r="Q52" s="2">
        <v>836.07</v>
      </c>
      <c r="R52" s="3"/>
      <c r="S52" s="2">
        <v>691.33</v>
      </c>
      <c r="T52" s="3"/>
      <c r="U52" s="2">
        <v>386.64</v>
      </c>
      <c r="V52" s="3"/>
      <c r="W52" s="2">
        <v>729.88</v>
      </c>
      <c r="X52" s="3"/>
      <c r="Y52" s="2">
        <v>473.3</v>
      </c>
      <c r="Z52" s="3"/>
      <c r="AA52" s="2">
        <v>636.75</v>
      </c>
      <c r="AB52" s="3"/>
      <c r="AC52" s="2">
        <v>641.12</v>
      </c>
      <c r="AD52" s="3"/>
      <c r="AE52" s="2">
        <f t="shared" si="3"/>
        <v>8906.41</v>
      </c>
    </row>
    <row r="53" spans="1:31" x14ac:dyDescent="0.25">
      <c r="A53" s="1"/>
      <c r="B53" s="1"/>
      <c r="C53" s="1"/>
      <c r="D53" s="1"/>
      <c r="E53" s="1"/>
      <c r="F53" s="1" t="s">
        <v>52</v>
      </c>
      <c r="G53" s="2">
        <v>0</v>
      </c>
      <c r="H53" s="3"/>
      <c r="I53" s="2">
        <v>0</v>
      </c>
      <c r="J53" s="3"/>
      <c r="K53" s="2">
        <v>0</v>
      </c>
      <c r="L53" s="3"/>
      <c r="M53" s="2">
        <v>0</v>
      </c>
      <c r="N53" s="3"/>
      <c r="O53" s="2">
        <v>174.31</v>
      </c>
      <c r="P53" s="3"/>
      <c r="Q53" s="2">
        <v>0</v>
      </c>
      <c r="R53" s="3"/>
      <c r="S53" s="2">
        <v>238.89</v>
      </c>
      <c r="T53" s="3"/>
      <c r="U53" s="2">
        <v>322.95</v>
      </c>
      <c r="V53" s="3"/>
      <c r="W53" s="2">
        <v>0</v>
      </c>
      <c r="X53" s="3"/>
      <c r="Y53" s="2">
        <v>0</v>
      </c>
      <c r="Z53" s="3"/>
      <c r="AA53" s="2">
        <v>0</v>
      </c>
      <c r="AB53" s="3"/>
      <c r="AC53" s="2">
        <v>57.12</v>
      </c>
      <c r="AD53" s="3"/>
      <c r="AE53" s="2">
        <f t="shared" si="3"/>
        <v>793.27</v>
      </c>
    </row>
    <row r="54" spans="1:31" x14ac:dyDescent="0.25">
      <c r="A54" s="1"/>
      <c r="B54" s="1"/>
      <c r="C54" s="1"/>
      <c r="D54" s="1"/>
      <c r="E54" s="1"/>
      <c r="F54" s="1" t="s">
        <v>53</v>
      </c>
      <c r="G54" s="2">
        <v>2631.83</v>
      </c>
      <c r="H54" s="3"/>
      <c r="I54" s="2">
        <v>2944.87</v>
      </c>
      <c r="J54" s="3"/>
      <c r="K54" s="2">
        <v>1257.06</v>
      </c>
      <c r="L54" s="3"/>
      <c r="M54" s="2">
        <v>4007.32</v>
      </c>
      <c r="N54" s="3"/>
      <c r="O54" s="2">
        <v>2254.21</v>
      </c>
      <c r="P54" s="3"/>
      <c r="Q54" s="2">
        <v>3798.67</v>
      </c>
      <c r="R54" s="3"/>
      <c r="S54" s="2">
        <v>3780</v>
      </c>
      <c r="T54" s="3"/>
      <c r="U54" s="2">
        <v>2556.2399999999998</v>
      </c>
      <c r="V54" s="3"/>
      <c r="W54" s="2">
        <v>3123.42</v>
      </c>
      <c r="X54" s="3"/>
      <c r="Y54" s="2">
        <v>1314.73</v>
      </c>
      <c r="Z54" s="3"/>
      <c r="AA54" s="2">
        <v>2895.3</v>
      </c>
      <c r="AB54" s="3"/>
      <c r="AC54" s="2">
        <v>2614.77</v>
      </c>
      <c r="AD54" s="3"/>
      <c r="AE54" s="2">
        <f t="shared" si="3"/>
        <v>33178.42</v>
      </c>
    </row>
    <row r="55" spans="1:31" x14ac:dyDescent="0.25">
      <c r="A55" s="1"/>
      <c r="B55" s="1"/>
      <c r="C55" s="1"/>
      <c r="D55" s="1"/>
      <c r="E55" s="1"/>
      <c r="F55" s="1" t="s">
        <v>54</v>
      </c>
      <c r="G55" s="2">
        <v>339.09</v>
      </c>
      <c r="H55" s="3"/>
      <c r="I55" s="2">
        <v>1518.78</v>
      </c>
      <c r="J55" s="3"/>
      <c r="K55" s="2">
        <v>670.04</v>
      </c>
      <c r="L55" s="3"/>
      <c r="M55" s="2">
        <v>66.64</v>
      </c>
      <c r="N55" s="3"/>
      <c r="O55" s="2">
        <v>0</v>
      </c>
      <c r="P55" s="3"/>
      <c r="Q55" s="2">
        <v>252.25</v>
      </c>
      <c r="R55" s="3"/>
      <c r="S55" s="2">
        <v>463.67</v>
      </c>
      <c r="T55" s="3"/>
      <c r="U55" s="2">
        <v>436.17</v>
      </c>
      <c r="V55" s="3"/>
      <c r="W55" s="2">
        <v>246.37</v>
      </c>
      <c r="X55" s="3"/>
      <c r="Y55" s="2">
        <v>335.4</v>
      </c>
      <c r="Z55" s="3"/>
      <c r="AA55" s="2">
        <v>1069.43</v>
      </c>
      <c r="AB55" s="3"/>
      <c r="AC55" s="2">
        <v>210.48</v>
      </c>
      <c r="AD55" s="3"/>
      <c r="AE55" s="2">
        <f t="shared" si="3"/>
        <v>5608.32</v>
      </c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0</v>
      </c>
      <c r="H56" s="3"/>
      <c r="I56" s="2">
        <v>0</v>
      </c>
      <c r="J56" s="3"/>
      <c r="K56" s="2">
        <v>0</v>
      </c>
      <c r="L56" s="3"/>
      <c r="M56" s="2">
        <v>0</v>
      </c>
      <c r="N56" s="3"/>
      <c r="O56" s="2">
        <v>0</v>
      </c>
      <c r="P56" s="3"/>
      <c r="Q56" s="2">
        <v>0</v>
      </c>
      <c r="R56" s="3"/>
      <c r="S56" s="2">
        <v>0</v>
      </c>
      <c r="T56" s="3"/>
      <c r="U56" s="2">
        <v>0</v>
      </c>
      <c r="V56" s="3"/>
      <c r="W56" s="2">
        <v>0</v>
      </c>
      <c r="X56" s="3"/>
      <c r="Y56" s="2">
        <v>0</v>
      </c>
      <c r="Z56" s="3"/>
      <c r="AA56" s="2">
        <v>0</v>
      </c>
      <c r="AB56" s="3"/>
      <c r="AC56" s="2">
        <v>696.49</v>
      </c>
      <c r="AD56" s="3"/>
      <c r="AE56" s="2">
        <f t="shared" si="3"/>
        <v>696.49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1466.5</v>
      </c>
      <c r="H57" s="3"/>
      <c r="I57" s="2">
        <v>870</v>
      </c>
      <c r="J57" s="3"/>
      <c r="K57" s="2">
        <v>1178</v>
      </c>
      <c r="L57" s="3"/>
      <c r="M57" s="2">
        <v>860</v>
      </c>
      <c r="N57" s="3"/>
      <c r="O57" s="2">
        <v>754</v>
      </c>
      <c r="P57" s="3"/>
      <c r="Q57" s="2">
        <v>754</v>
      </c>
      <c r="R57" s="3"/>
      <c r="S57" s="2">
        <v>754</v>
      </c>
      <c r="T57" s="3"/>
      <c r="U57" s="2">
        <v>754</v>
      </c>
      <c r="V57" s="3"/>
      <c r="W57" s="2">
        <v>754</v>
      </c>
      <c r="X57" s="3"/>
      <c r="Y57" s="2">
        <v>754</v>
      </c>
      <c r="Z57" s="3"/>
      <c r="AA57" s="2">
        <v>754</v>
      </c>
      <c r="AB57" s="3"/>
      <c r="AC57" s="2">
        <v>464</v>
      </c>
      <c r="AD57" s="3"/>
      <c r="AE57" s="2">
        <f t="shared" si="3"/>
        <v>10116.5</v>
      </c>
    </row>
    <row r="58" spans="1:31" ht="15.75" thickBot="1" x14ac:dyDescent="0.3">
      <c r="A58" s="1"/>
      <c r="B58" s="1"/>
      <c r="C58" s="1"/>
      <c r="D58" s="1"/>
      <c r="E58" s="1"/>
      <c r="F58" s="1" t="s">
        <v>57</v>
      </c>
      <c r="G58" s="6">
        <v>0</v>
      </c>
      <c r="H58" s="3"/>
      <c r="I58" s="6">
        <v>0</v>
      </c>
      <c r="J58" s="3"/>
      <c r="K58" s="6">
        <v>0</v>
      </c>
      <c r="L58" s="3"/>
      <c r="M58" s="6">
        <v>0</v>
      </c>
      <c r="N58" s="3"/>
      <c r="O58" s="6">
        <v>0</v>
      </c>
      <c r="P58" s="3"/>
      <c r="Q58" s="6">
        <v>0</v>
      </c>
      <c r="R58" s="3"/>
      <c r="S58" s="6">
        <v>0</v>
      </c>
      <c r="T58" s="3"/>
      <c r="U58" s="6">
        <v>0</v>
      </c>
      <c r="V58" s="3"/>
      <c r="W58" s="6">
        <v>33.659999999999997</v>
      </c>
      <c r="X58" s="3"/>
      <c r="Y58" s="6">
        <v>0</v>
      </c>
      <c r="Z58" s="3"/>
      <c r="AA58" s="6">
        <v>0</v>
      </c>
      <c r="AB58" s="3"/>
      <c r="AC58" s="6">
        <v>0</v>
      </c>
      <c r="AD58" s="3"/>
      <c r="AE58" s="6">
        <f t="shared" si="3"/>
        <v>33.659999999999997</v>
      </c>
    </row>
    <row r="59" spans="1:31" x14ac:dyDescent="0.25">
      <c r="A59" s="1"/>
      <c r="B59" s="1"/>
      <c r="C59" s="1"/>
      <c r="D59" s="1"/>
      <c r="E59" s="1" t="s">
        <v>58</v>
      </c>
      <c r="F59" s="1"/>
      <c r="G59" s="2">
        <f>ROUND(SUM(G48:G58),5)</f>
        <v>47819.02</v>
      </c>
      <c r="H59" s="3"/>
      <c r="I59" s="2">
        <f>ROUND(SUM(I48:I58),5)</f>
        <v>53016.47</v>
      </c>
      <c r="J59" s="3"/>
      <c r="K59" s="2">
        <f>ROUND(SUM(K48:K58),5)</f>
        <v>45194.9</v>
      </c>
      <c r="L59" s="3"/>
      <c r="M59" s="2">
        <f>ROUND(SUM(M48:M58),5)</f>
        <v>50065.14</v>
      </c>
      <c r="N59" s="3"/>
      <c r="O59" s="2">
        <f>ROUND(SUM(O48:O58),5)</f>
        <v>46217.3</v>
      </c>
      <c r="P59" s="3"/>
      <c r="Q59" s="2">
        <f>ROUND(SUM(Q48:Q58),5)</f>
        <v>51781.17</v>
      </c>
      <c r="R59" s="3"/>
      <c r="S59" s="2">
        <f>ROUND(SUM(S48:S58),5)</f>
        <v>47546.43</v>
      </c>
      <c r="T59" s="3"/>
      <c r="U59" s="2">
        <f>ROUND(SUM(U48:U58),5)</f>
        <v>42531.45</v>
      </c>
      <c r="V59" s="3"/>
      <c r="W59" s="2">
        <f>ROUND(SUM(W48:W58),5)</f>
        <v>51059.95</v>
      </c>
      <c r="X59" s="3"/>
      <c r="Y59" s="2">
        <f>ROUND(SUM(Y48:Y58),5)</f>
        <v>41316.47</v>
      </c>
      <c r="Z59" s="3"/>
      <c r="AA59" s="2">
        <f>ROUND(SUM(AA48:AA58),5)</f>
        <v>51999.92</v>
      </c>
      <c r="AB59" s="3"/>
      <c r="AC59" s="2">
        <f>ROUND(SUM(AC48:AC58),5)</f>
        <v>55842.51</v>
      </c>
      <c r="AD59" s="3"/>
      <c r="AE59" s="2">
        <f t="shared" si="3"/>
        <v>584390.73</v>
      </c>
    </row>
    <row r="60" spans="1:31" x14ac:dyDescent="0.25">
      <c r="A60" s="1"/>
      <c r="B60" s="1"/>
      <c r="C60" s="1"/>
      <c r="D60" s="1"/>
      <c r="E60" s="1" t="s">
        <v>59</v>
      </c>
      <c r="F60" s="1"/>
      <c r="G60" s="2"/>
      <c r="H60" s="3"/>
      <c r="I60" s="2"/>
      <c r="J60" s="3"/>
      <c r="K60" s="2"/>
      <c r="L60" s="3"/>
      <c r="M60" s="2"/>
      <c r="N60" s="3"/>
      <c r="O60" s="2"/>
      <c r="P60" s="3"/>
      <c r="Q60" s="2"/>
      <c r="R60" s="3"/>
      <c r="S60" s="2"/>
      <c r="T60" s="3"/>
      <c r="U60" s="2"/>
      <c r="V60" s="3"/>
      <c r="W60" s="2"/>
      <c r="X60" s="3"/>
      <c r="Y60" s="2"/>
      <c r="Z60" s="3"/>
      <c r="AA60" s="2"/>
      <c r="AB60" s="3"/>
      <c r="AC60" s="2"/>
      <c r="AD60" s="3"/>
      <c r="AE60" s="2"/>
    </row>
    <row r="61" spans="1:31" x14ac:dyDescent="0.25">
      <c r="A61" s="1"/>
      <c r="B61" s="1"/>
      <c r="C61" s="1"/>
      <c r="D61" s="1"/>
      <c r="E61" s="1"/>
      <c r="F61" s="1" t="s">
        <v>60</v>
      </c>
      <c r="G61" s="2">
        <v>8228.64</v>
      </c>
      <c r="H61" s="3"/>
      <c r="I61" s="2">
        <v>7489.65</v>
      </c>
      <c r="J61" s="3"/>
      <c r="K61" s="2">
        <v>5079.75</v>
      </c>
      <c r="L61" s="3"/>
      <c r="M61" s="2">
        <v>8059.41</v>
      </c>
      <c r="N61" s="3"/>
      <c r="O61" s="2">
        <v>7765.56</v>
      </c>
      <c r="P61" s="3"/>
      <c r="Q61" s="2">
        <v>7458.37</v>
      </c>
      <c r="R61" s="3"/>
      <c r="S61" s="2">
        <v>7640.03</v>
      </c>
      <c r="T61" s="3"/>
      <c r="U61" s="2">
        <v>6529.7</v>
      </c>
      <c r="V61" s="3"/>
      <c r="W61" s="2">
        <v>7154.28</v>
      </c>
      <c r="X61" s="3"/>
      <c r="Y61" s="2">
        <v>7413.91</v>
      </c>
      <c r="Z61" s="3"/>
      <c r="AA61" s="2">
        <v>5256.2</v>
      </c>
      <c r="AB61" s="3"/>
      <c r="AC61" s="2">
        <v>4921.0200000000004</v>
      </c>
      <c r="AD61" s="3"/>
      <c r="AE61" s="2">
        <f t="shared" ref="AE61:AE69" si="4">ROUND(SUM(G61:AC61),5)</f>
        <v>82996.52</v>
      </c>
    </row>
    <row r="62" spans="1:31" x14ac:dyDescent="0.25">
      <c r="A62" s="1"/>
      <c r="B62" s="1"/>
      <c r="C62" s="1"/>
      <c r="D62" s="1"/>
      <c r="E62" s="1"/>
      <c r="F62" s="1" t="s">
        <v>61</v>
      </c>
      <c r="G62" s="2">
        <v>9480.2199999999993</v>
      </c>
      <c r="H62" s="3"/>
      <c r="I62" s="2">
        <v>12948.74</v>
      </c>
      <c r="J62" s="3"/>
      <c r="K62" s="2">
        <v>14693.05</v>
      </c>
      <c r="L62" s="3"/>
      <c r="M62" s="2">
        <v>14686.38</v>
      </c>
      <c r="N62" s="3"/>
      <c r="O62" s="2">
        <v>13152.43</v>
      </c>
      <c r="P62" s="3"/>
      <c r="Q62" s="2">
        <v>11632.43</v>
      </c>
      <c r="R62" s="3"/>
      <c r="S62" s="2">
        <v>13406.64</v>
      </c>
      <c r="T62" s="3"/>
      <c r="U62" s="2">
        <v>13259.44</v>
      </c>
      <c r="V62" s="3"/>
      <c r="W62" s="2">
        <v>11868.49</v>
      </c>
      <c r="X62" s="3"/>
      <c r="Y62" s="2">
        <v>10056.27</v>
      </c>
      <c r="Z62" s="3"/>
      <c r="AA62" s="2">
        <v>11313.37</v>
      </c>
      <c r="AB62" s="3"/>
      <c r="AC62" s="2">
        <v>13198.68</v>
      </c>
      <c r="AD62" s="3"/>
      <c r="AE62" s="2">
        <f t="shared" si="4"/>
        <v>149696.14000000001</v>
      </c>
    </row>
    <row r="63" spans="1:31" x14ac:dyDescent="0.25">
      <c r="A63" s="1"/>
      <c r="B63" s="1"/>
      <c r="C63" s="1"/>
      <c r="D63" s="1"/>
      <c r="E63" s="1"/>
      <c r="F63" s="1" t="s">
        <v>62</v>
      </c>
      <c r="G63" s="2">
        <v>0</v>
      </c>
      <c r="H63" s="3"/>
      <c r="I63" s="2">
        <v>0</v>
      </c>
      <c r="J63" s="3"/>
      <c r="K63" s="2">
        <v>4022.62</v>
      </c>
      <c r="L63" s="3"/>
      <c r="M63" s="2">
        <v>3063.15</v>
      </c>
      <c r="N63" s="3"/>
      <c r="O63" s="2">
        <v>4130</v>
      </c>
      <c r="P63" s="3"/>
      <c r="Q63" s="2">
        <v>3124.15</v>
      </c>
      <c r="R63" s="3"/>
      <c r="S63" s="2">
        <v>4212.6000000000004</v>
      </c>
      <c r="T63" s="3"/>
      <c r="U63" s="2">
        <v>3185.15</v>
      </c>
      <c r="V63" s="3"/>
      <c r="W63" s="2">
        <v>4295.2</v>
      </c>
      <c r="X63" s="3"/>
      <c r="Y63" s="2">
        <v>2806.95</v>
      </c>
      <c r="Z63" s="3"/>
      <c r="AA63" s="2">
        <v>3783.08</v>
      </c>
      <c r="AB63" s="3"/>
      <c r="AC63" s="2">
        <v>2300.65</v>
      </c>
      <c r="AD63" s="3"/>
      <c r="AE63" s="2">
        <f t="shared" si="4"/>
        <v>34923.550000000003</v>
      </c>
    </row>
    <row r="64" spans="1:31" x14ac:dyDescent="0.25">
      <c r="A64" s="1"/>
      <c r="B64" s="1"/>
      <c r="C64" s="1"/>
      <c r="D64" s="1"/>
      <c r="E64" s="1"/>
      <c r="F64" s="1" t="s">
        <v>63</v>
      </c>
      <c r="G64" s="2">
        <v>6389.18</v>
      </c>
      <c r="H64" s="3"/>
      <c r="I64" s="2">
        <v>3787.07</v>
      </c>
      <c r="J64" s="3"/>
      <c r="K64" s="2">
        <v>2952.91</v>
      </c>
      <c r="L64" s="3"/>
      <c r="M64" s="2">
        <v>3722.42</v>
      </c>
      <c r="N64" s="3"/>
      <c r="O64" s="2">
        <v>2782.42</v>
      </c>
      <c r="P64" s="3"/>
      <c r="Q64" s="2">
        <v>6214.43</v>
      </c>
      <c r="R64" s="3"/>
      <c r="S64" s="2">
        <v>668.11</v>
      </c>
      <c r="T64" s="3"/>
      <c r="U64" s="2">
        <v>646.86</v>
      </c>
      <c r="V64" s="3"/>
      <c r="W64" s="2">
        <v>27984.2</v>
      </c>
      <c r="X64" s="3"/>
      <c r="Y64" s="2">
        <v>679</v>
      </c>
      <c r="Z64" s="3"/>
      <c r="AA64" s="2">
        <v>-19024.54</v>
      </c>
      <c r="AB64" s="3"/>
      <c r="AC64" s="2">
        <v>513.67999999999995</v>
      </c>
      <c r="AD64" s="3"/>
      <c r="AE64" s="2">
        <f t="shared" si="4"/>
        <v>37315.74</v>
      </c>
    </row>
    <row r="65" spans="1:31" x14ac:dyDescent="0.25">
      <c r="A65" s="1"/>
      <c r="B65" s="1"/>
      <c r="C65" s="1"/>
      <c r="D65" s="1"/>
      <c r="E65" s="1"/>
      <c r="F65" s="1" t="s">
        <v>64</v>
      </c>
      <c r="G65" s="2">
        <v>1407.6</v>
      </c>
      <c r="H65" s="3"/>
      <c r="I65" s="2">
        <v>4734.22</v>
      </c>
      <c r="J65" s="3"/>
      <c r="K65" s="2">
        <v>6224.73</v>
      </c>
      <c r="L65" s="3"/>
      <c r="M65" s="2">
        <v>1398.06</v>
      </c>
      <c r="N65" s="3"/>
      <c r="O65" s="2">
        <v>2894.33</v>
      </c>
      <c r="P65" s="3"/>
      <c r="Q65" s="2">
        <v>3006.63</v>
      </c>
      <c r="R65" s="3"/>
      <c r="S65" s="2">
        <v>4711.74</v>
      </c>
      <c r="T65" s="3"/>
      <c r="U65" s="2">
        <v>4069.03</v>
      </c>
      <c r="V65" s="3"/>
      <c r="W65" s="2">
        <v>4836.87</v>
      </c>
      <c r="X65" s="3"/>
      <c r="Y65" s="2">
        <v>2688.95</v>
      </c>
      <c r="Z65" s="3"/>
      <c r="AA65" s="2">
        <v>1914.11</v>
      </c>
      <c r="AB65" s="3"/>
      <c r="AC65" s="2">
        <v>3687.57</v>
      </c>
      <c r="AD65" s="3"/>
      <c r="AE65" s="2">
        <f t="shared" si="4"/>
        <v>41573.839999999997</v>
      </c>
    </row>
    <row r="66" spans="1:31" x14ac:dyDescent="0.25">
      <c r="A66" s="1"/>
      <c r="B66" s="1"/>
      <c r="C66" s="1"/>
      <c r="D66" s="1"/>
      <c r="E66" s="1"/>
      <c r="F66" s="1" t="s">
        <v>65</v>
      </c>
      <c r="G66" s="2">
        <v>1060.76</v>
      </c>
      <c r="H66" s="3"/>
      <c r="I66" s="2">
        <v>8685.67</v>
      </c>
      <c r="J66" s="3"/>
      <c r="K66" s="2">
        <v>7903.55</v>
      </c>
      <c r="L66" s="3"/>
      <c r="M66" s="2">
        <v>6173.22</v>
      </c>
      <c r="N66" s="3"/>
      <c r="O66" s="2">
        <v>9485.4</v>
      </c>
      <c r="P66" s="3"/>
      <c r="Q66" s="2">
        <v>7431.68</v>
      </c>
      <c r="R66" s="3"/>
      <c r="S66" s="2">
        <v>18400.73</v>
      </c>
      <c r="T66" s="3"/>
      <c r="U66" s="2">
        <v>1554.3</v>
      </c>
      <c r="V66" s="3"/>
      <c r="W66" s="2">
        <v>-2258.88</v>
      </c>
      <c r="X66" s="3"/>
      <c r="Y66" s="2">
        <v>11350.72</v>
      </c>
      <c r="Z66" s="3"/>
      <c r="AA66" s="2">
        <v>13656.02</v>
      </c>
      <c r="AB66" s="3"/>
      <c r="AC66" s="2">
        <v>3289.85</v>
      </c>
      <c r="AD66" s="3"/>
      <c r="AE66" s="2">
        <f t="shared" si="4"/>
        <v>86733.02</v>
      </c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70</v>
      </c>
      <c r="H67" s="3"/>
      <c r="I67" s="2">
        <v>3040.17</v>
      </c>
      <c r="J67" s="3"/>
      <c r="K67" s="2">
        <v>199.52</v>
      </c>
      <c r="L67" s="3"/>
      <c r="M67" s="2">
        <v>208.94</v>
      </c>
      <c r="N67" s="3"/>
      <c r="O67" s="2">
        <v>314.31</v>
      </c>
      <c r="P67" s="3"/>
      <c r="Q67" s="2">
        <v>909.09</v>
      </c>
      <c r="R67" s="3"/>
      <c r="S67" s="2">
        <v>4259.13</v>
      </c>
      <c r="T67" s="3"/>
      <c r="U67" s="2">
        <v>1987.43</v>
      </c>
      <c r="V67" s="3"/>
      <c r="W67" s="2">
        <v>1664.69</v>
      </c>
      <c r="X67" s="3"/>
      <c r="Y67" s="2">
        <v>1830.38</v>
      </c>
      <c r="Z67" s="3"/>
      <c r="AA67" s="2">
        <v>9212.16</v>
      </c>
      <c r="AB67" s="3"/>
      <c r="AC67" s="2">
        <v>2882.41</v>
      </c>
      <c r="AD67" s="3"/>
      <c r="AE67" s="2">
        <f t="shared" si="4"/>
        <v>26578.23</v>
      </c>
    </row>
    <row r="68" spans="1:31" ht="15.75" thickBot="1" x14ac:dyDescent="0.3">
      <c r="A68" s="1"/>
      <c r="B68" s="1"/>
      <c r="C68" s="1"/>
      <c r="D68" s="1"/>
      <c r="E68" s="1"/>
      <c r="F68" s="1" t="s">
        <v>67</v>
      </c>
      <c r="G68" s="6">
        <v>1346.44</v>
      </c>
      <c r="H68" s="3"/>
      <c r="I68" s="6">
        <v>1030</v>
      </c>
      <c r="J68" s="3"/>
      <c r="K68" s="6">
        <v>1236.22</v>
      </c>
      <c r="L68" s="3"/>
      <c r="M68" s="6">
        <v>1140.22</v>
      </c>
      <c r="N68" s="3"/>
      <c r="O68" s="6">
        <v>1838.46</v>
      </c>
      <c r="P68" s="3"/>
      <c r="Q68" s="6">
        <v>1236.22</v>
      </c>
      <c r="R68" s="3"/>
      <c r="S68" s="6">
        <v>1105</v>
      </c>
      <c r="T68" s="3"/>
      <c r="U68" s="6">
        <v>1218.22</v>
      </c>
      <c r="V68" s="3"/>
      <c r="W68" s="6">
        <v>1592.98</v>
      </c>
      <c r="X68" s="3"/>
      <c r="Y68" s="6">
        <v>1108</v>
      </c>
      <c r="Z68" s="3"/>
      <c r="AA68" s="6">
        <v>1347.48</v>
      </c>
      <c r="AB68" s="3"/>
      <c r="AC68" s="6">
        <v>382.45</v>
      </c>
      <c r="AD68" s="3"/>
      <c r="AE68" s="6">
        <f t="shared" si="4"/>
        <v>14581.69</v>
      </c>
    </row>
    <row r="69" spans="1:31" x14ac:dyDescent="0.25">
      <c r="A69" s="1"/>
      <c r="B69" s="1"/>
      <c r="C69" s="1"/>
      <c r="D69" s="1"/>
      <c r="E69" s="1" t="s">
        <v>68</v>
      </c>
      <c r="F69" s="1"/>
      <c r="G69" s="2">
        <f>ROUND(SUM(G60:G68),5)</f>
        <v>27982.84</v>
      </c>
      <c r="H69" s="3"/>
      <c r="I69" s="2">
        <f>ROUND(SUM(I60:I68),5)</f>
        <v>41715.519999999997</v>
      </c>
      <c r="J69" s="3"/>
      <c r="K69" s="2">
        <f>ROUND(SUM(K60:K68),5)</f>
        <v>42312.35</v>
      </c>
      <c r="L69" s="3"/>
      <c r="M69" s="2">
        <f>ROUND(SUM(M60:M68),5)</f>
        <v>38451.800000000003</v>
      </c>
      <c r="N69" s="3"/>
      <c r="O69" s="2">
        <f>ROUND(SUM(O60:O68),5)</f>
        <v>42362.91</v>
      </c>
      <c r="P69" s="3"/>
      <c r="Q69" s="2">
        <f>ROUND(SUM(Q60:Q68),5)</f>
        <v>41013</v>
      </c>
      <c r="R69" s="3"/>
      <c r="S69" s="2">
        <f>ROUND(SUM(S60:S68),5)</f>
        <v>54403.98</v>
      </c>
      <c r="T69" s="3"/>
      <c r="U69" s="2">
        <f>ROUND(SUM(U60:U68),5)</f>
        <v>32450.13</v>
      </c>
      <c r="V69" s="3"/>
      <c r="W69" s="2">
        <f>ROUND(SUM(W60:W68),5)</f>
        <v>57137.83</v>
      </c>
      <c r="X69" s="3"/>
      <c r="Y69" s="2">
        <f>ROUND(SUM(Y60:Y68),5)</f>
        <v>37934.18</v>
      </c>
      <c r="Z69" s="3"/>
      <c r="AA69" s="2">
        <f>ROUND(SUM(AA60:AA68),5)</f>
        <v>27457.88</v>
      </c>
      <c r="AB69" s="3"/>
      <c r="AC69" s="2">
        <f>ROUND(SUM(AC60:AC68),5)</f>
        <v>31176.31</v>
      </c>
      <c r="AD69" s="3"/>
      <c r="AE69" s="2">
        <f t="shared" si="4"/>
        <v>474398.73</v>
      </c>
    </row>
    <row r="70" spans="1:31" x14ac:dyDescent="0.25">
      <c r="A70" s="1"/>
      <c r="B70" s="1"/>
      <c r="C70" s="1"/>
      <c r="D70" s="1"/>
      <c r="E70" s="1" t="s">
        <v>69</v>
      </c>
      <c r="F70" s="1"/>
      <c r="G70" s="2"/>
      <c r="H70" s="3"/>
      <c r="I70" s="2"/>
      <c r="J70" s="3"/>
      <c r="K70" s="2"/>
      <c r="L70" s="3"/>
      <c r="M70" s="2"/>
      <c r="N70" s="3"/>
      <c r="O70" s="2"/>
      <c r="P70" s="3"/>
      <c r="Q70" s="2"/>
      <c r="R70" s="3"/>
      <c r="S70" s="2"/>
      <c r="T70" s="3"/>
      <c r="U70" s="2"/>
      <c r="V70" s="3"/>
      <c r="W70" s="2"/>
      <c r="X70" s="3"/>
      <c r="Y70" s="2"/>
      <c r="Z70" s="3"/>
      <c r="AA70" s="2"/>
      <c r="AB70" s="3"/>
      <c r="AC70" s="2"/>
      <c r="AD70" s="3"/>
      <c r="AE70" s="2"/>
    </row>
    <row r="71" spans="1:31" x14ac:dyDescent="0.25">
      <c r="A71" s="1"/>
      <c r="B71" s="1"/>
      <c r="C71" s="1"/>
      <c r="D71" s="1"/>
      <c r="E71" s="1"/>
      <c r="F71" s="1" t="s">
        <v>70</v>
      </c>
      <c r="G71" s="2">
        <v>2500.7199999999998</v>
      </c>
      <c r="H71" s="3"/>
      <c r="I71" s="2">
        <v>967.76</v>
      </c>
      <c r="J71" s="3"/>
      <c r="K71" s="2">
        <v>712.24</v>
      </c>
      <c r="L71" s="3"/>
      <c r="M71" s="2">
        <v>860.89</v>
      </c>
      <c r="N71" s="3"/>
      <c r="O71" s="2">
        <v>803.57</v>
      </c>
      <c r="P71" s="3"/>
      <c r="Q71" s="2">
        <v>857.41</v>
      </c>
      <c r="R71" s="3"/>
      <c r="S71" s="2">
        <v>845.09</v>
      </c>
      <c r="T71" s="3"/>
      <c r="U71" s="2">
        <v>828.13</v>
      </c>
      <c r="V71" s="3"/>
      <c r="W71" s="2">
        <v>642.02</v>
      </c>
      <c r="X71" s="3"/>
      <c r="Y71" s="2">
        <v>859.7</v>
      </c>
      <c r="Z71" s="3"/>
      <c r="AA71" s="2">
        <v>895.42</v>
      </c>
      <c r="AB71" s="3"/>
      <c r="AC71" s="2">
        <v>1494.92</v>
      </c>
      <c r="AD71" s="3"/>
      <c r="AE71" s="2">
        <f t="shared" ref="AE71:AE78" si="5">ROUND(SUM(G71:AC71),5)</f>
        <v>12267.87</v>
      </c>
    </row>
    <row r="72" spans="1:31" x14ac:dyDescent="0.25">
      <c r="A72" s="1"/>
      <c r="B72" s="1"/>
      <c r="C72" s="1"/>
      <c r="D72" s="1"/>
      <c r="E72" s="1"/>
      <c r="F72" s="1" t="s">
        <v>71</v>
      </c>
      <c r="G72" s="2">
        <v>3441.55</v>
      </c>
      <c r="H72" s="3"/>
      <c r="I72" s="2">
        <v>3855.31</v>
      </c>
      <c r="J72" s="3"/>
      <c r="K72" s="2">
        <v>3539.09</v>
      </c>
      <c r="L72" s="3"/>
      <c r="M72" s="2">
        <v>3870.58</v>
      </c>
      <c r="N72" s="3"/>
      <c r="O72" s="2">
        <v>3609.32</v>
      </c>
      <c r="P72" s="3"/>
      <c r="Q72" s="2">
        <v>3203.21</v>
      </c>
      <c r="R72" s="3"/>
      <c r="S72" s="2">
        <v>2821.17</v>
      </c>
      <c r="T72" s="3"/>
      <c r="U72" s="2">
        <v>3574.38</v>
      </c>
      <c r="V72" s="3"/>
      <c r="W72" s="2">
        <v>3869.04</v>
      </c>
      <c r="X72" s="3"/>
      <c r="Y72" s="2">
        <v>3780.85</v>
      </c>
      <c r="Z72" s="3"/>
      <c r="AA72" s="2">
        <v>3742.33</v>
      </c>
      <c r="AB72" s="3"/>
      <c r="AC72" s="2">
        <v>3767.84</v>
      </c>
      <c r="AD72" s="3"/>
      <c r="AE72" s="2">
        <f t="shared" si="5"/>
        <v>43074.67</v>
      </c>
    </row>
    <row r="73" spans="1:31" x14ac:dyDescent="0.25">
      <c r="A73" s="1"/>
      <c r="B73" s="1"/>
      <c r="C73" s="1"/>
      <c r="D73" s="1"/>
      <c r="E73" s="1"/>
      <c r="F73" s="1" t="s">
        <v>72</v>
      </c>
      <c r="G73" s="2">
        <v>0</v>
      </c>
      <c r="H73" s="3"/>
      <c r="I73" s="2">
        <v>82.87</v>
      </c>
      <c r="J73" s="3"/>
      <c r="K73" s="2">
        <v>185.74</v>
      </c>
      <c r="L73" s="3"/>
      <c r="M73" s="2">
        <v>0</v>
      </c>
      <c r="N73" s="3"/>
      <c r="O73" s="2">
        <v>0</v>
      </c>
      <c r="P73" s="3"/>
      <c r="Q73" s="2">
        <v>160.29</v>
      </c>
      <c r="R73" s="3"/>
      <c r="S73" s="2">
        <v>0</v>
      </c>
      <c r="T73" s="3"/>
      <c r="U73" s="2">
        <v>0</v>
      </c>
      <c r="V73" s="3"/>
      <c r="W73" s="2">
        <v>38.869999999999997</v>
      </c>
      <c r="X73" s="3"/>
      <c r="Y73" s="2">
        <v>269.99</v>
      </c>
      <c r="Z73" s="3"/>
      <c r="AA73" s="2">
        <v>16.96</v>
      </c>
      <c r="AB73" s="3"/>
      <c r="AC73" s="2">
        <v>0</v>
      </c>
      <c r="AD73" s="3"/>
      <c r="AE73" s="2">
        <f t="shared" si="5"/>
        <v>754.72</v>
      </c>
    </row>
    <row r="74" spans="1:31" x14ac:dyDescent="0.25">
      <c r="A74" s="1"/>
      <c r="B74" s="1"/>
      <c r="C74" s="1"/>
      <c r="D74" s="1"/>
      <c r="E74" s="1"/>
      <c r="F74" s="1" t="s">
        <v>73</v>
      </c>
      <c r="G74" s="2">
        <v>0</v>
      </c>
      <c r="H74" s="3"/>
      <c r="I74" s="2">
        <v>0</v>
      </c>
      <c r="J74" s="3"/>
      <c r="K74" s="2">
        <v>0</v>
      </c>
      <c r="L74" s="3"/>
      <c r="M74" s="2">
        <v>0</v>
      </c>
      <c r="N74" s="3"/>
      <c r="O74" s="2">
        <v>0</v>
      </c>
      <c r="P74" s="3"/>
      <c r="Q74" s="2">
        <v>0</v>
      </c>
      <c r="R74" s="3"/>
      <c r="S74" s="2">
        <v>0</v>
      </c>
      <c r="T74" s="3"/>
      <c r="U74" s="2">
        <v>0</v>
      </c>
      <c r="V74" s="3"/>
      <c r="W74" s="2">
        <v>315</v>
      </c>
      <c r="X74" s="3"/>
      <c r="Y74" s="2">
        <v>0</v>
      </c>
      <c r="Z74" s="3"/>
      <c r="AA74" s="2">
        <v>0</v>
      </c>
      <c r="AB74" s="3"/>
      <c r="AC74" s="2">
        <v>0</v>
      </c>
      <c r="AD74" s="3"/>
      <c r="AE74" s="2">
        <f t="shared" si="5"/>
        <v>315</v>
      </c>
    </row>
    <row r="75" spans="1:31" x14ac:dyDescent="0.25">
      <c r="A75" s="1"/>
      <c r="B75" s="1"/>
      <c r="C75" s="1"/>
      <c r="D75" s="1"/>
      <c r="E75" s="1"/>
      <c r="F75" s="1" t="s">
        <v>74</v>
      </c>
      <c r="G75" s="2">
        <v>7769.88</v>
      </c>
      <c r="H75" s="3"/>
      <c r="I75" s="2">
        <v>7588.4</v>
      </c>
      <c r="J75" s="3"/>
      <c r="K75" s="2">
        <v>7544.01</v>
      </c>
      <c r="L75" s="3"/>
      <c r="M75" s="2">
        <v>8142.84</v>
      </c>
      <c r="N75" s="3"/>
      <c r="O75" s="2">
        <v>8050.18</v>
      </c>
      <c r="P75" s="3"/>
      <c r="Q75" s="2">
        <v>8122.93</v>
      </c>
      <c r="R75" s="3"/>
      <c r="S75" s="2">
        <v>8481.6</v>
      </c>
      <c r="T75" s="3"/>
      <c r="U75" s="2">
        <v>7908.31</v>
      </c>
      <c r="V75" s="3"/>
      <c r="W75" s="2">
        <v>8623.0400000000009</v>
      </c>
      <c r="X75" s="3"/>
      <c r="Y75" s="2">
        <v>8411.5300000000007</v>
      </c>
      <c r="Z75" s="3"/>
      <c r="AA75" s="2">
        <v>8937.86</v>
      </c>
      <c r="AB75" s="3"/>
      <c r="AC75" s="2">
        <v>8914.07</v>
      </c>
      <c r="AD75" s="3"/>
      <c r="AE75" s="2">
        <f t="shared" si="5"/>
        <v>98494.65</v>
      </c>
    </row>
    <row r="76" spans="1:31" x14ac:dyDescent="0.25">
      <c r="A76" s="1"/>
      <c r="B76" s="1"/>
      <c r="C76" s="1"/>
      <c r="D76" s="1"/>
      <c r="E76" s="1"/>
      <c r="F76" s="1" t="s">
        <v>75</v>
      </c>
      <c r="G76" s="2">
        <v>5137.1400000000003</v>
      </c>
      <c r="H76" s="3"/>
      <c r="I76" s="2">
        <v>5137.1400000000003</v>
      </c>
      <c r="J76" s="3"/>
      <c r="K76" s="2">
        <v>4689.72</v>
      </c>
      <c r="L76" s="3"/>
      <c r="M76" s="2">
        <v>4954.8599999999997</v>
      </c>
      <c r="N76" s="3"/>
      <c r="O76" s="2">
        <v>5103.99</v>
      </c>
      <c r="P76" s="3"/>
      <c r="Q76" s="2">
        <v>5468.58</v>
      </c>
      <c r="R76" s="3"/>
      <c r="S76" s="2">
        <v>5137.1400000000003</v>
      </c>
      <c r="T76" s="3"/>
      <c r="U76" s="2">
        <v>4640</v>
      </c>
      <c r="V76" s="3"/>
      <c r="W76" s="2">
        <v>5037.71</v>
      </c>
      <c r="X76" s="3"/>
      <c r="Y76" s="2">
        <v>4142.8599999999997</v>
      </c>
      <c r="Z76" s="3"/>
      <c r="AA76" s="2">
        <v>5137.1400000000003</v>
      </c>
      <c r="AB76" s="3"/>
      <c r="AC76" s="2">
        <v>5108.58</v>
      </c>
      <c r="AD76" s="3"/>
      <c r="AE76" s="2">
        <f t="shared" si="5"/>
        <v>59694.86</v>
      </c>
    </row>
    <row r="77" spans="1:31" ht="15.75" thickBot="1" x14ac:dyDescent="0.3">
      <c r="A77" s="1"/>
      <c r="B77" s="1"/>
      <c r="C77" s="1"/>
      <c r="D77" s="1"/>
      <c r="E77" s="1"/>
      <c r="F77" s="1" t="s">
        <v>76</v>
      </c>
      <c r="G77" s="6">
        <v>0</v>
      </c>
      <c r="H77" s="3"/>
      <c r="I77" s="6">
        <v>0</v>
      </c>
      <c r="J77" s="3"/>
      <c r="K77" s="6">
        <v>0</v>
      </c>
      <c r="L77" s="3"/>
      <c r="M77" s="6">
        <v>0</v>
      </c>
      <c r="N77" s="3"/>
      <c r="O77" s="6">
        <v>0</v>
      </c>
      <c r="P77" s="3"/>
      <c r="Q77" s="6">
        <v>0</v>
      </c>
      <c r="R77" s="3"/>
      <c r="S77" s="6">
        <v>0</v>
      </c>
      <c r="T77" s="3"/>
      <c r="U77" s="6">
        <v>172.67</v>
      </c>
      <c r="V77" s="3"/>
      <c r="W77" s="6">
        <v>0</v>
      </c>
      <c r="X77" s="3"/>
      <c r="Y77" s="6">
        <v>0</v>
      </c>
      <c r="Z77" s="3"/>
      <c r="AA77" s="6">
        <v>0</v>
      </c>
      <c r="AB77" s="3"/>
      <c r="AC77" s="6">
        <v>0</v>
      </c>
      <c r="AD77" s="3"/>
      <c r="AE77" s="6">
        <f t="shared" si="5"/>
        <v>172.67</v>
      </c>
    </row>
    <row r="78" spans="1:31" x14ac:dyDescent="0.25">
      <c r="A78" s="1"/>
      <c r="B78" s="1"/>
      <c r="C78" s="1"/>
      <c r="D78" s="1"/>
      <c r="E78" s="1" t="s">
        <v>77</v>
      </c>
      <c r="F78" s="1"/>
      <c r="G78" s="2">
        <f>ROUND(SUM(G70:G77),5)</f>
        <v>18849.29</v>
      </c>
      <c r="H78" s="3"/>
      <c r="I78" s="2">
        <f>ROUND(SUM(I70:I77),5)</f>
        <v>17631.48</v>
      </c>
      <c r="J78" s="3"/>
      <c r="K78" s="2">
        <f>ROUND(SUM(K70:K77),5)</f>
        <v>16670.8</v>
      </c>
      <c r="L78" s="3"/>
      <c r="M78" s="2">
        <f>ROUND(SUM(M70:M77),5)</f>
        <v>17829.169999999998</v>
      </c>
      <c r="N78" s="3"/>
      <c r="O78" s="2">
        <f>ROUND(SUM(O70:O77),5)</f>
        <v>17567.060000000001</v>
      </c>
      <c r="P78" s="3"/>
      <c r="Q78" s="2">
        <f>ROUND(SUM(Q70:Q77),5)</f>
        <v>17812.419999999998</v>
      </c>
      <c r="R78" s="3"/>
      <c r="S78" s="2">
        <f>ROUND(SUM(S70:S77),5)</f>
        <v>17285</v>
      </c>
      <c r="T78" s="3"/>
      <c r="U78" s="2">
        <f>ROUND(SUM(U70:U77),5)</f>
        <v>17123.490000000002</v>
      </c>
      <c r="V78" s="3"/>
      <c r="W78" s="2">
        <f>ROUND(SUM(W70:W77),5)</f>
        <v>18525.68</v>
      </c>
      <c r="X78" s="3"/>
      <c r="Y78" s="2">
        <f>ROUND(SUM(Y70:Y77),5)</f>
        <v>17464.93</v>
      </c>
      <c r="Z78" s="3"/>
      <c r="AA78" s="2">
        <f>ROUND(SUM(AA70:AA77),5)</f>
        <v>18729.71</v>
      </c>
      <c r="AB78" s="3"/>
      <c r="AC78" s="2">
        <f>ROUND(SUM(AC70:AC77),5)</f>
        <v>19285.41</v>
      </c>
      <c r="AD78" s="3"/>
      <c r="AE78" s="2">
        <f t="shared" si="5"/>
        <v>214774.44</v>
      </c>
    </row>
    <row r="79" spans="1:31" x14ac:dyDescent="0.25">
      <c r="A79" s="1"/>
      <c r="B79" s="1"/>
      <c r="C79" s="1"/>
      <c r="D79" s="1"/>
      <c r="E79" s="1" t="s">
        <v>78</v>
      </c>
      <c r="F79" s="1"/>
      <c r="G79" s="2"/>
      <c r="H79" s="3"/>
      <c r="I79" s="2"/>
      <c r="J79" s="3"/>
      <c r="K79" s="2"/>
      <c r="L79" s="3"/>
      <c r="M79" s="2"/>
      <c r="N79" s="3"/>
      <c r="O79" s="2"/>
      <c r="P79" s="3"/>
      <c r="Q79" s="2"/>
      <c r="R79" s="3"/>
      <c r="S79" s="2"/>
      <c r="T79" s="3"/>
      <c r="U79" s="2"/>
      <c r="V79" s="3"/>
      <c r="W79" s="2"/>
      <c r="X79" s="3"/>
      <c r="Y79" s="2"/>
      <c r="Z79" s="3"/>
      <c r="AA79" s="2"/>
      <c r="AB79" s="3"/>
      <c r="AC79" s="2"/>
      <c r="AD79" s="3"/>
      <c r="AE79" s="2"/>
    </row>
    <row r="80" spans="1:31" x14ac:dyDescent="0.25">
      <c r="A80" s="1"/>
      <c r="B80" s="1"/>
      <c r="C80" s="1"/>
      <c r="D80" s="1"/>
      <c r="E80" s="1"/>
      <c r="F80" s="1" t="s">
        <v>79</v>
      </c>
      <c r="G80" s="2">
        <v>9420.1299999999992</v>
      </c>
      <c r="H80" s="3"/>
      <c r="I80" s="2">
        <v>10270.61</v>
      </c>
      <c r="J80" s="3"/>
      <c r="K80" s="2">
        <v>8091.03</v>
      </c>
      <c r="L80" s="3"/>
      <c r="M80" s="2">
        <v>7821.45</v>
      </c>
      <c r="N80" s="3"/>
      <c r="O80" s="2">
        <v>5928.48</v>
      </c>
      <c r="P80" s="3"/>
      <c r="Q80" s="2">
        <v>5815.34</v>
      </c>
      <c r="R80" s="3"/>
      <c r="S80" s="2">
        <v>8580.91</v>
      </c>
      <c r="T80" s="3"/>
      <c r="U80" s="2">
        <v>6505.26</v>
      </c>
      <c r="V80" s="3"/>
      <c r="W80" s="2">
        <v>7820.61</v>
      </c>
      <c r="X80" s="3"/>
      <c r="Y80" s="2">
        <v>7394.21</v>
      </c>
      <c r="Z80" s="3"/>
      <c r="AA80" s="2">
        <v>7198.03</v>
      </c>
      <c r="AB80" s="3"/>
      <c r="AC80" s="2">
        <v>7760.04</v>
      </c>
      <c r="AD80" s="3"/>
      <c r="AE80" s="2">
        <f t="shared" ref="AE80:AE86" si="6">ROUND(SUM(G80:AC80),5)</f>
        <v>92606.1</v>
      </c>
    </row>
    <row r="81" spans="1:31" x14ac:dyDescent="0.25">
      <c r="A81" s="1"/>
      <c r="B81" s="1"/>
      <c r="C81" s="1"/>
      <c r="D81" s="1"/>
      <c r="E81" s="1"/>
      <c r="F81" s="1" t="s">
        <v>80</v>
      </c>
      <c r="G81" s="2">
        <v>963.88</v>
      </c>
      <c r="H81" s="3"/>
      <c r="I81" s="2">
        <v>347.28</v>
      </c>
      <c r="J81" s="3"/>
      <c r="K81" s="2">
        <v>460.68</v>
      </c>
      <c r="L81" s="3"/>
      <c r="M81" s="2">
        <v>694.45</v>
      </c>
      <c r="N81" s="3"/>
      <c r="O81" s="2">
        <v>323.39</v>
      </c>
      <c r="P81" s="3"/>
      <c r="Q81" s="2">
        <v>1438.63</v>
      </c>
      <c r="R81" s="3"/>
      <c r="S81" s="2">
        <v>0</v>
      </c>
      <c r="T81" s="3"/>
      <c r="U81" s="2">
        <v>412.24</v>
      </c>
      <c r="V81" s="3"/>
      <c r="W81" s="2">
        <v>1174.56</v>
      </c>
      <c r="X81" s="3"/>
      <c r="Y81" s="2">
        <v>579.76</v>
      </c>
      <c r="Z81" s="3"/>
      <c r="AA81" s="2">
        <v>0</v>
      </c>
      <c r="AB81" s="3"/>
      <c r="AC81" s="2">
        <v>949.58</v>
      </c>
      <c r="AD81" s="3"/>
      <c r="AE81" s="2">
        <f t="shared" si="6"/>
        <v>7344.45</v>
      </c>
    </row>
    <row r="82" spans="1:31" x14ac:dyDescent="0.25">
      <c r="A82" s="1"/>
      <c r="B82" s="1"/>
      <c r="C82" s="1"/>
      <c r="D82" s="1"/>
      <c r="E82" s="1"/>
      <c r="F82" s="1" t="s">
        <v>81</v>
      </c>
      <c r="G82" s="2">
        <v>75</v>
      </c>
      <c r="H82" s="3"/>
      <c r="I82" s="2">
        <v>75</v>
      </c>
      <c r="J82" s="3"/>
      <c r="K82" s="2">
        <v>75</v>
      </c>
      <c r="L82" s="3"/>
      <c r="M82" s="2">
        <v>75</v>
      </c>
      <c r="N82" s="3"/>
      <c r="O82" s="2">
        <v>75</v>
      </c>
      <c r="P82" s="3"/>
      <c r="Q82" s="2">
        <v>75</v>
      </c>
      <c r="R82" s="3"/>
      <c r="S82" s="2">
        <v>150</v>
      </c>
      <c r="T82" s="3"/>
      <c r="U82" s="2">
        <v>0</v>
      </c>
      <c r="V82" s="3"/>
      <c r="W82" s="2">
        <v>0</v>
      </c>
      <c r="X82" s="3"/>
      <c r="Y82" s="2">
        <v>0</v>
      </c>
      <c r="Z82" s="3"/>
      <c r="AA82" s="2">
        <v>375</v>
      </c>
      <c r="AB82" s="3"/>
      <c r="AC82" s="2">
        <v>0</v>
      </c>
      <c r="AD82" s="3"/>
      <c r="AE82" s="2">
        <f t="shared" si="6"/>
        <v>975</v>
      </c>
    </row>
    <row r="83" spans="1:31" x14ac:dyDescent="0.25">
      <c r="A83" s="1"/>
      <c r="B83" s="1"/>
      <c r="C83" s="1"/>
      <c r="D83" s="1"/>
      <c r="E83" s="1"/>
      <c r="F83" s="1" t="s">
        <v>82</v>
      </c>
      <c r="G83" s="2">
        <v>0</v>
      </c>
      <c r="H83" s="3"/>
      <c r="I83" s="2">
        <v>1920.99</v>
      </c>
      <c r="J83" s="3"/>
      <c r="K83" s="2">
        <v>990</v>
      </c>
      <c r="L83" s="3"/>
      <c r="M83" s="2">
        <v>0</v>
      </c>
      <c r="N83" s="3"/>
      <c r="O83" s="2">
        <v>1643.9</v>
      </c>
      <c r="P83" s="3"/>
      <c r="Q83" s="2">
        <v>0</v>
      </c>
      <c r="R83" s="3"/>
      <c r="S83" s="2">
        <v>990</v>
      </c>
      <c r="T83" s="3"/>
      <c r="U83" s="2">
        <v>0</v>
      </c>
      <c r="V83" s="3"/>
      <c r="W83" s="2">
        <v>0</v>
      </c>
      <c r="X83" s="3"/>
      <c r="Y83" s="2">
        <v>0</v>
      </c>
      <c r="Z83" s="3"/>
      <c r="AA83" s="2">
        <v>271.77</v>
      </c>
      <c r="AB83" s="3"/>
      <c r="AC83" s="2">
        <v>0</v>
      </c>
      <c r="AD83" s="3"/>
      <c r="AE83" s="2">
        <f t="shared" si="6"/>
        <v>5816.66</v>
      </c>
    </row>
    <row r="84" spans="1:31" x14ac:dyDescent="0.25">
      <c r="A84" s="1"/>
      <c r="B84" s="1"/>
      <c r="C84" s="1"/>
      <c r="D84" s="1"/>
      <c r="E84" s="1"/>
      <c r="F84" s="1" t="s">
        <v>83</v>
      </c>
      <c r="G84" s="2">
        <v>0</v>
      </c>
      <c r="H84" s="3"/>
      <c r="I84" s="2">
        <v>0</v>
      </c>
      <c r="J84" s="3"/>
      <c r="K84" s="2">
        <v>0</v>
      </c>
      <c r="L84" s="3"/>
      <c r="M84" s="2">
        <v>0</v>
      </c>
      <c r="N84" s="3"/>
      <c r="O84" s="2">
        <v>0</v>
      </c>
      <c r="P84" s="3"/>
      <c r="Q84" s="2">
        <v>0</v>
      </c>
      <c r="R84" s="3"/>
      <c r="S84" s="2">
        <v>0</v>
      </c>
      <c r="T84" s="3"/>
      <c r="U84" s="2">
        <v>0</v>
      </c>
      <c r="V84" s="3"/>
      <c r="W84" s="2">
        <v>2386.1999999999998</v>
      </c>
      <c r="X84" s="3"/>
      <c r="Y84" s="2">
        <v>0</v>
      </c>
      <c r="Z84" s="3"/>
      <c r="AA84" s="2">
        <v>545.67999999999995</v>
      </c>
      <c r="AB84" s="3"/>
      <c r="AC84" s="2">
        <v>5006.5</v>
      </c>
      <c r="AD84" s="3"/>
      <c r="AE84" s="2">
        <f t="shared" si="6"/>
        <v>7938.38</v>
      </c>
    </row>
    <row r="85" spans="1:31" ht="15.75" thickBot="1" x14ac:dyDescent="0.3">
      <c r="A85" s="1"/>
      <c r="B85" s="1"/>
      <c r="C85" s="1"/>
      <c r="D85" s="1"/>
      <c r="E85" s="1"/>
      <c r="F85" s="1" t="s">
        <v>84</v>
      </c>
      <c r="G85" s="6">
        <v>1191.71</v>
      </c>
      <c r="H85" s="3"/>
      <c r="I85" s="6">
        <v>973.07</v>
      </c>
      <c r="J85" s="3"/>
      <c r="K85" s="6">
        <v>923.62</v>
      </c>
      <c r="L85" s="3"/>
      <c r="M85" s="6">
        <v>1903.04</v>
      </c>
      <c r="N85" s="3"/>
      <c r="O85" s="6">
        <v>1362.5</v>
      </c>
      <c r="P85" s="3"/>
      <c r="Q85" s="6">
        <v>1098.5899999999999</v>
      </c>
      <c r="R85" s="3"/>
      <c r="S85" s="6">
        <v>1520.87</v>
      </c>
      <c r="T85" s="3"/>
      <c r="U85" s="6">
        <v>774.24</v>
      </c>
      <c r="V85" s="3"/>
      <c r="W85" s="6">
        <v>605.85</v>
      </c>
      <c r="X85" s="3"/>
      <c r="Y85" s="6">
        <v>1082.79</v>
      </c>
      <c r="Z85" s="3"/>
      <c r="AA85" s="6">
        <v>1314.91</v>
      </c>
      <c r="AB85" s="3"/>
      <c r="AC85" s="6">
        <v>1547.54</v>
      </c>
      <c r="AD85" s="3"/>
      <c r="AE85" s="6">
        <f t="shared" si="6"/>
        <v>14298.73</v>
      </c>
    </row>
    <row r="86" spans="1:31" x14ac:dyDescent="0.25">
      <c r="A86" s="1"/>
      <c r="B86" s="1"/>
      <c r="C86" s="1"/>
      <c r="D86" s="1"/>
      <c r="E86" s="1" t="s">
        <v>85</v>
      </c>
      <c r="F86" s="1"/>
      <c r="G86" s="2">
        <f>ROUND(SUM(G79:G85),5)</f>
        <v>11650.72</v>
      </c>
      <c r="H86" s="3"/>
      <c r="I86" s="2">
        <f>ROUND(SUM(I79:I85),5)</f>
        <v>13586.95</v>
      </c>
      <c r="J86" s="3"/>
      <c r="K86" s="2">
        <f>ROUND(SUM(K79:K85),5)</f>
        <v>10540.33</v>
      </c>
      <c r="L86" s="3"/>
      <c r="M86" s="2">
        <f>ROUND(SUM(M79:M85),5)</f>
        <v>10493.94</v>
      </c>
      <c r="N86" s="3"/>
      <c r="O86" s="2">
        <f>ROUND(SUM(O79:O85),5)</f>
        <v>9333.27</v>
      </c>
      <c r="P86" s="3"/>
      <c r="Q86" s="2">
        <f>ROUND(SUM(Q79:Q85),5)</f>
        <v>8427.56</v>
      </c>
      <c r="R86" s="3"/>
      <c r="S86" s="2">
        <f>ROUND(SUM(S79:S85),5)</f>
        <v>11241.78</v>
      </c>
      <c r="T86" s="3"/>
      <c r="U86" s="2">
        <f>ROUND(SUM(U79:U85),5)</f>
        <v>7691.74</v>
      </c>
      <c r="V86" s="3"/>
      <c r="W86" s="2">
        <f>ROUND(SUM(W79:W85),5)</f>
        <v>11987.22</v>
      </c>
      <c r="X86" s="3"/>
      <c r="Y86" s="2">
        <f>ROUND(SUM(Y79:Y85),5)</f>
        <v>9056.76</v>
      </c>
      <c r="Z86" s="3"/>
      <c r="AA86" s="2">
        <f>ROUND(SUM(AA79:AA85),5)</f>
        <v>9705.39</v>
      </c>
      <c r="AB86" s="3"/>
      <c r="AC86" s="2">
        <f>ROUND(SUM(AC79:AC85),5)</f>
        <v>15263.66</v>
      </c>
      <c r="AD86" s="3"/>
      <c r="AE86" s="2">
        <f t="shared" si="6"/>
        <v>128979.32</v>
      </c>
    </row>
    <row r="87" spans="1:31" x14ac:dyDescent="0.25">
      <c r="A87" s="1"/>
      <c r="B87" s="1"/>
      <c r="C87" s="1"/>
      <c r="D87" s="1"/>
      <c r="E87" s="1" t="s">
        <v>86</v>
      </c>
      <c r="F87" s="1"/>
      <c r="G87" s="2"/>
      <c r="H87" s="3"/>
      <c r="I87" s="2"/>
      <c r="J87" s="3"/>
      <c r="K87" s="2"/>
      <c r="L87" s="3"/>
      <c r="M87" s="2"/>
      <c r="N87" s="3"/>
      <c r="O87" s="2"/>
      <c r="P87" s="3"/>
      <c r="Q87" s="2"/>
      <c r="R87" s="3"/>
      <c r="S87" s="2"/>
      <c r="T87" s="3"/>
      <c r="U87" s="2"/>
      <c r="V87" s="3"/>
      <c r="W87" s="2"/>
      <c r="X87" s="3"/>
      <c r="Y87" s="2"/>
      <c r="Z87" s="3"/>
      <c r="AA87" s="2"/>
      <c r="AB87" s="3"/>
      <c r="AC87" s="2"/>
      <c r="AD87" s="3"/>
      <c r="AE87" s="2"/>
    </row>
    <row r="88" spans="1:31" x14ac:dyDescent="0.25">
      <c r="A88" s="1"/>
      <c r="B88" s="1"/>
      <c r="C88" s="1"/>
      <c r="D88" s="1"/>
      <c r="E88" s="1"/>
      <c r="F88" s="1" t="s">
        <v>87</v>
      </c>
      <c r="G88" s="2">
        <v>9421.6200000000008</v>
      </c>
      <c r="H88" s="3"/>
      <c r="I88" s="2">
        <v>9061.9699999999993</v>
      </c>
      <c r="J88" s="3"/>
      <c r="K88" s="2">
        <v>8496.7000000000007</v>
      </c>
      <c r="L88" s="3"/>
      <c r="M88" s="2">
        <v>7962.84</v>
      </c>
      <c r="N88" s="3"/>
      <c r="O88" s="2">
        <v>8021.06</v>
      </c>
      <c r="P88" s="3"/>
      <c r="Q88" s="2">
        <v>7463.88</v>
      </c>
      <c r="R88" s="3"/>
      <c r="S88" s="2">
        <v>8746.9</v>
      </c>
      <c r="T88" s="3"/>
      <c r="U88" s="2">
        <v>8749.94</v>
      </c>
      <c r="V88" s="3"/>
      <c r="W88" s="2">
        <v>9564.0499999999993</v>
      </c>
      <c r="X88" s="3"/>
      <c r="Y88" s="2">
        <v>8951.59</v>
      </c>
      <c r="Z88" s="3"/>
      <c r="AA88" s="2">
        <v>10138.450000000001</v>
      </c>
      <c r="AB88" s="3"/>
      <c r="AC88" s="2">
        <v>9325.16</v>
      </c>
      <c r="AD88" s="3"/>
      <c r="AE88" s="2">
        <f t="shared" ref="AE88:AE117" si="7">ROUND(SUM(G88:AC88),5)</f>
        <v>105904.16</v>
      </c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18600</v>
      </c>
      <c r="H89" s="3"/>
      <c r="I89" s="2">
        <v>23500</v>
      </c>
      <c r="J89" s="3"/>
      <c r="K89" s="2">
        <v>23500</v>
      </c>
      <c r="L89" s="3"/>
      <c r="M89" s="2">
        <v>23500</v>
      </c>
      <c r="N89" s="3"/>
      <c r="O89" s="2">
        <v>23500</v>
      </c>
      <c r="P89" s="3"/>
      <c r="Q89" s="2">
        <v>23500</v>
      </c>
      <c r="R89" s="3"/>
      <c r="S89" s="2">
        <v>23500</v>
      </c>
      <c r="T89" s="3"/>
      <c r="U89" s="2">
        <v>23500</v>
      </c>
      <c r="V89" s="3"/>
      <c r="W89" s="2">
        <v>23500</v>
      </c>
      <c r="X89" s="3"/>
      <c r="Y89" s="2">
        <v>23500</v>
      </c>
      <c r="Z89" s="3"/>
      <c r="AA89" s="2">
        <v>23500</v>
      </c>
      <c r="AB89" s="3"/>
      <c r="AC89" s="2">
        <v>23500</v>
      </c>
      <c r="AD89" s="3"/>
      <c r="AE89" s="2">
        <f t="shared" si="7"/>
        <v>277100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9368.1299999999992</v>
      </c>
      <c r="H90" s="3"/>
      <c r="I90" s="2">
        <v>9285.7099999999991</v>
      </c>
      <c r="J90" s="3"/>
      <c r="K90" s="2">
        <v>9961.51</v>
      </c>
      <c r="L90" s="3"/>
      <c r="M90" s="2">
        <v>10348.33</v>
      </c>
      <c r="N90" s="3"/>
      <c r="O90" s="2">
        <v>10061.52</v>
      </c>
      <c r="P90" s="3"/>
      <c r="Q90" s="2">
        <v>9857.1200000000008</v>
      </c>
      <c r="R90" s="3"/>
      <c r="S90" s="2">
        <v>9659.32</v>
      </c>
      <c r="T90" s="3"/>
      <c r="U90" s="2">
        <v>7846.12</v>
      </c>
      <c r="V90" s="3"/>
      <c r="W90" s="2">
        <v>11305.47</v>
      </c>
      <c r="X90" s="3"/>
      <c r="Y90" s="2">
        <v>9849.98</v>
      </c>
      <c r="Z90" s="3"/>
      <c r="AA90" s="2">
        <v>9395.6</v>
      </c>
      <c r="AB90" s="3"/>
      <c r="AC90" s="2">
        <v>10378</v>
      </c>
      <c r="AD90" s="3"/>
      <c r="AE90" s="2">
        <f t="shared" si="7"/>
        <v>117316.81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13795.39</v>
      </c>
      <c r="H91" s="3"/>
      <c r="I91" s="2">
        <v>12109.7</v>
      </c>
      <c r="J91" s="3"/>
      <c r="K91" s="2">
        <v>16648.13</v>
      </c>
      <c r="L91" s="3"/>
      <c r="M91" s="2">
        <v>11897.11</v>
      </c>
      <c r="N91" s="3"/>
      <c r="O91" s="2">
        <v>14996.2</v>
      </c>
      <c r="P91" s="3"/>
      <c r="Q91" s="2">
        <v>14015.02</v>
      </c>
      <c r="R91" s="3"/>
      <c r="S91" s="2">
        <v>11728.62</v>
      </c>
      <c r="T91" s="3"/>
      <c r="U91" s="2">
        <v>11919.35</v>
      </c>
      <c r="V91" s="3"/>
      <c r="W91" s="2">
        <v>13528.7</v>
      </c>
      <c r="X91" s="3"/>
      <c r="Y91" s="2">
        <v>10278.23</v>
      </c>
      <c r="Z91" s="3"/>
      <c r="AA91" s="2">
        <v>12434.78</v>
      </c>
      <c r="AB91" s="3"/>
      <c r="AC91" s="2">
        <v>15655.81</v>
      </c>
      <c r="AD91" s="3"/>
      <c r="AE91" s="2">
        <f t="shared" si="7"/>
        <v>159007.04000000001</v>
      </c>
    </row>
    <row r="92" spans="1:31" x14ac:dyDescent="0.25">
      <c r="A92" s="1"/>
      <c r="B92" s="1"/>
      <c r="C92" s="1"/>
      <c r="D92" s="1"/>
      <c r="E92" s="1"/>
      <c r="F92" s="1" t="s">
        <v>91</v>
      </c>
      <c r="G92" s="2">
        <v>5850</v>
      </c>
      <c r="H92" s="3"/>
      <c r="I92" s="2">
        <v>5850</v>
      </c>
      <c r="J92" s="3"/>
      <c r="K92" s="2">
        <v>5850</v>
      </c>
      <c r="L92" s="3"/>
      <c r="M92" s="2">
        <v>5850</v>
      </c>
      <c r="N92" s="3"/>
      <c r="O92" s="2">
        <v>5850</v>
      </c>
      <c r="P92" s="3"/>
      <c r="Q92" s="2">
        <v>6819</v>
      </c>
      <c r="R92" s="3"/>
      <c r="S92" s="2">
        <v>6819</v>
      </c>
      <c r="T92" s="3"/>
      <c r="U92" s="2">
        <v>6819</v>
      </c>
      <c r="V92" s="3"/>
      <c r="W92" s="2">
        <v>6819</v>
      </c>
      <c r="X92" s="3"/>
      <c r="Y92" s="2">
        <v>6819</v>
      </c>
      <c r="Z92" s="3"/>
      <c r="AA92" s="2">
        <v>6819</v>
      </c>
      <c r="AB92" s="3"/>
      <c r="AC92" s="2">
        <v>6819</v>
      </c>
      <c r="AD92" s="3"/>
      <c r="AE92" s="2">
        <f t="shared" si="7"/>
        <v>76983</v>
      </c>
    </row>
    <row r="93" spans="1:31" x14ac:dyDescent="0.25">
      <c r="A93" s="1"/>
      <c r="B93" s="1"/>
      <c r="C93" s="1"/>
      <c r="D93" s="1"/>
      <c r="E93" s="1"/>
      <c r="F93" s="1" t="s">
        <v>92</v>
      </c>
      <c r="G93" s="2">
        <v>2503.62</v>
      </c>
      <c r="H93" s="3"/>
      <c r="I93" s="2">
        <v>2846.24</v>
      </c>
      <c r="J93" s="3"/>
      <c r="K93" s="2">
        <v>2757.54</v>
      </c>
      <c r="L93" s="3"/>
      <c r="M93" s="2">
        <v>2849.78</v>
      </c>
      <c r="N93" s="3"/>
      <c r="O93" s="2">
        <v>1396.93</v>
      </c>
      <c r="P93" s="3"/>
      <c r="Q93" s="2">
        <v>1324.61</v>
      </c>
      <c r="R93" s="3"/>
      <c r="S93" s="2">
        <v>2412.3200000000002</v>
      </c>
      <c r="T93" s="3"/>
      <c r="U93" s="2">
        <v>2290.5</v>
      </c>
      <c r="V93" s="3"/>
      <c r="W93" s="2">
        <v>1471.5</v>
      </c>
      <c r="X93" s="3"/>
      <c r="Y93" s="2">
        <v>3816</v>
      </c>
      <c r="Z93" s="3"/>
      <c r="AA93" s="2">
        <v>2445.42</v>
      </c>
      <c r="AB93" s="3"/>
      <c r="AC93" s="2">
        <v>2831.47</v>
      </c>
      <c r="AD93" s="3"/>
      <c r="AE93" s="2">
        <f t="shared" si="7"/>
        <v>28945.93</v>
      </c>
    </row>
    <row r="94" spans="1:31" x14ac:dyDescent="0.25">
      <c r="A94" s="1"/>
      <c r="B94" s="1"/>
      <c r="C94" s="1"/>
      <c r="D94" s="1"/>
      <c r="E94" s="1"/>
      <c r="F94" s="1" t="s">
        <v>93</v>
      </c>
      <c r="G94" s="2">
        <v>2768</v>
      </c>
      <c r="H94" s="3"/>
      <c r="I94" s="2">
        <v>2768</v>
      </c>
      <c r="J94" s="3"/>
      <c r="K94" s="2">
        <v>2768</v>
      </c>
      <c r="L94" s="3"/>
      <c r="M94" s="2">
        <v>2768</v>
      </c>
      <c r="N94" s="3"/>
      <c r="O94" s="2">
        <v>2768</v>
      </c>
      <c r="P94" s="3"/>
      <c r="Q94" s="2">
        <v>5406</v>
      </c>
      <c r="R94" s="3"/>
      <c r="S94" s="2">
        <v>5406</v>
      </c>
      <c r="T94" s="3"/>
      <c r="U94" s="2">
        <v>5406</v>
      </c>
      <c r="V94" s="3"/>
      <c r="W94" s="2">
        <v>5406</v>
      </c>
      <c r="X94" s="3"/>
      <c r="Y94" s="2">
        <v>5406</v>
      </c>
      <c r="Z94" s="3"/>
      <c r="AA94" s="2">
        <v>5406</v>
      </c>
      <c r="AB94" s="3"/>
      <c r="AC94" s="2">
        <v>5406</v>
      </c>
      <c r="AD94" s="3"/>
      <c r="AE94" s="2">
        <f t="shared" si="7"/>
        <v>51682</v>
      </c>
    </row>
    <row r="95" spans="1:31" x14ac:dyDescent="0.25">
      <c r="A95" s="1"/>
      <c r="B95" s="1"/>
      <c r="C95" s="1"/>
      <c r="D95" s="1"/>
      <c r="E95" s="1"/>
      <c r="F95" s="1" t="s">
        <v>94</v>
      </c>
      <c r="G95" s="2">
        <v>59091</v>
      </c>
      <c r="H95" s="3"/>
      <c r="I95" s="2">
        <v>57971</v>
      </c>
      <c r="J95" s="3"/>
      <c r="K95" s="2">
        <v>58822</v>
      </c>
      <c r="L95" s="3"/>
      <c r="M95" s="2">
        <v>63302</v>
      </c>
      <c r="N95" s="3"/>
      <c r="O95" s="2">
        <v>59942</v>
      </c>
      <c r="P95" s="3"/>
      <c r="Q95" s="2">
        <v>61802</v>
      </c>
      <c r="R95" s="3"/>
      <c r="S95" s="2">
        <v>55955</v>
      </c>
      <c r="T95" s="3"/>
      <c r="U95" s="2">
        <v>55955</v>
      </c>
      <c r="V95" s="3"/>
      <c r="W95" s="2">
        <v>55955</v>
      </c>
      <c r="X95" s="3"/>
      <c r="Y95" s="2">
        <v>55955</v>
      </c>
      <c r="Z95" s="3"/>
      <c r="AA95" s="2">
        <v>55955</v>
      </c>
      <c r="AB95" s="3"/>
      <c r="AC95" s="2">
        <v>55955</v>
      </c>
      <c r="AD95" s="3"/>
      <c r="AE95" s="2">
        <f t="shared" si="7"/>
        <v>696660</v>
      </c>
    </row>
    <row r="96" spans="1:31" x14ac:dyDescent="0.25">
      <c r="A96" s="1"/>
      <c r="B96" s="1"/>
      <c r="C96" s="1"/>
      <c r="D96" s="1"/>
      <c r="E96" s="1"/>
      <c r="F96" s="1" t="s">
        <v>95</v>
      </c>
      <c r="G96" s="2">
        <v>11393.38</v>
      </c>
      <c r="H96" s="3"/>
      <c r="I96" s="2">
        <v>12966.91</v>
      </c>
      <c r="J96" s="3"/>
      <c r="K96" s="2">
        <v>11671.38</v>
      </c>
      <c r="L96" s="3"/>
      <c r="M96" s="2">
        <v>15325.36</v>
      </c>
      <c r="N96" s="3"/>
      <c r="O96" s="2">
        <v>15021.73</v>
      </c>
      <c r="P96" s="3"/>
      <c r="Q96" s="2">
        <v>12744.78</v>
      </c>
      <c r="R96" s="3"/>
      <c r="S96" s="2">
        <v>12601.61</v>
      </c>
      <c r="T96" s="3"/>
      <c r="U96" s="2">
        <v>9900.14</v>
      </c>
      <c r="V96" s="3"/>
      <c r="W96" s="2">
        <v>11139.39</v>
      </c>
      <c r="X96" s="3"/>
      <c r="Y96" s="2">
        <v>9983.14</v>
      </c>
      <c r="Z96" s="3"/>
      <c r="AA96" s="2">
        <v>10061.26</v>
      </c>
      <c r="AB96" s="3"/>
      <c r="AC96" s="2">
        <v>10835.04</v>
      </c>
      <c r="AD96" s="3"/>
      <c r="AE96" s="2">
        <f t="shared" si="7"/>
        <v>143644.12</v>
      </c>
    </row>
    <row r="97" spans="1:31" x14ac:dyDescent="0.25">
      <c r="A97" s="1"/>
      <c r="B97" s="1"/>
      <c r="C97" s="1"/>
      <c r="D97" s="1"/>
      <c r="E97" s="1"/>
      <c r="F97" s="1" t="s">
        <v>96</v>
      </c>
      <c r="G97" s="2">
        <v>0</v>
      </c>
      <c r="H97" s="3"/>
      <c r="I97" s="2">
        <v>0</v>
      </c>
      <c r="J97" s="3"/>
      <c r="K97" s="2">
        <v>0</v>
      </c>
      <c r="L97" s="3"/>
      <c r="M97" s="2">
        <v>4000</v>
      </c>
      <c r="N97" s="3"/>
      <c r="O97" s="2">
        <v>0</v>
      </c>
      <c r="P97" s="3"/>
      <c r="Q97" s="2">
        <v>0</v>
      </c>
      <c r="R97" s="3"/>
      <c r="S97" s="2">
        <v>0</v>
      </c>
      <c r="T97" s="3"/>
      <c r="U97" s="2">
        <v>0</v>
      </c>
      <c r="V97" s="3"/>
      <c r="W97" s="2">
        <v>0</v>
      </c>
      <c r="X97" s="3"/>
      <c r="Y97" s="2">
        <v>0</v>
      </c>
      <c r="Z97" s="3"/>
      <c r="AA97" s="2">
        <v>0</v>
      </c>
      <c r="AB97" s="3"/>
      <c r="AC97" s="2">
        <v>0</v>
      </c>
      <c r="AD97" s="3"/>
      <c r="AE97" s="2">
        <f t="shared" si="7"/>
        <v>4000</v>
      </c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165</v>
      </c>
      <c r="H98" s="3"/>
      <c r="I98" s="2">
        <v>1300</v>
      </c>
      <c r="J98" s="3"/>
      <c r="K98" s="2">
        <v>1454</v>
      </c>
      <c r="L98" s="3"/>
      <c r="M98" s="2">
        <v>0</v>
      </c>
      <c r="N98" s="3"/>
      <c r="O98" s="2">
        <v>882.5</v>
      </c>
      <c r="P98" s="3"/>
      <c r="Q98" s="2">
        <v>0</v>
      </c>
      <c r="R98" s="3"/>
      <c r="S98" s="2">
        <v>0</v>
      </c>
      <c r="T98" s="3"/>
      <c r="U98" s="2">
        <v>0</v>
      </c>
      <c r="V98" s="3"/>
      <c r="W98" s="2">
        <v>134</v>
      </c>
      <c r="X98" s="3"/>
      <c r="Y98" s="2">
        <v>134</v>
      </c>
      <c r="Z98" s="3"/>
      <c r="AA98" s="2">
        <v>536</v>
      </c>
      <c r="AB98" s="3"/>
      <c r="AC98" s="2">
        <v>0</v>
      </c>
      <c r="AD98" s="3"/>
      <c r="AE98" s="2">
        <f t="shared" si="7"/>
        <v>4605.5</v>
      </c>
    </row>
    <row r="99" spans="1:31" x14ac:dyDescent="0.25">
      <c r="A99" s="1"/>
      <c r="B99" s="1"/>
      <c r="C99" s="1"/>
      <c r="D99" s="1"/>
      <c r="E99" s="1"/>
      <c r="F99" s="1" t="s">
        <v>98</v>
      </c>
      <c r="G99" s="2">
        <v>200</v>
      </c>
      <c r="H99" s="3"/>
      <c r="I99" s="2">
        <v>0</v>
      </c>
      <c r="J99" s="3"/>
      <c r="K99" s="2">
        <v>0</v>
      </c>
      <c r="L99" s="3"/>
      <c r="M99" s="2">
        <v>200</v>
      </c>
      <c r="N99" s="3"/>
      <c r="O99" s="2">
        <v>0</v>
      </c>
      <c r="P99" s="3"/>
      <c r="Q99" s="2">
        <v>0</v>
      </c>
      <c r="R99" s="3"/>
      <c r="S99" s="2">
        <v>350</v>
      </c>
      <c r="T99" s="3"/>
      <c r="U99" s="2">
        <v>0</v>
      </c>
      <c r="V99" s="3"/>
      <c r="W99" s="2">
        <v>0</v>
      </c>
      <c r="X99" s="3"/>
      <c r="Y99" s="2">
        <v>0</v>
      </c>
      <c r="Z99" s="3"/>
      <c r="AA99" s="2">
        <v>0</v>
      </c>
      <c r="AB99" s="3"/>
      <c r="AC99" s="2">
        <v>0</v>
      </c>
      <c r="AD99" s="3"/>
      <c r="AE99" s="2">
        <f t="shared" si="7"/>
        <v>750</v>
      </c>
    </row>
    <row r="100" spans="1:31" x14ac:dyDescent="0.25">
      <c r="A100" s="1"/>
      <c r="B100" s="1"/>
      <c r="C100" s="1"/>
      <c r="D100" s="1"/>
      <c r="E100" s="1"/>
      <c r="F100" s="1" t="s">
        <v>99</v>
      </c>
      <c r="G100" s="2">
        <v>0</v>
      </c>
      <c r="H100" s="3"/>
      <c r="I100" s="2">
        <v>345</v>
      </c>
      <c r="J100" s="3"/>
      <c r="K100" s="2">
        <v>0</v>
      </c>
      <c r="L100" s="3"/>
      <c r="M100" s="2">
        <v>50</v>
      </c>
      <c r="N100" s="3"/>
      <c r="O100" s="2">
        <v>170</v>
      </c>
      <c r="P100" s="3"/>
      <c r="Q100" s="2">
        <v>786</v>
      </c>
      <c r="R100" s="3"/>
      <c r="S100" s="2">
        <v>340</v>
      </c>
      <c r="T100" s="3"/>
      <c r="U100" s="2">
        <v>0</v>
      </c>
      <c r="V100" s="3"/>
      <c r="W100" s="2">
        <v>384</v>
      </c>
      <c r="X100" s="3"/>
      <c r="Y100" s="2">
        <v>314</v>
      </c>
      <c r="Z100" s="3"/>
      <c r="AA100" s="2">
        <v>471</v>
      </c>
      <c r="AB100" s="3"/>
      <c r="AC100" s="2">
        <v>557</v>
      </c>
      <c r="AD100" s="3"/>
      <c r="AE100" s="2">
        <f t="shared" si="7"/>
        <v>3417</v>
      </c>
    </row>
    <row r="101" spans="1:31" x14ac:dyDescent="0.25">
      <c r="A101" s="1"/>
      <c r="B101" s="1"/>
      <c r="C101" s="1"/>
      <c r="D101" s="1"/>
      <c r="E101" s="1"/>
      <c r="F101" s="1" t="s">
        <v>100</v>
      </c>
      <c r="G101" s="2">
        <v>5950.51</v>
      </c>
      <c r="H101" s="3"/>
      <c r="I101" s="2">
        <v>3223.94</v>
      </c>
      <c r="J101" s="3"/>
      <c r="K101" s="2">
        <v>3050.15</v>
      </c>
      <c r="L101" s="3"/>
      <c r="M101" s="2">
        <v>6949.81</v>
      </c>
      <c r="N101" s="3"/>
      <c r="O101" s="2">
        <v>1559.59</v>
      </c>
      <c r="P101" s="3"/>
      <c r="Q101" s="2">
        <v>2858.37</v>
      </c>
      <c r="R101" s="3"/>
      <c r="S101" s="2">
        <v>11129.02</v>
      </c>
      <c r="T101" s="3"/>
      <c r="U101" s="2">
        <v>7156.52</v>
      </c>
      <c r="V101" s="3"/>
      <c r="W101" s="2">
        <v>4273.71</v>
      </c>
      <c r="X101" s="3"/>
      <c r="Y101" s="2">
        <v>4548.34</v>
      </c>
      <c r="Z101" s="3"/>
      <c r="AA101" s="2">
        <v>3224.11</v>
      </c>
      <c r="AB101" s="3"/>
      <c r="AC101" s="2">
        <v>1579.28</v>
      </c>
      <c r="AD101" s="3"/>
      <c r="AE101" s="2">
        <f t="shared" si="7"/>
        <v>55503.35</v>
      </c>
    </row>
    <row r="102" spans="1:31" x14ac:dyDescent="0.25">
      <c r="A102" s="1"/>
      <c r="B102" s="1"/>
      <c r="C102" s="1"/>
      <c r="D102" s="1"/>
      <c r="E102" s="1"/>
      <c r="F102" s="1" t="s">
        <v>101</v>
      </c>
      <c r="G102" s="2">
        <v>1093.44</v>
      </c>
      <c r="H102" s="3"/>
      <c r="I102" s="2">
        <v>1028.54</v>
      </c>
      <c r="J102" s="3"/>
      <c r="K102" s="2">
        <v>301.89</v>
      </c>
      <c r="L102" s="3"/>
      <c r="M102" s="2">
        <v>570.29999999999995</v>
      </c>
      <c r="N102" s="3"/>
      <c r="O102" s="2">
        <v>409.38</v>
      </c>
      <c r="P102" s="3"/>
      <c r="Q102" s="2">
        <v>3007</v>
      </c>
      <c r="R102" s="3"/>
      <c r="S102" s="2">
        <v>589.02</v>
      </c>
      <c r="T102" s="3"/>
      <c r="U102" s="2">
        <v>495.25</v>
      </c>
      <c r="V102" s="3"/>
      <c r="W102" s="2">
        <v>589.65</v>
      </c>
      <c r="X102" s="3"/>
      <c r="Y102" s="2">
        <v>495.25</v>
      </c>
      <c r="Z102" s="3"/>
      <c r="AA102" s="2">
        <v>6074.06</v>
      </c>
      <c r="AB102" s="3"/>
      <c r="AC102" s="2">
        <v>1099.3800000000001</v>
      </c>
      <c r="AD102" s="3"/>
      <c r="AE102" s="2">
        <f t="shared" si="7"/>
        <v>15753.16</v>
      </c>
    </row>
    <row r="103" spans="1:31" x14ac:dyDescent="0.25">
      <c r="A103" s="1"/>
      <c r="B103" s="1"/>
      <c r="C103" s="1"/>
      <c r="D103" s="1"/>
      <c r="E103" s="1"/>
      <c r="F103" s="1" t="s">
        <v>102</v>
      </c>
      <c r="G103" s="2">
        <v>176.76</v>
      </c>
      <c r="H103" s="3"/>
      <c r="I103" s="2">
        <v>115.86</v>
      </c>
      <c r="J103" s="3"/>
      <c r="K103" s="2">
        <v>159.88999999999999</v>
      </c>
      <c r="L103" s="3"/>
      <c r="M103" s="2">
        <v>174.57</v>
      </c>
      <c r="N103" s="3"/>
      <c r="O103" s="2">
        <v>160.26</v>
      </c>
      <c r="P103" s="3"/>
      <c r="Q103" s="2">
        <v>197.37</v>
      </c>
      <c r="R103" s="3"/>
      <c r="S103" s="2">
        <v>951.68</v>
      </c>
      <c r="T103" s="3"/>
      <c r="U103" s="2">
        <v>12.37</v>
      </c>
      <c r="V103" s="3"/>
      <c r="W103" s="2">
        <v>98.51</v>
      </c>
      <c r="X103" s="3"/>
      <c r="Y103" s="2">
        <v>107.64</v>
      </c>
      <c r="Z103" s="3"/>
      <c r="AA103" s="2">
        <v>162.5</v>
      </c>
      <c r="AB103" s="3"/>
      <c r="AC103" s="2">
        <v>125.82</v>
      </c>
      <c r="AD103" s="3"/>
      <c r="AE103" s="2">
        <f t="shared" si="7"/>
        <v>2443.23</v>
      </c>
    </row>
    <row r="104" spans="1:31" x14ac:dyDescent="0.25">
      <c r="A104" s="1"/>
      <c r="B104" s="1"/>
      <c r="C104" s="1"/>
      <c r="D104" s="1"/>
      <c r="E104" s="1"/>
      <c r="F104" s="1" t="s">
        <v>103</v>
      </c>
      <c r="G104" s="2">
        <v>205.94</v>
      </c>
      <c r="H104" s="3"/>
      <c r="I104" s="2">
        <v>952.01</v>
      </c>
      <c r="J104" s="3"/>
      <c r="K104" s="2">
        <v>208.61</v>
      </c>
      <c r="L104" s="3"/>
      <c r="M104" s="2">
        <v>208.61</v>
      </c>
      <c r="N104" s="3"/>
      <c r="O104" s="2">
        <v>394.88</v>
      </c>
      <c r="P104" s="3"/>
      <c r="Q104" s="2">
        <v>614.49</v>
      </c>
      <c r="R104" s="3"/>
      <c r="S104" s="2">
        <v>209.03</v>
      </c>
      <c r="T104" s="3"/>
      <c r="U104" s="2">
        <v>419.28</v>
      </c>
      <c r="V104" s="3"/>
      <c r="W104" s="2">
        <v>629.46</v>
      </c>
      <c r="X104" s="3"/>
      <c r="Y104" s="2">
        <v>419.17</v>
      </c>
      <c r="Z104" s="3"/>
      <c r="AA104" s="2">
        <v>419.39</v>
      </c>
      <c r="AB104" s="3"/>
      <c r="AC104" s="2">
        <v>1671.95</v>
      </c>
      <c r="AD104" s="3"/>
      <c r="AE104" s="2">
        <f t="shared" si="7"/>
        <v>6352.82</v>
      </c>
    </row>
    <row r="105" spans="1:31" x14ac:dyDescent="0.25">
      <c r="A105" s="1"/>
      <c r="B105" s="1"/>
      <c r="C105" s="1"/>
      <c r="D105" s="1"/>
      <c r="E105" s="1"/>
      <c r="F105" s="1" t="s">
        <v>104</v>
      </c>
      <c r="G105" s="2">
        <v>0</v>
      </c>
      <c r="H105" s="3"/>
      <c r="I105" s="2">
        <v>268.94</v>
      </c>
      <c r="J105" s="3"/>
      <c r="K105" s="2">
        <v>670.58</v>
      </c>
      <c r="L105" s="3"/>
      <c r="M105" s="2">
        <v>360.46</v>
      </c>
      <c r="N105" s="3"/>
      <c r="O105" s="2">
        <v>553.76</v>
      </c>
      <c r="P105" s="3"/>
      <c r="Q105" s="2">
        <v>349.74</v>
      </c>
      <c r="R105" s="3"/>
      <c r="S105" s="2">
        <v>156.38</v>
      </c>
      <c r="T105" s="3"/>
      <c r="U105" s="2">
        <v>376.84</v>
      </c>
      <c r="V105" s="3"/>
      <c r="W105" s="2">
        <v>364.04</v>
      </c>
      <c r="X105" s="3"/>
      <c r="Y105" s="2">
        <v>135.62</v>
      </c>
      <c r="Z105" s="3"/>
      <c r="AA105" s="2">
        <v>340.02</v>
      </c>
      <c r="AB105" s="3"/>
      <c r="AC105" s="2">
        <v>207.51</v>
      </c>
      <c r="AD105" s="3"/>
      <c r="AE105" s="2">
        <f t="shared" si="7"/>
        <v>3783.89</v>
      </c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324.77</v>
      </c>
      <c r="H106" s="3"/>
      <c r="I106" s="2">
        <v>0</v>
      </c>
      <c r="J106" s="3"/>
      <c r="K106" s="2">
        <v>6003.68</v>
      </c>
      <c r="L106" s="3"/>
      <c r="M106" s="2">
        <v>1846.79</v>
      </c>
      <c r="N106" s="3"/>
      <c r="O106" s="2">
        <v>0</v>
      </c>
      <c r="P106" s="3"/>
      <c r="Q106" s="2">
        <v>1825.16</v>
      </c>
      <c r="R106" s="3"/>
      <c r="S106" s="2">
        <v>0</v>
      </c>
      <c r="T106" s="3"/>
      <c r="U106" s="2">
        <v>2438.77</v>
      </c>
      <c r="V106" s="3"/>
      <c r="W106" s="2">
        <v>706.58</v>
      </c>
      <c r="X106" s="3"/>
      <c r="Y106" s="2">
        <v>2141.54</v>
      </c>
      <c r="Z106" s="3"/>
      <c r="AA106" s="2">
        <v>0</v>
      </c>
      <c r="AB106" s="3"/>
      <c r="AC106" s="2">
        <v>-350</v>
      </c>
      <c r="AD106" s="3"/>
      <c r="AE106" s="2">
        <f t="shared" si="7"/>
        <v>14937.29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974.73</v>
      </c>
      <c r="H107" s="3"/>
      <c r="I107" s="2">
        <v>226.53</v>
      </c>
      <c r="J107" s="3"/>
      <c r="K107" s="2">
        <v>130.51</v>
      </c>
      <c r="L107" s="3"/>
      <c r="M107" s="2">
        <v>3173.79</v>
      </c>
      <c r="N107" s="3"/>
      <c r="O107" s="2">
        <v>202.42</v>
      </c>
      <c r="P107" s="3"/>
      <c r="Q107" s="2">
        <v>120.61</v>
      </c>
      <c r="R107" s="3"/>
      <c r="S107" s="2">
        <v>847.08</v>
      </c>
      <c r="T107" s="3"/>
      <c r="U107" s="2">
        <v>179.15</v>
      </c>
      <c r="V107" s="3"/>
      <c r="W107" s="2">
        <v>459.46</v>
      </c>
      <c r="X107" s="3"/>
      <c r="Y107" s="2">
        <v>272.35000000000002</v>
      </c>
      <c r="Z107" s="3"/>
      <c r="AA107" s="2">
        <v>168.9</v>
      </c>
      <c r="AB107" s="3"/>
      <c r="AC107" s="2">
        <v>478.66</v>
      </c>
      <c r="AD107" s="3"/>
      <c r="AE107" s="2">
        <f t="shared" si="7"/>
        <v>7234.19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4271.68</v>
      </c>
      <c r="H108" s="3"/>
      <c r="I108" s="2">
        <v>5656</v>
      </c>
      <c r="J108" s="3"/>
      <c r="K108" s="2">
        <v>2828</v>
      </c>
      <c r="L108" s="3"/>
      <c r="M108" s="2">
        <v>2828</v>
      </c>
      <c r="N108" s="3"/>
      <c r="O108" s="2">
        <v>2828</v>
      </c>
      <c r="P108" s="3"/>
      <c r="Q108" s="2">
        <v>2828</v>
      </c>
      <c r="R108" s="3"/>
      <c r="S108" s="2">
        <v>2828</v>
      </c>
      <c r="T108" s="3"/>
      <c r="U108" s="2">
        <v>2828</v>
      </c>
      <c r="V108" s="3"/>
      <c r="W108" s="2">
        <v>0</v>
      </c>
      <c r="X108" s="3"/>
      <c r="Y108" s="2">
        <v>0</v>
      </c>
      <c r="Z108" s="3"/>
      <c r="AA108" s="2">
        <v>8483.9599999999991</v>
      </c>
      <c r="AB108" s="3"/>
      <c r="AC108" s="2">
        <v>2828</v>
      </c>
      <c r="AD108" s="3"/>
      <c r="AE108" s="2">
        <f t="shared" si="7"/>
        <v>38207.64</v>
      </c>
    </row>
    <row r="109" spans="1:31" x14ac:dyDescent="0.25">
      <c r="A109" s="1"/>
      <c r="B109" s="1"/>
      <c r="C109" s="1"/>
      <c r="D109" s="1"/>
      <c r="E109" s="1"/>
      <c r="F109" s="1" t="s">
        <v>108</v>
      </c>
      <c r="G109" s="2">
        <v>5005</v>
      </c>
      <c r="H109" s="3"/>
      <c r="I109" s="2">
        <v>0</v>
      </c>
      <c r="J109" s="3"/>
      <c r="K109" s="2">
        <v>76.69</v>
      </c>
      <c r="L109" s="3"/>
      <c r="M109" s="2">
        <v>325</v>
      </c>
      <c r="N109" s="3"/>
      <c r="O109" s="2">
        <v>150</v>
      </c>
      <c r="P109" s="3"/>
      <c r="Q109" s="2">
        <v>1990.85</v>
      </c>
      <c r="R109" s="3"/>
      <c r="S109" s="2">
        <v>0</v>
      </c>
      <c r="T109" s="3"/>
      <c r="U109" s="2">
        <v>1841.25</v>
      </c>
      <c r="V109" s="3"/>
      <c r="W109" s="2">
        <v>248</v>
      </c>
      <c r="X109" s="3"/>
      <c r="Y109" s="2">
        <v>0</v>
      </c>
      <c r="Z109" s="3"/>
      <c r="AA109" s="2">
        <v>0</v>
      </c>
      <c r="AB109" s="3"/>
      <c r="AC109" s="2">
        <v>18000</v>
      </c>
      <c r="AD109" s="3"/>
      <c r="AE109" s="2">
        <f t="shared" si="7"/>
        <v>27636.79</v>
      </c>
    </row>
    <row r="110" spans="1:31" x14ac:dyDescent="0.25">
      <c r="A110" s="1"/>
      <c r="B110" s="1"/>
      <c r="C110" s="1"/>
      <c r="D110" s="1"/>
      <c r="E110" s="1"/>
      <c r="F110" s="1" t="s">
        <v>109</v>
      </c>
      <c r="G110" s="2">
        <v>6694.59</v>
      </c>
      <c r="H110" s="3"/>
      <c r="I110" s="2">
        <v>13173.23</v>
      </c>
      <c r="J110" s="3"/>
      <c r="K110" s="2">
        <v>4340.26</v>
      </c>
      <c r="L110" s="3"/>
      <c r="M110" s="2">
        <v>5055.9799999999996</v>
      </c>
      <c r="N110" s="3"/>
      <c r="O110" s="2">
        <v>5229.2299999999996</v>
      </c>
      <c r="P110" s="3"/>
      <c r="Q110" s="2">
        <v>0</v>
      </c>
      <c r="R110" s="3"/>
      <c r="S110" s="2">
        <v>12166.71</v>
      </c>
      <c r="T110" s="3"/>
      <c r="U110" s="2">
        <v>0</v>
      </c>
      <c r="V110" s="3"/>
      <c r="W110" s="2">
        <v>9934.1200000000008</v>
      </c>
      <c r="X110" s="3"/>
      <c r="Y110" s="2">
        <v>4777.2</v>
      </c>
      <c r="Z110" s="3"/>
      <c r="AA110" s="2">
        <v>0</v>
      </c>
      <c r="AB110" s="3"/>
      <c r="AC110" s="2">
        <v>4726.6099999999997</v>
      </c>
      <c r="AD110" s="3"/>
      <c r="AE110" s="2">
        <f t="shared" si="7"/>
        <v>66097.929999999993</v>
      </c>
    </row>
    <row r="111" spans="1:31" x14ac:dyDescent="0.25">
      <c r="A111" s="1"/>
      <c r="B111" s="1"/>
      <c r="C111" s="1"/>
      <c r="D111" s="1"/>
      <c r="E111" s="1"/>
      <c r="F111" s="1" t="s">
        <v>110</v>
      </c>
      <c r="G111" s="2">
        <v>16728.02</v>
      </c>
      <c r="H111" s="3"/>
      <c r="I111" s="2">
        <v>18773.59</v>
      </c>
      <c r="J111" s="3"/>
      <c r="K111" s="2">
        <v>18773.59</v>
      </c>
      <c r="L111" s="3"/>
      <c r="M111" s="2">
        <v>18773.580000000002</v>
      </c>
      <c r="N111" s="3"/>
      <c r="O111" s="2">
        <v>16728.02</v>
      </c>
      <c r="P111" s="3"/>
      <c r="Q111" s="2">
        <v>16203.34</v>
      </c>
      <c r="R111" s="3"/>
      <c r="S111" s="2">
        <v>19291.919999999998</v>
      </c>
      <c r="T111" s="3"/>
      <c r="U111" s="2">
        <v>19291.919999999998</v>
      </c>
      <c r="V111" s="3"/>
      <c r="W111" s="2">
        <v>19291.919999999998</v>
      </c>
      <c r="X111" s="3"/>
      <c r="Y111" s="2">
        <v>19291.919999999998</v>
      </c>
      <c r="Z111" s="3"/>
      <c r="AA111" s="2">
        <v>20181.919999999998</v>
      </c>
      <c r="AB111" s="3"/>
      <c r="AC111" s="2">
        <v>19291.919999999998</v>
      </c>
      <c r="AD111" s="3"/>
      <c r="AE111" s="2">
        <f t="shared" si="7"/>
        <v>222621.66</v>
      </c>
    </row>
    <row r="112" spans="1:31" x14ac:dyDescent="0.25">
      <c r="A112" s="1"/>
      <c r="B112" s="1"/>
      <c r="C112" s="1"/>
      <c r="D112" s="1"/>
      <c r="E112" s="1"/>
      <c r="F112" s="1" t="s">
        <v>111</v>
      </c>
      <c r="G112" s="2">
        <v>0</v>
      </c>
      <c r="H112" s="3"/>
      <c r="I112" s="2">
        <v>930.25</v>
      </c>
      <c r="J112" s="3"/>
      <c r="K112" s="2">
        <v>0</v>
      </c>
      <c r="L112" s="3"/>
      <c r="M112" s="2">
        <v>960</v>
      </c>
      <c r="N112" s="3"/>
      <c r="O112" s="2">
        <v>0</v>
      </c>
      <c r="P112" s="3"/>
      <c r="Q112" s="2">
        <v>892.96</v>
      </c>
      <c r="R112" s="3"/>
      <c r="S112" s="2">
        <v>0</v>
      </c>
      <c r="T112" s="3"/>
      <c r="U112" s="2">
        <v>0</v>
      </c>
      <c r="V112" s="3"/>
      <c r="W112" s="2">
        <v>1250.46</v>
      </c>
      <c r="X112" s="3"/>
      <c r="Y112" s="2">
        <v>0</v>
      </c>
      <c r="Z112" s="3"/>
      <c r="AA112" s="2">
        <v>0</v>
      </c>
      <c r="AB112" s="3"/>
      <c r="AC112" s="2">
        <v>0</v>
      </c>
      <c r="AD112" s="3"/>
      <c r="AE112" s="2">
        <f t="shared" si="7"/>
        <v>4033.67</v>
      </c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0</v>
      </c>
      <c r="H113" s="3"/>
      <c r="I113" s="2">
        <v>0</v>
      </c>
      <c r="J113" s="3"/>
      <c r="K113" s="2">
        <v>0</v>
      </c>
      <c r="L113" s="3"/>
      <c r="M113" s="2">
        <v>0</v>
      </c>
      <c r="N113" s="3"/>
      <c r="O113" s="2">
        <v>1500</v>
      </c>
      <c r="P113" s="3"/>
      <c r="Q113" s="2">
        <v>350</v>
      </c>
      <c r="R113" s="3"/>
      <c r="S113" s="2">
        <v>0</v>
      </c>
      <c r="T113" s="3"/>
      <c r="U113" s="2">
        <v>0</v>
      </c>
      <c r="V113" s="3"/>
      <c r="W113" s="2">
        <v>0</v>
      </c>
      <c r="X113" s="3"/>
      <c r="Y113" s="2">
        <v>0</v>
      </c>
      <c r="Z113" s="3"/>
      <c r="AA113" s="2">
        <v>0</v>
      </c>
      <c r="AB113" s="3"/>
      <c r="AC113" s="2">
        <v>0</v>
      </c>
      <c r="AD113" s="3"/>
      <c r="AE113" s="2">
        <f t="shared" si="7"/>
        <v>1850</v>
      </c>
    </row>
    <row r="114" spans="1:31" ht="15.75" thickBot="1" x14ac:dyDescent="0.3">
      <c r="A114" s="1"/>
      <c r="B114" s="1"/>
      <c r="C114" s="1"/>
      <c r="D114" s="1"/>
      <c r="E114" s="1"/>
      <c r="F114" s="1" t="s">
        <v>113</v>
      </c>
      <c r="G114" s="4">
        <v>0</v>
      </c>
      <c r="H114" s="3"/>
      <c r="I114" s="4">
        <v>0</v>
      </c>
      <c r="J114" s="3"/>
      <c r="K114" s="4">
        <v>0</v>
      </c>
      <c r="L114" s="3"/>
      <c r="M114" s="4">
        <v>0</v>
      </c>
      <c r="N114" s="3"/>
      <c r="O114" s="4">
        <v>0</v>
      </c>
      <c r="P114" s="3"/>
      <c r="Q114" s="4">
        <v>0</v>
      </c>
      <c r="R114" s="3"/>
      <c r="S114" s="4">
        <v>0</v>
      </c>
      <c r="T114" s="3"/>
      <c r="U114" s="4">
        <v>0</v>
      </c>
      <c r="V114" s="3"/>
      <c r="W114" s="4">
        <v>0</v>
      </c>
      <c r="X114" s="3"/>
      <c r="Y114" s="4">
        <v>1857.13</v>
      </c>
      <c r="Z114" s="3"/>
      <c r="AA114" s="4">
        <v>60</v>
      </c>
      <c r="AB114" s="3"/>
      <c r="AC114" s="4">
        <v>0</v>
      </c>
      <c r="AD114" s="3"/>
      <c r="AE114" s="4">
        <f t="shared" si="7"/>
        <v>1917.13</v>
      </c>
    </row>
    <row r="115" spans="1:31" ht="15.75" thickBot="1" x14ac:dyDescent="0.3">
      <c r="A115" s="1"/>
      <c r="B115" s="1"/>
      <c r="C115" s="1"/>
      <c r="D115" s="1"/>
      <c r="E115" s="1" t="s">
        <v>114</v>
      </c>
      <c r="F115" s="1"/>
      <c r="G115" s="7">
        <f>ROUND(SUM(G87:G114),5)</f>
        <v>174581.58</v>
      </c>
      <c r="H115" s="3"/>
      <c r="I115" s="7">
        <f>ROUND(SUM(I87:I114),5)</f>
        <v>182353.42</v>
      </c>
      <c r="J115" s="3"/>
      <c r="K115" s="7">
        <f>ROUND(SUM(K87:K114),5)</f>
        <v>178473.11</v>
      </c>
      <c r="L115" s="3"/>
      <c r="M115" s="7">
        <f>ROUND(SUM(M87:M114),5)</f>
        <v>189280.31</v>
      </c>
      <c r="N115" s="3"/>
      <c r="O115" s="7">
        <f>ROUND(SUM(O87:O114),5)</f>
        <v>172325.48</v>
      </c>
      <c r="P115" s="3"/>
      <c r="Q115" s="7">
        <f>ROUND(SUM(Q87:Q114),5)</f>
        <v>174956.3</v>
      </c>
      <c r="R115" s="3"/>
      <c r="S115" s="7">
        <f>ROUND(SUM(S87:S114),5)</f>
        <v>185687.61</v>
      </c>
      <c r="T115" s="3"/>
      <c r="U115" s="7">
        <f>ROUND(SUM(U87:U114),5)</f>
        <v>167425.4</v>
      </c>
      <c r="V115" s="3"/>
      <c r="W115" s="7">
        <f>ROUND(SUM(W87:W114),5)</f>
        <v>177053.02</v>
      </c>
      <c r="X115" s="3"/>
      <c r="Y115" s="7">
        <f>ROUND(SUM(Y87:Y114),5)</f>
        <v>169053.1</v>
      </c>
      <c r="Z115" s="3"/>
      <c r="AA115" s="7">
        <f>ROUND(SUM(AA87:AA114),5)</f>
        <v>176277.37</v>
      </c>
      <c r="AB115" s="3"/>
      <c r="AC115" s="7">
        <f>ROUND(SUM(AC87:AC114),5)</f>
        <v>190921.61</v>
      </c>
      <c r="AD115" s="3"/>
      <c r="AE115" s="7">
        <f t="shared" si="7"/>
        <v>2138388.31</v>
      </c>
    </row>
    <row r="116" spans="1:31" ht="15.75" thickBot="1" x14ac:dyDescent="0.3">
      <c r="A116" s="1"/>
      <c r="B116" s="1"/>
      <c r="C116" s="1"/>
      <c r="D116" s="1" t="s">
        <v>115</v>
      </c>
      <c r="E116" s="1"/>
      <c r="F116" s="1"/>
      <c r="G116" s="5">
        <f>ROUND(G17+G37+G47+G59+G69+G78+G86+G115,5)</f>
        <v>501706.61</v>
      </c>
      <c r="H116" s="3"/>
      <c r="I116" s="5">
        <f>ROUND(I17+I37+I47+I59+I69+I78+I86+I115,5)</f>
        <v>530305.4</v>
      </c>
      <c r="J116" s="3"/>
      <c r="K116" s="5">
        <f>ROUND(K17+K37+K47+K59+K69+K78+K86+K115,5)</f>
        <v>515575.22</v>
      </c>
      <c r="L116" s="3"/>
      <c r="M116" s="5">
        <f>ROUND(M17+M37+M47+M59+M69+M78+M86+M115,5)</f>
        <v>528313.87</v>
      </c>
      <c r="N116" s="3"/>
      <c r="O116" s="5">
        <f>ROUND(O17+O37+O47+O59+O69+O78+O86+O115,5)</f>
        <v>506274.91</v>
      </c>
      <c r="P116" s="3"/>
      <c r="Q116" s="5">
        <f>ROUND(Q17+Q37+Q47+Q59+Q69+Q78+Q86+Q115,5)</f>
        <v>533970.74</v>
      </c>
      <c r="R116" s="3"/>
      <c r="S116" s="5">
        <f>ROUND(S17+S37+S47+S59+S69+S78+S86+S115,5)</f>
        <v>548986.55000000005</v>
      </c>
      <c r="T116" s="3"/>
      <c r="U116" s="5">
        <f>ROUND(U17+U37+U47+U59+U69+U78+U86+U115,5)</f>
        <v>471119.32</v>
      </c>
      <c r="V116" s="3"/>
      <c r="W116" s="5">
        <f>ROUND(W17+W37+W47+W59+W69+W78+W86+W115,5)</f>
        <v>539300.80000000005</v>
      </c>
      <c r="X116" s="3"/>
      <c r="Y116" s="5">
        <f>ROUND(Y17+Y37+Y47+Y59+Y69+Y78+Y86+Y115,5)</f>
        <v>492768.38</v>
      </c>
      <c r="Z116" s="3"/>
      <c r="AA116" s="5">
        <f>ROUND(AA17+AA37+AA47+AA59+AA69+AA78+AA86+AA115,5)</f>
        <v>509692.06</v>
      </c>
      <c r="AB116" s="3"/>
      <c r="AC116" s="5">
        <f>ROUND(AC17+AC37+AC47+AC59+AC69+AC78+AC86+AC115,5)</f>
        <v>539120.54</v>
      </c>
      <c r="AD116" s="3"/>
      <c r="AE116" s="5">
        <f t="shared" si="7"/>
        <v>6217134.4000000004</v>
      </c>
    </row>
    <row r="117" spans="1:31" x14ac:dyDescent="0.25">
      <c r="A117" s="1"/>
      <c r="B117" s="1" t="s">
        <v>116</v>
      </c>
      <c r="C117" s="1"/>
      <c r="D117" s="1"/>
      <c r="E117" s="1"/>
      <c r="F117" s="1"/>
      <c r="G117" s="2">
        <f>ROUND(G2+G16-G116,5)</f>
        <v>199462.74</v>
      </c>
      <c r="H117" s="3"/>
      <c r="I117" s="2">
        <f>ROUND(I2+I16-I116,5)</f>
        <v>179267.81</v>
      </c>
      <c r="J117" s="3"/>
      <c r="K117" s="2">
        <f>ROUND(K2+K16-K116,5)</f>
        <v>192870.79</v>
      </c>
      <c r="L117" s="3"/>
      <c r="M117" s="2">
        <f>ROUND(M2+M16-M116,5)</f>
        <v>167983.7</v>
      </c>
      <c r="N117" s="3"/>
      <c r="O117" s="2">
        <f>ROUND(O2+O16-O116,5)</f>
        <v>152389.46</v>
      </c>
      <c r="P117" s="3"/>
      <c r="Q117" s="2">
        <f>ROUND(Q2+Q16-Q116,5)</f>
        <v>143942.62</v>
      </c>
      <c r="R117" s="3"/>
      <c r="S117" s="2">
        <f>ROUND(S2+S16-S116,5)</f>
        <v>113923.1</v>
      </c>
      <c r="T117" s="3"/>
      <c r="U117" s="2">
        <f>ROUND(U2+U16-U116,5)</f>
        <v>135356.29</v>
      </c>
      <c r="V117" s="3"/>
      <c r="W117" s="2">
        <f>ROUND(W2+W16-W116,5)</f>
        <v>149114.34</v>
      </c>
      <c r="X117" s="3"/>
      <c r="Y117" s="2">
        <f>ROUND(Y2+Y16-Y116,5)</f>
        <v>185666.32</v>
      </c>
      <c r="Z117" s="3"/>
      <c r="AA117" s="2">
        <f>ROUND(AA2+AA16-AA116,5)</f>
        <v>210478.88</v>
      </c>
      <c r="AB117" s="3"/>
      <c r="AC117" s="2">
        <f>ROUND(AC2+AC16-AC116,5)</f>
        <v>154727.57999999999</v>
      </c>
      <c r="AD117" s="3"/>
      <c r="AE117" s="2">
        <f t="shared" si="7"/>
        <v>1985183.63</v>
      </c>
    </row>
    <row r="118" spans="1:31" x14ac:dyDescent="0.25">
      <c r="A118" s="1"/>
      <c r="B118" s="1" t="s">
        <v>117</v>
      </c>
      <c r="C118" s="1"/>
      <c r="D118" s="1"/>
      <c r="E118" s="1"/>
      <c r="F118" s="1"/>
      <c r="G118" s="2"/>
      <c r="H118" s="3"/>
      <c r="I118" s="2"/>
      <c r="J118" s="3"/>
      <c r="K118" s="2"/>
      <c r="L118" s="3"/>
      <c r="M118" s="2"/>
      <c r="N118" s="3"/>
      <c r="O118" s="2"/>
      <c r="P118" s="3"/>
      <c r="Q118" s="2"/>
      <c r="R118" s="3"/>
      <c r="S118" s="2"/>
      <c r="T118" s="3"/>
      <c r="U118" s="2"/>
      <c r="V118" s="3"/>
      <c r="W118" s="2"/>
      <c r="X118" s="3"/>
      <c r="Y118" s="2"/>
      <c r="Z118" s="3"/>
      <c r="AA118" s="2"/>
      <c r="AB118" s="3"/>
      <c r="AC118" s="2"/>
      <c r="AD118" s="3"/>
      <c r="AE118" s="2"/>
    </row>
    <row r="119" spans="1:31" x14ac:dyDescent="0.25">
      <c r="A119" s="1"/>
      <c r="B119" s="1"/>
      <c r="C119" s="1" t="s">
        <v>118</v>
      </c>
      <c r="D119" s="1"/>
      <c r="E119" s="1"/>
      <c r="F119" s="1"/>
      <c r="G119" s="2"/>
      <c r="H119" s="3"/>
      <c r="I119" s="2"/>
      <c r="J119" s="3"/>
      <c r="K119" s="2"/>
      <c r="L119" s="3"/>
      <c r="M119" s="2"/>
      <c r="N119" s="3"/>
      <c r="O119" s="2"/>
      <c r="P119" s="3"/>
      <c r="Q119" s="2"/>
      <c r="R119" s="3"/>
      <c r="S119" s="2"/>
      <c r="T119" s="3"/>
      <c r="U119" s="2"/>
      <c r="V119" s="3"/>
      <c r="W119" s="2"/>
      <c r="X119" s="3"/>
      <c r="Y119" s="2"/>
      <c r="Z119" s="3"/>
      <c r="AA119" s="2"/>
      <c r="AB119" s="3"/>
      <c r="AC119" s="2"/>
      <c r="AD119" s="3"/>
      <c r="AE119" s="2"/>
    </row>
    <row r="120" spans="1:31" x14ac:dyDescent="0.25">
      <c r="A120" s="1"/>
      <c r="B120" s="1"/>
      <c r="C120" s="1"/>
      <c r="D120" s="1" t="s">
        <v>119</v>
      </c>
      <c r="E120" s="1"/>
      <c r="F120" s="1"/>
      <c r="G120" s="2"/>
      <c r="H120" s="3"/>
      <c r="I120" s="2"/>
      <c r="J120" s="3"/>
      <c r="K120" s="2"/>
      <c r="L120" s="3"/>
      <c r="M120" s="2"/>
      <c r="N120" s="3"/>
      <c r="O120" s="2"/>
      <c r="P120" s="3"/>
      <c r="Q120" s="2"/>
      <c r="R120" s="3"/>
      <c r="S120" s="2"/>
      <c r="T120" s="3"/>
      <c r="U120" s="2"/>
      <c r="V120" s="3"/>
      <c r="W120" s="2"/>
      <c r="X120" s="3"/>
      <c r="Y120" s="2"/>
      <c r="Z120" s="3"/>
      <c r="AA120" s="2"/>
      <c r="AB120" s="3"/>
      <c r="AC120" s="2"/>
      <c r="AD120" s="3"/>
      <c r="AE120" s="2"/>
    </row>
    <row r="121" spans="1:31" x14ac:dyDescent="0.25">
      <c r="A121" s="1"/>
      <c r="B121" s="1"/>
      <c r="C121" s="1"/>
      <c r="D121" s="1"/>
      <c r="E121" s="1" t="s">
        <v>120</v>
      </c>
      <c r="F121" s="1"/>
      <c r="G121" s="2">
        <v>45745</v>
      </c>
      <c r="H121" s="3"/>
      <c r="I121" s="2">
        <v>45745</v>
      </c>
      <c r="J121" s="3"/>
      <c r="K121" s="2">
        <v>45745</v>
      </c>
      <c r="L121" s="3"/>
      <c r="M121" s="2">
        <v>45745</v>
      </c>
      <c r="N121" s="3"/>
      <c r="O121" s="2">
        <v>45745</v>
      </c>
      <c r="P121" s="3"/>
      <c r="Q121" s="2">
        <v>49556.73</v>
      </c>
      <c r="R121" s="3"/>
      <c r="S121" s="2">
        <v>49556.73</v>
      </c>
      <c r="T121" s="3"/>
      <c r="U121" s="2">
        <v>49556.73</v>
      </c>
      <c r="V121" s="3"/>
      <c r="W121" s="2">
        <v>49556.73</v>
      </c>
      <c r="X121" s="3"/>
      <c r="Y121" s="2">
        <v>49556.73</v>
      </c>
      <c r="Z121" s="3"/>
      <c r="AA121" s="2">
        <v>49556.73</v>
      </c>
      <c r="AB121" s="3"/>
      <c r="AC121" s="2">
        <v>49556.73</v>
      </c>
      <c r="AD121" s="3"/>
      <c r="AE121" s="2">
        <f t="shared" ref="AE121:AE126" si="8">ROUND(SUM(G121:AC121),5)</f>
        <v>575622.11</v>
      </c>
    </row>
    <row r="122" spans="1:31" ht="15.75" thickBot="1" x14ac:dyDescent="0.3">
      <c r="A122" s="1"/>
      <c r="B122" s="1"/>
      <c r="C122" s="1"/>
      <c r="D122" s="1"/>
      <c r="E122" s="1" t="s">
        <v>121</v>
      </c>
      <c r="F122" s="1"/>
      <c r="G122" s="4">
        <v>8160.61</v>
      </c>
      <c r="H122" s="3"/>
      <c r="I122" s="4">
        <v>8160.61</v>
      </c>
      <c r="J122" s="3"/>
      <c r="K122" s="4">
        <v>8160.61</v>
      </c>
      <c r="L122" s="3"/>
      <c r="M122" s="4">
        <v>8160.61</v>
      </c>
      <c r="N122" s="3"/>
      <c r="O122" s="4">
        <v>8160.61</v>
      </c>
      <c r="P122" s="3"/>
      <c r="Q122" s="4">
        <v>2728.1</v>
      </c>
      <c r="R122" s="3"/>
      <c r="S122" s="4">
        <v>8098.72</v>
      </c>
      <c r="T122" s="3"/>
      <c r="U122" s="4">
        <v>8098.72</v>
      </c>
      <c r="V122" s="3"/>
      <c r="W122" s="4">
        <v>8098.72</v>
      </c>
      <c r="X122" s="3"/>
      <c r="Y122" s="4">
        <v>8098.72</v>
      </c>
      <c r="Z122" s="3"/>
      <c r="AA122" s="4">
        <v>8098.72</v>
      </c>
      <c r="AB122" s="3"/>
      <c r="AC122" s="4">
        <v>8021.59</v>
      </c>
      <c r="AD122" s="3"/>
      <c r="AE122" s="4">
        <f t="shared" si="8"/>
        <v>92046.34</v>
      </c>
    </row>
    <row r="123" spans="1:31" ht="15.75" thickBot="1" x14ac:dyDescent="0.3">
      <c r="A123" s="1"/>
      <c r="B123" s="1"/>
      <c r="C123" s="1"/>
      <c r="D123" s="1" t="s">
        <v>122</v>
      </c>
      <c r="E123" s="1"/>
      <c r="F123" s="1"/>
      <c r="G123" s="7">
        <f>ROUND(SUM(G120:G122),5)</f>
        <v>53905.61</v>
      </c>
      <c r="H123" s="3"/>
      <c r="I123" s="7">
        <f>ROUND(SUM(I120:I122),5)</f>
        <v>53905.61</v>
      </c>
      <c r="J123" s="3"/>
      <c r="K123" s="7">
        <f>ROUND(SUM(K120:K122),5)</f>
        <v>53905.61</v>
      </c>
      <c r="L123" s="3"/>
      <c r="M123" s="7">
        <f>ROUND(SUM(M120:M122),5)</f>
        <v>53905.61</v>
      </c>
      <c r="N123" s="3"/>
      <c r="O123" s="7">
        <f>ROUND(SUM(O120:O122),5)</f>
        <v>53905.61</v>
      </c>
      <c r="P123" s="3"/>
      <c r="Q123" s="7">
        <f>ROUND(SUM(Q120:Q122),5)</f>
        <v>52284.83</v>
      </c>
      <c r="R123" s="3"/>
      <c r="S123" s="7">
        <f>ROUND(SUM(S120:S122),5)</f>
        <v>57655.45</v>
      </c>
      <c r="T123" s="3"/>
      <c r="U123" s="7">
        <f>ROUND(SUM(U120:U122),5)</f>
        <v>57655.45</v>
      </c>
      <c r="V123" s="3"/>
      <c r="W123" s="7">
        <f>ROUND(SUM(W120:W122),5)</f>
        <v>57655.45</v>
      </c>
      <c r="X123" s="3"/>
      <c r="Y123" s="7">
        <f>ROUND(SUM(Y120:Y122),5)</f>
        <v>57655.45</v>
      </c>
      <c r="Z123" s="3"/>
      <c r="AA123" s="7">
        <f>ROUND(SUM(AA120:AA122),5)</f>
        <v>57655.45</v>
      </c>
      <c r="AB123" s="3"/>
      <c r="AC123" s="7">
        <f>ROUND(SUM(AC120:AC122),5)</f>
        <v>57578.32</v>
      </c>
      <c r="AD123" s="3"/>
      <c r="AE123" s="7">
        <f t="shared" si="8"/>
        <v>667668.44999999995</v>
      </c>
    </row>
    <row r="124" spans="1:31" ht="15.75" thickBot="1" x14ac:dyDescent="0.3">
      <c r="A124" s="1"/>
      <c r="B124" s="1"/>
      <c r="C124" s="1" t="s">
        <v>123</v>
      </c>
      <c r="D124" s="1"/>
      <c r="E124" s="1"/>
      <c r="F124" s="1"/>
      <c r="G124" s="7">
        <f>ROUND(G119+G123,5)</f>
        <v>53905.61</v>
      </c>
      <c r="H124" s="3"/>
      <c r="I124" s="7">
        <f>ROUND(I119+I123,5)</f>
        <v>53905.61</v>
      </c>
      <c r="J124" s="3"/>
      <c r="K124" s="7">
        <f>ROUND(K119+K123,5)</f>
        <v>53905.61</v>
      </c>
      <c r="L124" s="3"/>
      <c r="M124" s="7">
        <f>ROUND(M119+M123,5)</f>
        <v>53905.61</v>
      </c>
      <c r="N124" s="3"/>
      <c r="O124" s="7">
        <f>ROUND(O119+O123,5)</f>
        <v>53905.61</v>
      </c>
      <c r="P124" s="3"/>
      <c r="Q124" s="7">
        <f>ROUND(Q119+Q123,5)</f>
        <v>52284.83</v>
      </c>
      <c r="R124" s="3"/>
      <c r="S124" s="7">
        <f>ROUND(S119+S123,5)</f>
        <v>57655.45</v>
      </c>
      <c r="T124" s="3"/>
      <c r="U124" s="7">
        <f>ROUND(U119+U123,5)</f>
        <v>57655.45</v>
      </c>
      <c r="V124" s="3"/>
      <c r="W124" s="7">
        <f>ROUND(W119+W123,5)</f>
        <v>57655.45</v>
      </c>
      <c r="X124" s="3"/>
      <c r="Y124" s="7">
        <f>ROUND(Y119+Y123,5)</f>
        <v>57655.45</v>
      </c>
      <c r="Z124" s="3"/>
      <c r="AA124" s="7">
        <f>ROUND(AA119+AA123,5)</f>
        <v>57655.45</v>
      </c>
      <c r="AB124" s="3"/>
      <c r="AC124" s="7">
        <f>ROUND(AC119+AC123,5)</f>
        <v>57578.32</v>
      </c>
      <c r="AD124" s="3"/>
      <c r="AE124" s="7">
        <f t="shared" si="8"/>
        <v>667668.44999999995</v>
      </c>
    </row>
    <row r="125" spans="1:31" ht="15.75" thickBot="1" x14ac:dyDescent="0.3">
      <c r="A125" s="1"/>
      <c r="B125" s="1" t="s">
        <v>124</v>
      </c>
      <c r="C125" s="1"/>
      <c r="D125" s="1"/>
      <c r="E125" s="1"/>
      <c r="F125" s="1"/>
      <c r="G125" s="7">
        <f>ROUND(G118-G124,5)</f>
        <v>-53905.61</v>
      </c>
      <c r="H125" s="3"/>
      <c r="I125" s="7">
        <f>ROUND(I118-I124,5)</f>
        <v>-53905.61</v>
      </c>
      <c r="J125" s="3"/>
      <c r="K125" s="7">
        <f>ROUND(K118-K124,5)</f>
        <v>-53905.61</v>
      </c>
      <c r="L125" s="3"/>
      <c r="M125" s="7">
        <f>ROUND(M118-M124,5)</f>
        <v>-53905.61</v>
      </c>
      <c r="N125" s="3"/>
      <c r="O125" s="7">
        <f>ROUND(O118-O124,5)</f>
        <v>-53905.61</v>
      </c>
      <c r="P125" s="3"/>
      <c r="Q125" s="7">
        <f>ROUND(Q118-Q124,5)</f>
        <v>-52284.83</v>
      </c>
      <c r="R125" s="3"/>
      <c r="S125" s="7">
        <f>ROUND(S118-S124,5)</f>
        <v>-57655.45</v>
      </c>
      <c r="T125" s="3"/>
      <c r="U125" s="7">
        <f>ROUND(U118-U124,5)</f>
        <v>-57655.45</v>
      </c>
      <c r="V125" s="3"/>
      <c r="W125" s="7">
        <f>ROUND(W118-W124,5)</f>
        <v>-57655.45</v>
      </c>
      <c r="X125" s="3"/>
      <c r="Y125" s="7">
        <f>ROUND(Y118-Y124,5)</f>
        <v>-57655.45</v>
      </c>
      <c r="Z125" s="3"/>
      <c r="AA125" s="7">
        <f>ROUND(AA118-AA124,5)</f>
        <v>-57655.45</v>
      </c>
      <c r="AB125" s="3"/>
      <c r="AC125" s="7">
        <f>ROUND(AC118-AC124,5)</f>
        <v>-57578.32</v>
      </c>
      <c r="AD125" s="3"/>
      <c r="AE125" s="7">
        <f t="shared" si="8"/>
        <v>-667668.44999999995</v>
      </c>
    </row>
    <row r="126" spans="1:31" s="9" customFormat="1" ht="12" thickBot="1" x14ac:dyDescent="0.25">
      <c r="A126" s="1" t="s">
        <v>125</v>
      </c>
      <c r="B126" s="1"/>
      <c r="C126" s="1"/>
      <c r="D126" s="1"/>
      <c r="E126" s="1"/>
      <c r="F126" s="1"/>
      <c r="G126" s="8">
        <f>ROUND(G117+G125,5)</f>
        <v>145557.13</v>
      </c>
      <c r="H126" s="1"/>
      <c r="I126" s="8">
        <f>ROUND(I117+I125,5)</f>
        <v>125362.2</v>
      </c>
      <c r="J126" s="1"/>
      <c r="K126" s="8">
        <f>ROUND(K117+K125,5)</f>
        <v>138965.18</v>
      </c>
      <c r="L126" s="1"/>
      <c r="M126" s="8">
        <f>ROUND(M117+M125,5)</f>
        <v>114078.09</v>
      </c>
      <c r="N126" s="1"/>
      <c r="O126" s="8">
        <f>ROUND(O117+O125,5)</f>
        <v>98483.85</v>
      </c>
      <c r="P126" s="1"/>
      <c r="Q126" s="8">
        <f>ROUND(Q117+Q125,5)</f>
        <v>91657.79</v>
      </c>
      <c r="R126" s="1"/>
      <c r="S126" s="8">
        <f>ROUND(S117+S125,5)</f>
        <v>56267.65</v>
      </c>
      <c r="T126" s="1"/>
      <c r="U126" s="8">
        <f>ROUND(U117+U125,5)</f>
        <v>77700.84</v>
      </c>
      <c r="V126" s="1"/>
      <c r="W126" s="8">
        <f>ROUND(W117+W125,5)</f>
        <v>91458.89</v>
      </c>
      <c r="X126" s="1"/>
      <c r="Y126" s="8">
        <f>ROUND(Y117+Y125,5)</f>
        <v>128010.87</v>
      </c>
      <c r="Z126" s="1"/>
      <c r="AA126" s="8">
        <f>ROUND(AA117+AA125,5)</f>
        <v>152823.43</v>
      </c>
      <c r="AB126" s="1"/>
      <c r="AC126" s="8">
        <f>ROUND(AC117+AC125,5)</f>
        <v>97149.26</v>
      </c>
      <c r="AD126" s="1"/>
      <c r="AE126" s="8">
        <f t="shared" si="8"/>
        <v>1317515.18</v>
      </c>
    </row>
    <row r="127" spans="1:31" ht="15.75" thickTop="1" x14ac:dyDescent="0.25"/>
  </sheetData>
  <pageMargins left="0.7" right="0.7" top="0.75" bottom="0.75" header="0.1" footer="0.3"/>
  <pageSetup paperSize="261" orientation="landscape" horizontalDpi="300" verticalDpi="300" r:id="rId1"/>
  <headerFooter>
    <oddHeader>&amp;L&amp;"Arial,Bold"&amp;8 9:58 AM
&amp;"Arial,Bold"&amp;8 08/03/26
&amp;"Arial,Bold"&amp;8 Accrual Basis&amp;C&amp;"Arial,Bold"&amp;12 North Aurora Living and Rehab Center LLC
&amp;"Arial,Bold"&amp;14 Profit &amp;&amp; Loss
&amp;"Arial,Bold"&amp;10 July 2025 through June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42EA78B-0525-46EE-9EE3-DCABE63B7C93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customXml/itemProps2.xml><?xml version="1.0" encoding="utf-8"?>
<ds:datastoreItem xmlns:ds="http://schemas.openxmlformats.org/officeDocument/2006/customXml" ds:itemID="{3716C966-21C0-47C9-A075-6E2AF26F6D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BD0A4E-5FE9-4899-B164-7683F74C3A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2026-08-03T14:58:02Z</dcterms:created>
  <dcterms:modified xsi:type="dcterms:W3CDTF">2026-08-07T17:20:54Z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