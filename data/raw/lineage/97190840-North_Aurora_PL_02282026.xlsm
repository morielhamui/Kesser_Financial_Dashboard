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staycare.sharepoint.com/sites/LineageHCCcorpdocs/Shared Documents/corp docs/Other/Petersen/Kesser Reporting/"/>
    </mc:Choice>
  </mc:AlternateContent>
  <xr:revisionPtr revIDLastSave="0" documentId="8_{F959C2B4-931E-4BDC-A9CF-B10897463220}" xr6:coauthVersionLast="47" xr6:coauthVersionMax="47" xr10:uidLastSave="{00000000-0000-0000-0000-000000000000}"/>
  <bookViews>
    <workbookView xWindow="-28920" yWindow="-1095" windowWidth="29040" windowHeight="15720" activeTab="1" xr2:uid="{5F62DF00-3CCB-4938-92A2-BC232BAC2B1D}"/>
  </bookViews>
  <sheets>
    <sheet name="QuickBooks Desktop Export Tips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Sheet1!$A:$F,Sheet1!$1:$1</definedName>
    <definedName name="QB_COLUMN_2921" localSheetId="1" hidden="1">Sheet1!$G$1</definedName>
    <definedName name="QB_COLUMN_29210" localSheetId="1" hidden="1">Sheet1!$Y$1</definedName>
    <definedName name="QB_COLUMN_29211" localSheetId="1" hidden="1">Sheet1!$AA$1</definedName>
    <definedName name="QB_COLUMN_29212" localSheetId="1" hidden="1">Sheet1!$AC$1</definedName>
    <definedName name="QB_COLUMN_29213" localSheetId="1" hidden="1">Sheet1!$AE$1</definedName>
    <definedName name="QB_COLUMN_29214" localSheetId="1" hidden="1">Sheet1!$AG$1</definedName>
    <definedName name="QB_COLUMN_29215" localSheetId="1" hidden="1">Sheet1!$AI$1</definedName>
    <definedName name="QB_COLUMN_29216" localSheetId="1" hidden="1">Sheet1!$AK$1</definedName>
    <definedName name="QB_COLUMN_2922" localSheetId="1" hidden="1">Sheet1!$I$1</definedName>
    <definedName name="QB_COLUMN_2923" localSheetId="1" hidden="1">Sheet1!$K$1</definedName>
    <definedName name="QB_COLUMN_2924" localSheetId="1" hidden="1">Sheet1!$M$1</definedName>
    <definedName name="QB_COLUMN_2925" localSheetId="1" hidden="1">Sheet1!$O$1</definedName>
    <definedName name="QB_COLUMN_2926" localSheetId="1" hidden="1">Sheet1!$Q$1</definedName>
    <definedName name="QB_COLUMN_2927" localSheetId="1" hidden="1">Sheet1!$S$1</definedName>
    <definedName name="QB_COLUMN_2928" localSheetId="1" hidden="1">Sheet1!$U$1</definedName>
    <definedName name="QB_COLUMN_2929" localSheetId="1" hidden="1">Sheet1!$W$1</definedName>
    <definedName name="QB_COLUMN_2930" localSheetId="1" hidden="1">Sheet1!$AM$1</definedName>
    <definedName name="QB_DATA_0" localSheetId="1" hidden="1">Sheet1!$4:$4,Sheet1!$5:$5,Sheet1!$6:$6,Sheet1!$7:$7,Sheet1!$8:$8,Sheet1!$9:$9,Sheet1!$10:$10,Sheet1!$11:$11,Sheet1!$12:$12,Sheet1!$13:$13,Sheet1!$14:$14,Sheet1!$19:$19,Sheet1!$20:$20,Sheet1!$21:$21,Sheet1!$22:$22,Sheet1!$23:$23</definedName>
    <definedName name="QB_DATA_1" localSheetId="1" hidden="1">Sheet1!$24:$24,Sheet1!$25:$25,Sheet1!$26:$26,Sheet1!$27:$27,Sheet1!$28:$28,Sheet1!$29:$29,Sheet1!$30:$30,Sheet1!$31:$31,Sheet1!$32:$32,Sheet1!$33:$33,Sheet1!$34:$34,Sheet1!$35:$35,Sheet1!$38:$38,Sheet1!$39:$39,Sheet1!$40:$40,Sheet1!$41:$41</definedName>
    <definedName name="QB_DATA_2" localSheetId="1" hidden="1">Sheet1!$42:$42,Sheet1!$43:$43,Sheet1!$44:$44,Sheet1!$47:$47,Sheet1!$48:$48,Sheet1!$49:$49,Sheet1!$50:$50,Sheet1!$51:$51,Sheet1!$52:$52,Sheet1!$53:$53,Sheet1!$54:$54,Sheet1!$57:$57,Sheet1!$58:$58,Sheet1!$59:$59,Sheet1!$60:$60,Sheet1!$61:$61</definedName>
    <definedName name="QB_DATA_3" localSheetId="1" hidden="1">Sheet1!$62:$62,Sheet1!$63:$63,Sheet1!$64:$64,Sheet1!$67:$67,Sheet1!$68:$68,Sheet1!$69:$69,Sheet1!$70:$70,Sheet1!$71:$71,Sheet1!$72:$72,Sheet1!$73:$73,Sheet1!$74:$74,Sheet1!$77:$77,Sheet1!$78:$78,Sheet1!$79:$79,Sheet1!$80:$80,Sheet1!$81:$81</definedName>
    <definedName name="QB_DATA_4" localSheetId="1" hidden="1">Sheet1!$82:$82,Sheet1!$85:$85,Sheet1!$86:$86,Sheet1!$87:$87,Sheet1!$88:$88,Sheet1!$89:$89,Sheet1!$90:$90,Sheet1!$91:$91,Sheet1!$92:$92,Sheet1!$93:$93,Sheet1!$94:$94,Sheet1!$95:$95,Sheet1!$96:$96,Sheet1!$97:$97,Sheet1!$98:$98,Sheet1!$99:$99</definedName>
    <definedName name="QB_DATA_5" localSheetId="1" hidden="1">Sheet1!$100:$100,Sheet1!$101:$101,Sheet1!$102:$102,Sheet1!$103:$103,Sheet1!$104:$104,Sheet1!$105:$105,Sheet1!$106:$106,Sheet1!$107:$107,Sheet1!$108:$108,Sheet1!$109:$109,Sheet1!$110:$110,Sheet1!$111:$111,Sheet1!$112:$112,Sheet1!$119:$119,Sheet1!$120:$120,Sheet1!$122:$122</definedName>
    <definedName name="QB_FORMULA_0" localSheetId="1" hidden="1">Sheet1!$AM$4,Sheet1!$AM$5,Sheet1!$AM$6,Sheet1!$AM$7,Sheet1!$AM$8,Sheet1!$AM$9,Sheet1!$AM$10,Sheet1!$AM$11,Sheet1!$AM$12,Sheet1!$AM$13,Sheet1!$AM$14,Sheet1!$G$15,Sheet1!$I$15,Sheet1!$K$15,Sheet1!$M$15,Sheet1!$O$15</definedName>
    <definedName name="QB_FORMULA_1" localSheetId="1" hidden="1">Sheet1!$Q$15,Sheet1!$S$15,Sheet1!$U$15,Sheet1!$W$15,Sheet1!$Y$15,Sheet1!$AA$15,Sheet1!$AC$15,Sheet1!$AE$15,Sheet1!$AG$15,Sheet1!$AI$15,Sheet1!$AK$15,Sheet1!$AM$15,Sheet1!$G$16,Sheet1!$I$16,Sheet1!$K$16,Sheet1!$M$16</definedName>
    <definedName name="QB_FORMULA_10" localSheetId="1" hidden="1">Sheet1!$AM$74,Sheet1!$G$75,Sheet1!$I$75,Sheet1!$K$75,Sheet1!$M$75,Sheet1!$O$75,Sheet1!$Q$75,Sheet1!$S$75,Sheet1!$U$75,Sheet1!$W$75,Sheet1!$Y$75,Sheet1!$AA$75,Sheet1!$AC$75,Sheet1!$AE$75,Sheet1!$AG$75,Sheet1!$AI$75</definedName>
    <definedName name="QB_FORMULA_11" localSheetId="1" hidden="1">Sheet1!$AK$75,Sheet1!$AM$75,Sheet1!$AM$77,Sheet1!$AM$78,Sheet1!$AM$79,Sheet1!$AM$80,Sheet1!$AM$81,Sheet1!$AM$82,Sheet1!$G$83,Sheet1!$I$83,Sheet1!$K$83,Sheet1!$M$83,Sheet1!$O$83,Sheet1!$Q$83,Sheet1!$S$83,Sheet1!$U$83</definedName>
    <definedName name="QB_FORMULA_12" localSheetId="1" hidden="1">Sheet1!$W$83,Sheet1!$Y$83,Sheet1!$AA$83,Sheet1!$AC$83,Sheet1!$AE$83,Sheet1!$AG$83,Sheet1!$AI$83,Sheet1!$AK$83,Sheet1!$AM$83,Sheet1!$AM$85,Sheet1!$AM$86,Sheet1!$AM$87,Sheet1!$AM$88,Sheet1!$AM$89,Sheet1!$AM$90,Sheet1!$AM$91</definedName>
    <definedName name="QB_FORMULA_13" localSheetId="1" hidden="1">Sheet1!$AM$92,Sheet1!$AM$93,Sheet1!$AM$94,Sheet1!$AM$95,Sheet1!$AM$96,Sheet1!$AM$97,Sheet1!$AM$98,Sheet1!$AM$99,Sheet1!$AM$100,Sheet1!$AM$101,Sheet1!$AM$102,Sheet1!$AM$103,Sheet1!$AM$104,Sheet1!$AM$105,Sheet1!$AM$106,Sheet1!$AM$107</definedName>
    <definedName name="QB_FORMULA_14" localSheetId="1" hidden="1">Sheet1!$AM$108,Sheet1!$AM$109,Sheet1!$AM$110,Sheet1!$AM$111,Sheet1!$AM$112,Sheet1!$G$113,Sheet1!$I$113,Sheet1!$K$113,Sheet1!$M$113,Sheet1!$O$113,Sheet1!$Q$113,Sheet1!$S$113,Sheet1!$U$113,Sheet1!$W$113,Sheet1!$Y$113,Sheet1!$AA$113</definedName>
    <definedName name="QB_FORMULA_15" localSheetId="1" hidden="1">Sheet1!$AC$113,Sheet1!$AE$113,Sheet1!$AG$113,Sheet1!$AI$113,Sheet1!$AK$113,Sheet1!$AM$113,Sheet1!$G$114,Sheet1!$I$114,Sheet1!$K$114,Sheet1!$M$114,Sheet1!$O$114,Sheet1!$Q$114,Sheet1!$S$114,Sheet1!$U$114,Sheet1!$W$114,Sheet1!$Y$114</definedName>
    <definedName name="QB_FORMULA_16" localSheetId="1" hidden="1">Sheet1!$AA$114,Sheet1!$AC$114,Sheet1!$AE$114,Sheet1!$AG$114,Sheet1!$AI$114,Sheet1!$AK$114,Sheet1!$AM$114,Sheet1!$G$115,Sheet1!$I$115,Sheet1!$K$115,Sheet1!$M$115,Sheet1!$O$115,Sheet1!$Q$115,Sheet1!$S$115,Sheet1!$U$115,Sheet1!$W$115</definedName>
    <definedName name="QB_FORMULA_17" localSheetId="1" hidden="1">Sheet1!$Y$115,Sheet1!$AA$115,Sheet1!$AC$115,Sheet1!$AE$115,Sheet1!$AG$115,Sheet1!$AI$115,Sheet1!$AK$115,Sheet1!$AM$115,Sheet1!$AM$119,Sheet1!$AM$120,Sheet1!$G$121,Sheet1!$I$121,Sheet1!$K$121,Sheet1!$M$121,Sheet1!$O$121,Sheet1!$Q$121</definedName>
    <definedName name="QB_FORMULA_18" localSheetId="1" hidden="1">Sheet1!$S$121,Sheet1!$U$121,Sheet1!$W$121,Sheet1!$Y$121,Sheet1!$AA$121,Sheet1!$AC$121,Sheet1!$AE$121,Sheet1!$AG$121,Sheet1!$AI$121,Sheet1!$AK$121,Sheet1!$AM$121,Sheet1!$AM$122,Sheet1!$G$123,Sheet1!$I$123,Sheet1!$K$123,Sheet1!$M$123</definedName>
    <definedName name="QB_FORMULA_19" localSheetId="1" hidden="1">Sheet1!$O$123,Sheet1!$Q$123,Sheet1!$S$123,Sheet1!$U$123,Sheet1!$W$123,Sheet1!$Y$123,Sheet1!$AA$123,Sheet1!$AC$123,Sheet1!$AE$123,Sheet1!$AG$123,Sheet1!$AI$123,Sheet1!$AK$123,Sheet1!$AM$123,Sheet1!$G$124,Sheet1!$I$124,Sheet1!$K$124</definedName>
    <definedName name="QB_FORMULA_2" localSheetId="1" hidden="1">Sheet1!$O$16,Sheet1!$Q$16,Sheet1!$S$16,Sheet1!$U$16,Sheet1!$W$16,Sheet1!$Y$16,Sheet1!$AA$16,Sheet1!$AC$16,Sheet1!$AE$16,Sheet1!$AG$16,Sheet1!$AI$16,Sheet1!$AK$16,Sheet1!$AM$16,Sheet1!$AM$19,Sheet1!$AM$20,Sheet1!$AM$21</definedName>
    <definedName name="QB_FORMULA_20" localSheetId="1" hidden="1">Sheet1!$M$124,Sheet1!$O$124,Sheet1!$Q$124,Sheet1!$S$124,Sheet1!$U$124,Sheet1!$W$124,Sheet1!$Y$124,Sheet1!$AA$124,Sheet1!$AC$124,Sheet1!$AE$124,Sheet1!$AG$124,Sheet1!$AI$124,Sheet1!$AK$124,Sheet1!$AM$124,Sheet1!$G$125,Sheet1!$I$125</definedName>
    <definedName name="QB_FORMULA_21" localSheetId="1" hidden="1">Sheet1!$K$125,Sheet1!$M$125,Sheet1!$O$125,Sheet1!$Q$125,Sheet1!$S$125,Sheet1!$U$125,Sheet1!$W$125,Sheet1!$Y$125,Sheet1!$AA$125,Sheet1!$AC$125,Sheet1!$AE$125,Sheet1!$AG$125,Sheet1!$AI$125,Sheet1!$AK$125,Sheet1!$AM$125</definedName>
    <definedName name="QB_FORMULA_3" localSheetId="1" hidden="1">Sheet1!$AM$22,Sheet1!$AM$23,Sheet1!$AM$24,Sheet1!$AM$25,Sheet1!$AM$26,Sheet1!$AM$27,Sheet1!$AM$28,Sheet1!$AM$29,Sheet1!$AM$30,Sheet1!$AM$31,Sheet1!$AM$32,Sheet1!$AM$33,Sheet1!$AM$34,Sheet1!$AM$35,Sheet1!$G$36,Sheet1!$I$36</definedName>
    <definedName name="QB_FORMULA_4" localSheetId="1" hidden="1">Sheet1!$K$36,Sheet1!$M$36,Sheet1!$O$36,Sheet1!$Q$36,Sheet1!$S$36,Sheet1!$U$36,Sheet1!$W$36,Sheet1!$Y$36,Sheet1!$AA$36,Sheet1!$AC$36,Sheet1!$AE$36,Sheet1!$AG$36,Sheet1!$AI$36,Sheet1!$AK$36,Sheet1!$AM$36,Sheet1!$AM$38</definedName>
    <definedName name="QB_FORMULA_5" localSheetId="1" hidden="1">Sheet1!$AM$39,Sheet1!$AM$40,Sheet1!$AM$41,Sheet1!$AM$42,Sheet1!$AM$43,Sheet1!$AM$44,Sheet1!$G$45,Sheet1!$I$45,Sheet1!$K$45,Sheet1!$M$45,Sheet1!$O$45,Sheet1!$Q$45,Sheet1!$S$45,Sheet1!$U$45,Sheet1!$W$45,Sheet1!$Y$45</definedName>
    <definedName name="QB_FORMULA_6" localSheetId="1" hidden="1">Sheet1!$AA$45,Sheet1!$AC$45,Sheet1!$AE$45,Sheet1!$AG$45,Sheet1!$AI$45,Sheet1!$AK$45,Sheet1!$AM$45,Sheet1!$AM$47,Sheet1!$AM$48,Sheet1!$AM$49,Sheet1!$AM$50,Sheet1!$AM$51,Sheet1!$AM$52,Sheet1!$AM$53,Sheet1!$AM$54,Sheet1!$G$55</definedName>
    <definedName name="QB_FORMULA_7" localSheetId="1" hidden="1">Sheet1!$I$55,Sheet1!$K$55,Sheet1!$M$55,Sheet1!$O$55,Sheet1!$Q$55,Sheet1!$S$55,Sheet1!$U$55,Sheet1!$W$55,Sheet1!$Y$55,Sheet1!$AA$55,Sheet1!$AC$55,Sheet1!$AE$55,Sheet1!$AG$55,Sheet1!$AI$55,Sheet1!$AK$55,Sheet1!$AM$55</definedName>
    <definedName name="QB_FORMULA_8" localSheetId="1" hidden="1">Sheet1!$AM$57,Sheet1!$AM$58,Sheet1!$AM$59,Sheet1!$AM$60,Sheet1!$AM$61,Sheet1!$AM$62,Sheet1!$AM$63,Sheet1!$AM$64,Sheet1!$G$65,Sheet1!$I$65,Sheet1!$K$65,Sheet1!$M$65,Sheet1!$O$65,Sheet1!$Q$65,Sheet1!$S$65,Sheet1!$U$65</definedName>
    <definedName name="QB_FORMULA_9" localSheetId="1" hidden="1">Sheet1!$W$65,Sheet1!$Y$65,Sheet1!$AA$65,Sheet1!$AC$65,Sheet1!$AE$65,Sheet1!$AG$65,Sheet1!$AI$65,Sheet1!$AK$65,Sheet1!$AM$65,Sheet1!$AM$67,Sheet1!$AM$68,Sheet1!$AM$69,Sheet1!$AM$70,Sheet1!$AM$71,Sheet1!$AM$72,Sheet1!$AM$73</definedName>
    <definedName name="QB_ROW_127240" localSheetId="1" hidden="1">Sheet1!$E$4</definedName>
    <definedName name="QB_ROW_128240" localSheetId="1" hidden="1">Sheet1!$E$5</definedName>
    <definedName name="QB_ROW_132240" localSheetId="1" hidden="1">Sheet1!$E$6</definedName>
    <definedName name="QB_ROW_134240" localSheetId="1" hidden="1">Sheet1!$E$7</definedName>
    <definedName name="QB_ROW_135240" localSheetId="1" hidden="1">Sheet1!$E$8</definedName>
    <definedName name="QB_ROW_138240" localSheetId="1" hidden="1">Sheet1!$E$9</definedName>
    <definedName name="QB_ROW_143240" localSheetId="1" hidden="1">Sheet1!$E$10</definedName>
    <definedName name="QB_ROW_161240" localSheetId="1" hidden="1">Sheet1!$E$11</definedName>
    <definedName name="QB_ROW_167240" localSheetId="1" hidden="1">Sheet1!$E$12</definedName>
    <definedName name="QB_ROW_174240" localSheetId="1" hidden="1">Sheet1!$E$13</definedName>
    <definedName name="QB_ROW_182240" localSheetId="1" hidden="1">Sheet1!$E$14</definedName>
    <definedName name="QB_ROW_18301" localSheetId="1" hidden="1">Sheet1!$A$125</definedName>
    <definedName name="QB_ROW_189040" localSheetId="1" hidden="1">Sheet1!$E$18</definedName>
    <definedName name="QB_ROW_189340" localSheetId="1" hidden="1">Sheet1!$E$36</definedName>
    <definedName name="QB_ROW_19011" localSheetId="1" hidden="1">Sheet1!$B$2</definedName>
    <definedName name="QB_ROW_190250" localSheetId="1" hidden="1">Sheet1!$F$19</definedName>
    <definedName name="QB_ROW_191250" localSheetId="1" hidden="1">Sheet1!$F$20</definedName>
    <definedName name="QB_ROW_192250" localSheetId="1" hidden="1">Sheet1!$F$21</definedName>
    <definedName name="QB_ROW_19311" localSheetId="1" hidden="1">Sheet1!$B$115</definedName>
    <definedName name="QB_ROW_196250" localSheetId="1" hidden="1">Sheet1!$F$22</definedName>
    <definedName name="QB_ROW_198250" localSheetId="1" hidden="1">Sheet1!$F$23</definedName>
    <definedName name="QB_ROW_20031" localSheetId="1" hidden="1">Sheet1!$D$3</definedName>
    <definedName name="QB_ROW_202250" localSheetId="1" hidden="1">Sheet1!$F$24</definedName>
    <definedName name="QB_ROW_203250" localSheetId="1" hidden="1">Sheet1!$F$25</definedName>
    <definedName name="QB_ROW_20331" localSheetId="1" hidden="1">Sheet1!$D$15</definedName>
    <definedName name="QB_ROW_204250" localSheetId="1" hidden="1">Sheet1!$F$26</definedName>
    <definedName name="QB_ROW_206250" localSheetId="1" hidden="1">Sheet1!$F$27</definedName>
    <definedName name="QB_ROW_209250" localSheetId="1" hidden="1">Sheet1!$F$28</definedName>
    <definedName name="QB_ROW_21031" localSheetId="1" hidden="1">Sheet1!$D$17</definedName>
    <definedName name="QB_ROW_211250" localSheetId="1" hidden="1">Sheet1!$F$29</definedName>
    <definedName name="QB_ROW_213250" localSheetId="1" hidden="1">Sheet1!$F$30</definedName>
    <definedName name="QB_ROW_21331" localSheetId="1" hidden="1">Sheet1!$D$114</definedName>
    <definedName name="QB_ROW_215250" localSheetId="1" hidden="1">Sheet1!$F$31</definedName>
    <definedName name="QB_ROW_216250" localSheetId="1" hidden="1">Sheet1!$F$32</definedName>
    <definedName name="QB_ROW_22011" localSheetId="1" hidden="1">Sheet1!$B$116</definedName>
    <definedName name="QB_ROW_22311" localSheetId="1" hidden="1">Sheet1!$B$124</definedName>
    <definedName name="QB_ROW_227250" localSheetId="1" hidden="1">Sheet1!$F$33</definedName>
    <definedName name="QB_ROW_230250" localSheetId="1" hidden="1">Sheet1!$F$34</definedName>
    <definedName name="QB_ROW_231250" localSheetId="1" hidden="1">Sheet1!$F$35</definedName>
    <definedName name="QB_ROW_234040" localSheetId="1" hidden="1">Sheet1!$E$37</definedName>
    <definedName name="QB_ROW_234340" localSheetId="1" hidden="1">Sheet1!$E$45</definedName>
    <definedName name="QB_ROW_235250" localSheetId="1" hidden="1">Sheet1!$F$38</definedName>
    <definedName name="QB_ROW_236250" localSheetId="1" hidden="1">Sheet1!$F$39</definedName>
    <definedName name="QB_ROW_238250" localSheetId="1" hidden="1">Sheet1!$F$40</definedName>
    <definedName name="QB_ROW_24021" localSheetId="1" hidden="1">Sheet1!$C$117</definedName>
    <definedName name="QB_ROW_240250" localSheetId="1" hidden="1">Sheet1!$F$41</definedName>
    <definedName name="QB_ROW_242250" localSheetId="1" hidden="1">Sheet1!$F$42</definedName>
    <definedName name="QB_ROW_24321" localSheetId="1" hidden="1">Sheet1!$C$123</definedName>
    <definedName name="QB_ROW_248040" localSheetId="1" hidden="1">Sheet1!$E$46</definedName>
    <definedName name="QB_ROW_248340" localSheetId="1" hidden="1">Sheet1!$E$55</definedName>
    <definedName name="QB_ROW_249250" localSheetId="1" hidden="1">Sheet1!$F$47</definedName>
    <definedName name="QB_ROW_250250" localSheetId="1" hidden="1">Sheet1!$F$48</definedName>
    <definedName name="QB_ROW_251250" localSheetId="1" hidden="1">Sheet1!$F$49</definedName>
    <definedName name="QB_ROW_252250" localSheetId="1" hidden="1">Sheet1!$F$50</definedName>
    <definedName name="QB_ROW_253250" localSheetId="1" hidden="1">Sheet1!$F$51</definedName>
    <definedName name="QB_ROW_254250" localSheetId="1" hidden="1">Sheet1!$F$52</definedName>
    <definedName name="QB_ROW_255250" localSheetId="1" hidden="1">Sheet1!$F$53</definedName>
    <definedName name="QB_ROW_257250" localSheetId="1" hidden="1">Sheet1!$F$54</definedName>
    <definedName name="QB_ROW_259040" localSheetId="1" hidden="1">Sheet1!$E$56</definedName>
    <definedName name="QB_ROW_259340" localSheetId="1" hidden="1">Sheet1!$E$65</definedName>
    <definedName name="QB_ROW_260250" localSheetId="1" hidden="1">Sheet1!$F$57</definedName>
    <definedName name="QB_ROW_261250" localSheetId="1" hidden="1">Sheet1!$F$58</definedName>
    <definedName name="QB_ROW_263250" localSheetId="1" hidden="1">Sheet1!$F$59</definedName>
    <definedName name="QB_ROW_264250" localSheetId="1" hidden="1">Sheet1!$F$60</definedName>
    <definedName name="QB_ROW_265250" localSheetId="1" hidden="1">Sheet1!$F$61</definedName>
    <definedName name="QB_ROW_267250" localSheetId="1" hidden="1">Sheet1!$F$62</definedName>
    <definedName name="QB_ROW_269250" localSheetId="1" hidden="1">Sheet1!$F$63</definedName>
    <definedName name="QB_ROW_271250" localSheetId="1" hidden="1">Sheet1!$F$64</definedName>
    <definedName name="QB_ROW_274040" localSheetId="1" hidden="1">Sheet1!$E$66</definedName>
    <definedName name="QB_ROW_274250" localSheetId="1" hidden="1">Sheet1!$F$74</definedName>
    <definedName name="QB_ROW_274340" localSheetId="1" hidden="1">Sheet1!$E$75</definedName>
    <definedName name="QB_ROW_275250" localSheetId="1" hidden="1">Sheet1!$F$67</definedName>
    <definedName name="QB_ROW_276250" localSheetId="1" hidden="1">Sheet1!$F$68</definedName>
    <definedName name="QB_ROW_277250" localSheetId="1" hidden="1">Sheet1!$F$69</definedName>
    <definedName name="QB_ROW_279250" localSheetId="1" hidden="1">Sheet1!$F$70</definedName>
    <definedName name="QB_ROW_280250" localSheetId="1" hidden="1">Sheet1!$F$71</definedName>
    <definedName name="QB_ROW_281250" localSheetId="1" hidden="1">Sheet1!$F$72</definedName>
    <definedName name="QB_ROW_282250" localSheetId="1" hidden="1">Sheet1!$F$73</definedName>
    <definedName name="QB_ROW_283040" localSheetId="1" hidden="1">Sheet1!$E$76</definedName>
    <definedName name="QB_ROW_283340" localSheetId="1" hidden="1">Sheet1!$E$83</definedName>
    <definedName name="QB_ROW_284250" localSheetId="1" hidden="1">Sheet1!$F$77</definedName>
    <definedName name="QB_ROW_285250" localSheetId="1" hidden="1">Sheet1!$F$78</definedName>
    <definedName name="QB_ROW_286250" localSheetId="1" hidden="1">Sheet1!$F$79</definedName>
    <definedName name="QB_ROW_288250" localSheetId="1" hidden="1">Sheet1!$F$80</definedName>
    <definedName name="QB_ROW_289250" localSheetId="1" hidden="1">Sheet1!$F$81</definedName>
    <definedName name="QB_ROW_290250" localSheetId="1" hidden="1">Sheet1!$F$82</definedName>
    <definedName name="QB_ROW_292040" localSheetId="1" hidden="1">Sheet1!$E$84</definedName>
    <definedName name="QB_ROW_292340" localSheetId="1" hidden="1">Sheet1!$E$113</definedName>
    <definedName name="QB_ROW_293250" localSheetId="1" hidden="1">Sheet1!$F$85</definedName>
    <definedName name="QB_ROW_294250" localSheetId="1" hidden="1">Sheet1!$F$86</definedName>
    <definedName name="QB_ROW_295250" localSheetId="1" hidden="1">Sheet1!$F$87</definedName>
    <definedName name="QB_ROW_296250" localSheetId="1" hidden="1">Sheet1!$F$88</definedName>
    <definedName name="QB_ROW_297250" localSheetId="1" hidden="1">Sheet1!$F$89</definedName>
    <definedName name="QB_ROW_299250" localSheetId="1" hidden="1">Sheet1!$F$90</definedName>
    <definedName name="QB_ROW_301250" localSheetId="1" hidden="1">Sheet1!$F$91</definedName>
    <definedName name="QB_ROW_303250" localSheetId="1" hidden="1">Sheet1!$F$92</definedName>
    <definedName name="QB_ROW_304250" localSheetId="1" hidden="1">Sheet1!$F$93</definedName>
    <definedName name="QB_ROW_305250" localSheetId="1" hidden="1">Sheet1!$F$94</definedName>
    <definedName name="QB_ROW_306250" localSheetId="1" hidden="1">Sheet1!$F$95</definedName>
    <definedName name="QB_ROW_307250" localSheetId="1" hidden="1">Sheet1!$F$96</definedName>
    <definedName name="QB_ROW_309250" localSheetId="1" hidden="1">Sheet1!$F$97</definedName>
    <definedName name="QB_ROW_310250" localSheetId="1" hidden="1">Sheet1!$F$98</definedName>
    <definedName name="QB_ROW_311250" localSheetId="1" hidden="1">Sheet1!$F$99</definedName>
    <definedName name="QB_ROW_312250" localSheetId="1" hidden="1">Sheet1!$F$100</definedName>
    <definedName name="QB_ROW_313250" localSheetId="1" hidden="1">Sheet1!$F$101</definedName>
    <definedName name="QB_ROW_314250" localSheetId="1" hidden="1">Sheet1!$F$102</definedName>
    <definedName name="QB_ROW_315250" localSheetId="1" hidden="1">Sheet1!$F$103</definedName>
    <definedName name="QB_ROW_317250" localSheetId="1" hidden="1">Sheet1!$F$104</definedName>
    <definedName name="QB_ROW_320250" localSheetId="1" hidden="1">Sheet1!$F$105</definedName>
    <definedName name="QB_ROW_323250" localSheetId="1" hidden="1">Sheet1!$F$106</definedName>
    <definedName name="QB_ROW_324250" localSheetId="1" hidden="1">Sheet1!$F$107</definedName>
    <definedName name="QB_ROW_333250" localSheetId="1" hidden="1">Sheet1!$F$108</definedName>
    <definedName name="QB_ROW_335250" localSheetId="1" hidden="1">Sheet1!$F$109</definedName>
    <definedName name="QB_ROW_341250" localSheetId="1" hidden="1">Sheet1!$F$110</definedName>
    <definedName name="QB_ROW_342250" localSheetId="1" hidden="1">Sheet1!$F$111</definedName>
    <definedName name="QB_ROW_343250" localSheetId="1" hidden="1">Sheet1!$F$112</definedName>
    <definedName name="QB_ROW_349030" localSheetId="1" hidden="1">Sheet1!$D$118</definedName>
    <definedName name="QB_ROW_349330" localSheetId="1" hidden="1">Sheet1!$D$121</definedName>
    <definedName name="QB_ROW_350240" localSheetId="1" hidden="1">Sheet1!$E$119</definedName>
    <definedName name="QB_ROW_351240" localSheetId="1" hidden="1">Sheet1!$E$120</definedName>
    <definedName name="QB_ROW_352230" localSheetId="1" hidden="1">Sheet1!$D$122</definedName>
    <definedName name="QB_ROW_356250" localSheetId="1" hidden="1">Sheet1!$F$43</definedName>
    <definedName name="QB_ROW_358250" localSheetId="1" hidden="1">Sheet1!$F$44</definedName>
    <definedName name="QB_ROW_86321" localSheetId="1" hidden="1">Sheet1!$C$16</definedName>
    <definedName name="QBCANSUPPORTUPDATE" localSheetId="1">TRUE</definedName>
    <definedName name="QBCOMPANYFILENAME" localSheetId="1">"S:\Quickbooks\north aurora living and rehab center llc.qbw"</definedName>
    <definedName name="QBENDDATE" localSheetId="1">20260228</definedName>
    <definedName name="QBHEADERSONSCREEN" localSheetId="1">FALSE</definedName>
    <definedName name="QBMETADATASIZE" localSheetId="1">6146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6</definedName>
    <definedName name="QBREPORTCOMPANYID" localSheetId="1">"cc590d9b3eaa46da85fd169b4c3f2793"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11</definedName>
    <definedName name="QBREPORTSUBCOLAXIS" localSheetId="1">0</definedName>
    <definedName name="QBREPORTTYPE" localSheetId="1">0</definedName>
    <definedName name="QBROWHEADERS" localSheetId="1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M125" i="1" l="1"/>
  <c r="AK125" i="1"/>
  <c r="AI125" i="1"/>
  <c r="AG125" i="1"/>
  <c r="AE125" i="1"/>
  <c r="AC125" i="1"/>
  <c r="AA125" i="1"/>
  <c r="Y125" i="1"/>
  <c r="W125" i="1"/>
  <c r="U125" i="1"/>
  <c r="S125" i="1"/>
  <c r="Q125" i="1"/>
  <c r="O125" i="1"/>
  <c r="M125" i="1"/>
  <c r="K125" i="1"/>
  <c r="I125" i="1"/>
  <c r="G125" i="1"/>
  <c r="AM124" i="1"/>
  <c r="AK124" i="1"/>
  <c r="AI124" i="1"/>
  <c r="AG124" i="1"/>
  <c r="AE124" i="1"/>
  <c r="AC124" i="1"/>
  <c r="AA124" i="1"/>
  <c r="Y124" i="1"/>
  <c r="W124" i="1"/>
  <c r="U124" i="1"/>
  <c r="S124" i="1"/>
  <c r="Q124" i="1"/>
  <c r="O124" i="1"/>
  <c r="M124" i="1"/>
  <c r="K124" i="1"/>
  <c r="I124" i="1"/>
  <c r="G124" i="1"/>
  <c r="AM123" i="1"/>
  <c r="AK123" i="1"/>
  <c r="AI123" i="1"/>
  <c r="AG123" i="1"/>
  <c r="AE123" i="1"/>
  <c r="AC123" i="1"/>
  <c r="AA123" i="1"/>
  <c r="Y123" i="1"/>
  <c r="W123" i="1"/>
  <c r="U123" i="1"/>
  <c r="S123" i="1"/>
  <c r="Q123" i="1"/>
  <c r="O123" i="1"/>
  <c r="M123" i="1"/>
  <c r="K123" i="1"/>
  <c r="I123" i="1"/>
  <c r="G123" i="1"/>
  <c r="AM122" i="1"/>
  <c r="AM121" i="1"/>
  <c r="AK121" i="1"/>
  <c r="AI121" i="1"/>
  <c r="AG121" i="1"/>
  <c r="AE121" i="1"/>
  <c r="AC121" i="1"/>
  <c r="AA121" i="1"/>
  <c r="Y121" i="1"/>
  <c r="W121" i="1"/>
  <c r="U121" i="1"/>
  <c r="S121" i="1"/>
  <c r="Q121" i="1"/>
  <c r="O121" i="1"/>
  <c r="M121" i="1"/>
  <c r="K121" i="1"/>
  <c r="I121" i="1"/>
  <c r="G121" i="1"/>
  <c r="AM120" i="1"/>
  <c r="AM119" i="1"/>
  <c r="AM115" i="1"/>
  <c r="AK115" i="1"/>
  <c r="AI115" i="1"/>
  <c r="AG115" i="1"/>
  <c r="AE115" i="1"/>
  <c r="AC115" i="1"/>
  <c r="AA115" i="1"/>
  <c r="Y115" i="1"/>
  <c r="W115" i="1"/>
  <c r="U115" i="1"/>
  <c r="S115" i="1"/>
  <c r="Q115" i="1"/>
  <c r="O115" i="1"/>
  <c r="M115" i="1"/>
  <c r="K115" i="1"/>
  <c r="I115" i="1"/>
  <c r="G115" i="1"/>
  <c r="AM114" i="1"/>
  <c r="AK114" i="1"/>
  <c r="AI114" i="1"/>
  <c r="AG114" i="1"/>
  <c r="AE114" i="1"/>
  <c r="AC114" i="1"/>
  <c r="AA114" i="1"/>
  <c r="Y114" i="1"/>
  <c r="W114" i="1"/>
  <c r="U114" i="1"/>
  <c r="S114" i="1"/>
  <c r="Q114" i="1"/>
  <c r="O114" i="1"/>
  <c r="M114" i="1"/>
  <c r="K114" i="1"/>
  <c r="I114" i="1"/>
  <c r="G114" i="1"/>
  <c r="AM113" i="1"/>
  <c r="AK113" i="1"/>
  <c r="AI113" i="1"/>
  <c r="AG113" i="1"/>
  <c r="AE113" i="1"/>
  <c r="AC113" i="1"/>
  <c r="AA113" i="1"/>
  <c r="Y113" i="1"/>
  <c r="W113" i="1"/>
  <c r="U113" i="1"/>
  <c r="S113" i="1"/>
  <c r="Q113" i="1"/>
  <c r="O113" i="1"/>
  <c r="M113" i="1"/>
  <c r="K113" i="1"/>
  <c r="I113" i="1"/>
  <c r="G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3" i="1"/>
  <c r="AK83" i="1"/>
  <c r="AI83" i="1"/>
  <c r="AG83" i="1"/>
  <c r="AE83" i="1"/>
  <c r="AC83" i="1"/>
  <c r="AA83" i="1"/>
  <c r="Y83" i="1"/>
  <c r="W83" i="1"/>
  <c r="U83" i="1"/>
  <c r="S83" i="1"/>
  <c r="Q83" i="1"/>
  <c r="O83" i="1"/>
  <c r="M83" i="1"/>
  <c r="K83" i="1"/>
  <c r="I83" i="1"/>
  <c r="G83" i="1"/>
  <c r="AM82" i="1"/>
  <c r="AM81" i="1"/>
  <c r="AM80" i="1"/>
  <c r="AM79" i="1"/>
  <c r="AM78" i="1"/>
  <c r="AM77" i="1"/>
  <c r="AM75" i="1"/>
  <c r="AK75" i="1"/>
  <c r="AI75" i="1"/>
  <c r="AG75" i="1"/>
  <c r="AE75" i="1"/>
  <c r="AC75" i="1"/>
  <c r="AA75" i="1"/>
  <c r="Y75" i="1"/>
  <c r="W75" i="1"/>
  <c r="U75" i="1"/>
  <c r="S75" i="1"/>
  <c r="Q75" i="1"/>
  <c r="O75" i="1"/>
  <c r="M75" i="1"/>
  <c r="K75" i="1"/>
  <c r="I75" i="1"/>
  <c r="G75" i="1"/>
  <c r="AM74" i="1"/>
  <c r="AM73" i="1"/>
  <c r="AM72" i="1"/>
  <c r="AM71" i="1"/>
  <c r="AM70" i="1"/>
  <c r="AM69" i="1"/>
  <c r="AM68" i="1"/>
  <c r="AM67" i="1"/>
  <c r="AM65" i="1"/>
  <c r="AK65" i="1"/>
  <c r="AI65" i="1"/>
  <c r="AG65" i="1"/>
  <c r="AE65" i="1"/>
  <c r="AC65" i="1"/>
  <c r="AA65" i="1"/>
  <c r="Y65" i="1"/>
  <c r="W65" i="1"/>
  <c r="U65" i="1"/>
  <c r="S65" i="1"/>
  <c r="Q65" i="1"/>
  <c r="O65" i="1"/>
  <c r="M65" i="1"/>
  <c r="K65" i="1"/>
  <c r="I65" i="1"/>
  <c r="G65" i="1"/>
  <c r="AM64" i="1"/>
  <c r="AM63" i="1"/>
  <c r="AM62" i="1"/>
  <c r="AM61" i="1"/>
  <c r="AM60" i="1"/>
  <c r="AM59" i="1"/>
  <c r="AM58" i="1"/>
  <c r="AM57" i="1"/>
  <c r="AM55" i="1"/>
  <c r="AK55" i="1"/>
  <c r="AI55" i="1"/>
  <c r="AG55" i="1"/>
  <c r="AE55" i="1"/>
  <c r="AC55" i="1"/>
  <c r="AA55" i="1"/>
  <c r="Y55" i="1"/>
  <c r="W55" i="1"/>
  <c r="U55" i="1"/>
  <c r="S55" i="1"/>
  <c r="Q55" i="1"/>
  <c r="O55" i="1"/>
  <c r="M55" i="1"/>
  <c r="K55" i="1"/>
  <c r="I55" i="1"/>
  <c r="G55" i="1"/>
  <c r="AM54" i="1"/>
  <c r="AM53" i="1"/>
  <c r="AM52" i="1"/>
  <c r="AM51" i="1"/>
  <c r="AM50" i="1"/>
  <c r="AM49" i="1"/>
  <c r="AM48" i="1"/>
  <c r="AM47" i="1"/>
  <c r="AM45" i="1"/>
  <c r="AK45" i="1"/>
  <c r="AI45" i="1"/>
  <c r="AG45" i="1"/>
  <c r="AE45" i="1"/>
  <c r="AC45" i="1"/>
  <c r="AA45" i="1"/>
  <c r="Y45" i="1"/>
  <c r="W45" i="1"/>
  <c r="U45" i="1"/>
  <c r="S45" i="1"/>
  <c r="Q45" i="1"/>
  <c r="O45" i="1"/>
  <c r="M45" i="1"/>
  <c r="K45" i="1"/>
  <c r="I45" i="1"/>
  <c r="G45" i="1"/>
  <c r="AM44" i="1"/>
  <c r="AM43" i="1"/>
  <c r="AM42" i="1"/>
  <c r="AM41" i="1"/>
  <c r="AM40" i="1"/>
  <c r="AM39" i="1"/>
  <c r="AM38" i="1"/>
  <c r="AM36" i="1"/>
  <c r="AK36" i="1"/>
  <c r="AI36" i="1"/>
  <c r="AG36" i="1"/>
  <c r="AE36" i="1"/>
  <c r="AC36" i="1"/>
  <c r="AA36" i="1"/>
  <c r="Y36" i="1"/>
  <c r="W36" i="1"/>
  <c r="U36" i="1"/>
  <c r="S36" i="1"/>
  <c r="Q36" i="1"/>
  <c r="O36" i="1"/>
  <c r="M36" i="1"/>
  <c r="K36" i="1"/>
  <c r="I36" i="1"/>
  <c r="G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6" i="1"/>
  <c r="AK16" i="1"/>
  <c r="AI16" i="1"/>
  <c r="AG16" i="1"/>
  <c r="AE16" i="1"/>
  <c r="AC16" i="1"/>
  <c r="AA16" i="1"/>
  <c r="Y16" i="1"/>
  <c r="W16" i="1"/>
  <c r="U16" i="1"/>
  <c r="S16" i="1"/>
  <c r="Q16" i="1"/>
  <c r="O16" i="1"/>
  <c r="M16" i="1"/>
  <c r="K16" i="1"/>
  <c r="I16" i="1"/>
  <c r="G16" i="1"/>
  <c r="AM15" i="1"/>
  <c r="AK15" i="1"/>
  <c r="AI15" i="1"/>
  <c r="AG15" i="1"/>
  <c r="AE15" i="1"/>
  <c r="AC15" i="1"/>
  <c r="AA15" i="1"/>
  <c r="Y15" i="1"/>
  <c r="W15" i="1"/>
  <c r="U15" i="1"/>
  <c r="S15" i="1"/>
  <c r="Q15" i="1"/>
  <c r="O15" i="1"/>
  <c r="M15" i="1"/>
  <c r="K15" i="1"/>
  <c r="I15" i="1"/>
  <c r="G15" i="1"/>
  <c r="AM14" i="1"/>
  <c r="AM13" i="1"/>
  <c r="AM12" i="1"/>
  <c r="AM11" i="1"/>
  <c r="AM10" i="1"/>
  <c r="AM9" i="1"/>
  <c r="AM8" i="1"/>
  <c r="AM7" i="1"/>
  <c r="AM6" i="1"/>
  <c r="AM5" i="1"/>
  <c r="AM4" i="1"/>
</calcChain>
</file>

<file path=xl/sharedStrings.xml><?xml version="1.0" encoding="utf-8"?>
<sst xmlns="http://schemas.openxmlformats.org/spreadsheetml/2006/main" count="141" uniqueCount="141">
  <si>
    <t>Nov 30, 24</t>
  </si>
  <si>
    <t>Dec 31, 24</t>
  </si>
  <si>
    <t>Jan 31, 25</t>
  </si>
  <si>
    <t>Feb 28, 25</t>
  </si>
  <si>
    <t>Mar 31, 25</t>
  </si>
  <si>
    <t>Apr 30, 25</t>
  </si>
  <si>
    <t>May 31, 25</t>
  </si>
  <si>
    <t>Jun 30, 25</t>
  </si>
  <si>
    <t>Jul 31, 25</t>
  </si>
  <si>
    <t>Aug 31, 25</t>
  </si>
  <si>
    <t>Sep 30, 25</t>
  </si>
  <si>
    <t>Oct 31, 25</t>
  </si>
  <si>
    <t>Nov 30, 25</t>
  </si>
  <si>
    <t>Dec 31, 25</t>
  </si>
  <si>
    <t>Jan 31, 26</t>
  </si>
  <si>
    <t>Feb 28, 26</t>
  </si>
  <si>
    <t>TOTAL</t>
  </si>
  <si>
    <t>Ordinary Income/Expense</t>
  </si>
  <si>
    <t>Income</t>
  </si>
  <si>
    <t>310100-INTEREST INCOME</t>
  </si>
  <si>
    <t>311000-PRIVATE PATIENT INCOME</t>
  </si>
  <si>
    <t>312000-PUBLIC AID</t>
  </si>
  <si>
    <t>312010-MLTSS</t>
  </si>
  <si>
    <t>312020-HOSPICE INCOME</t>
  </si>
  <si>
    <t>312060-INCENTIVE INCOME</t>
  </si>
  <si>
    <t>313050-MEDICARE A INCOME</t>
  </si>
  <si>
    <t>314000-MISC. INCOME</t>
  </si>
  <si>
    <t>315060-MCB FLU VACCINE INC</t>
  </si>
  <si>
    <t>318050- MEDICARE A MMAI</t>
  </si>
  <si>
    <t>319000-REFUNDS</t>
  </si>
  <si>
    <t>Total Income</t>
  </si>
  <si>
    <t>Gross Profit</t>
  </si>
  <si>
    <t>Expense</t>
  </si>
  <si>
    <t>4-Nursing Expense</t>
  </si>
  <si>
    <t>401001-RN SALARIES</t>
  </si>
  <si>
    <t>401002-LPN SALARIES</t>
  </si>
  <si>
    <t>401003-AIDES &amp; ORDERLIES</t>
  </si>
  <si>
    <t>401061-DIRECTOR OF NURSING</t>
  </si>
  <si>
    <t>402000-PHARMACY-HOUSE</t>
  </si>
  <si>
    <t>403900-PERSONAL CARE ITEMS</t>
  </si>
  <si>
    <t>404000-NURSING SUPPLIES</t>
  </si>
  <si>
    <t>404001-PA EX. OXIMETRY</t>
  </si>
  <si>
    <t>404050-OXYGEN</t>
  </si>
  <si>
    <t>406000-PHARMACY CONSULTANT</t>
  </si>
  <si>
    <t>407000-MEDICAL DIRECTOR</t>
  </si>
  <si>
    <t>407200-LAB &amp; X-RAY</t>
  </si>
  <si>
    <t>408000-SPEECH THER CONSULT</t>
  </si>
  <si>
    <t>409000-OCC REHAB CONSULTANT</t>
  </si>
  <si>
    <t>409100-RESTORATIVE</t>
  </si>
  <si>
    <t>409103-PSYCHO SOCIAL CONSULTANT</t>
  </si>
  <si>
    <t>410000-P.T. REHAB CONSULTANT</t>
  </si>
  <si>
    <t>Total 4-Nursing Expense</t>
  </si>
  <si>
    <t>5-Employee Welfare Costs</t>
  </si>
  <si>
    <t>501000-FED UNEMPLOYMENT EXPENSE</t>
  </si>
  <si>
    <t>501500-STATE UI TAX EXPENSE</t>
  </si>
  <si>
    <t>502000-FICA EXPENSE</t>
  </si>
  <si>
    <t>504000-HOSPITALIZATION INS</t>
  </si>
  <si>
    <t>504050-EMPLOYEE BENEFITS</t>
  </si>
  <si>
    <t>600148 PTO GRP 4</t>
  </si>
  <si>
    <t>600149 HOLIDAY PTO</t>
  </si>
  <si>
    <t>Total 5-Employee Welfare Costs</t>
  </si>
  <si>
    <t>60-Dietary Costs</t>
  </si>
  <si>
    <t>601005-DIETARY SALARIES</t>
  </si>
  <si>
    <t>601014-FOOD SERVICE SUPERVISOR</t>
  </si>
  <si>
    <t>603000-FOOD COSTS</t>
  </si>
  <si>
    <t>603050-FOOD SUPPLEMENT</t>
  </si>
  <si>
    <t>603500-ENSURE EXPENSE</t>
  </si>
  <si>
    <t>604000-KITCHEN SUPPLIES</t>
  </si>
  <si>
    <t>604100-DISHWASHING EXPENSE</t>
  </si>
  <si>
    <t>606000-DIETARY CONSULTANT</t>
  </si>
  <si>
    <t>Total 60-Dietary Costs</t>
  </si>
  <si>
    <t>62-Housekeeping Costs</t>
  </si>
  <si>
    <t>621005-MAINTENANCE SUPERVISOR</t>
  </si>
  <si>
    <t>621006-HSKPG/MAINT SALARIES</t>
  </si>
  <si>
    <t>623000-WATER EXPENSE</t>
  </si>
  <si>
    <t>623050-ELECTRICITY/GAS</t>
  </si>
  <si>
    <t>624000-HOUSEKEEPING SUPPLIES</t>
  </si>
  <si>
    <t>625000-REPAIRS &amp; MAINT EXP</t>
  </si>
  <si>
    <t>625050-MAINTENANCE SUPPLIES</t>
  </si>
  <si>
    <t>626000-SCAVENGER &amp; EXTERMINATOR</t>
  </si>
  <si>
    <t>Total 62-Housekeeping Costs</t>
  </si>
  <si>
    <t>64-Activity Costs</t>
  </si>
  <si>
    <t>641007-ACTIVITIES SALARIES</t>
  </si>
  <si>
    <t>641017-ACTIVITY DIR SALARIES</t>
  </si>
  <si>
    <t>644000-ACTIVITY EXPENSES</t>
  </si>
  <si>
    <t>645000-ACTIVITY CONSULTANT</t>
  </si>
  <si>
    <t>646000-SOCIAL SERVICES</t>
  </si>
  <si>
    <t>646050-PRSD</t>
  </si>
  <si>
    <t>646100-SOCIAL SERVICE CONSULT</t>
  </si>
  <si>
    <t>64-Activity Costs - Other</t>
  </si>
  <si>
    <t>Total 64-Activity Costs</t>
  </si>
  <si>
    <t>66- Laundry and Linen Costs</t>
  </si>
  <si>
    <t>661009-LAUNDRY SALARIES</t>
  </si>
  <si>
    <t>661020-LAUNDRY EXPENSE</t>
  </si>
  <si>
    <t>661020 LAUNDRY EXPENSE</t>
  </si>
  <si>
    <t>662000-LINEN REPLACEMENT</t>
  </si>
  <si>
    <t>662010-MATTRESS REPLACEMENT</t>
  </si>
  <si>
    <t>662020-DIAPER EXPENSE</t>
  </si>
  <si>
    <t>Total 66- Laundry and Linen Costs</t>
  </si>
  <si>
    <t>8-General and Administrative</t>
  </si>
  <si>
    <t>801060-OFFICE SALARIES</t>
  </si>
  <si>
    <t>801061-MANAGEMENT FEES</t>
  </si>
  <si>
    <t>801062-ADMINISTRATIVE SALARIES</t>
  </si>
  <si>
    <t>801063-MDS/CARE PLAN</t>
  </si>
  <si>
    <t>801064-ADMISSIONS COORDINATOR</t>
  </si>
  <si>
    <t>801066-MED RECORDS</t>
  </si>
  <si>
    <t>801068-REIMBURSEMENT CONS</t>
  </si>
  <si>
    <t>801500-IDPA TAX ASSESSMENT</t>
  </si>
  <si>
    <t>802000-MISC PROF EXP</t>
  </si>
  <si>
    <t>803000-PROF SERV.-ACCOUNTING</t>
  </si>
  <si>
    <t>803100-LEGAL FEES</t>
  </si>
  <si>
    <t>803200-UNEMPLOYMENT CONSULTANT</t>
  </si>
  <si>
    <t>803500-BACKGROUND CHECK</t>
  </si>
  <si>
    <t>804000-OFFICE EXPENSE/SUPPLIES</t>
  </si>
  <si>
    <t>804010-OFFICE MISC</t>
  </si>
  <si>
    <t>804050-POSTAGE</t>
  </si>
  <si>
    <t>804500-BANK CHARGES</t>
  </si>
  <si>
    <t>805000-TELEPHONE</t>
  </si>
  <si>
    <t>806000-AUTO EXPENSE</t>
  </si>
  <si>
    <t>807000-CLASSIFIED ADVERTISING</t>
  </si>
  <si>
    <t>807200-MARKETING EXP</t>
  </si>
  <si>
    <t>808500-E CHARTING EXPENSE</t>
  </si>
  <si>
    <t>809000-LICENSES\PERMITS &amp; FEES</t>
  </si>
  <si>
    <t>812000-INTEREST</t>
  </si>
  <si>
    <t>814000-INSURANCE</t>
  </si>
  <si>
    <t>820010-CABLE TV</t>
  </si>
  <si>
    <t>830000-CHRISTMAS EXPENSE</t>
  </si>
  <si>
    <t>840000-SEMINARS &amp; CONFERENCES</t>
  </si>
  <si>
    <t>Total 8-General and Administrative</t>
  </si>
  <si>
    <t>Total Expense</t>
  </si>
  <si>
    <t>Net Ordinary Income</t>
  </si>
  <si>
    <t>Other Income/Expense</t>
  </si>
  <si>
    <t>Other Expense</t>
  </si>
  <si>
    <t>91-Capital Costs</t>
  </si>
  <si>
    <t>911000-RENT</t>
  </si>
  <si>
    <t>912000-REAL ESTATE TAXES</t>
  </si>
  <si>
    <t>Total 91-Capital Costs</t>
  </si>
  <si>
    <t>Ask My Accountant</t>
  </si>
  <si>
    <t>Total Other Expense</t>
  </si>
  <si>
    <t>Net Other Income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</si>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</sst>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\-#,##0.00"/>
  </numFmts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49" fontId="1" fillId="0" borderId="0" xfId="0" applyNumberFormat="1" applyFont="1"/>
    <xf numFmtId="164" fontId="2" fillId="0" borderId="0" xfId="0" applyNumberFormat="1" applyFont="1"/>
    <xf numFmtId="49" fontId="2" fillId="0" borderId="0" xfId="0" applyNumberFormat="1" applyFont="1"/>
    <xf numFmtId="164" fontId="2" fillId="0" borderId="0" xfId="0" applyNumberFormat="1" applyFont="1" applyBorder="1"/>
    <xf numFmtId="164" fontId="2" fillId="0" borderId="3" xfId="0" applyNumberFormat="1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1" fillId="0" borderId="5" xfId="0" applyNumberFormat="1" applyFont="1" applyBorder="1"/>
    <xf numFmtId="0" fontId="1" fillId="0" borderId="0" xfId="0" applyFont="1"/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6B86D200-ECFB-4B10-B27C-E81D7854A13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885825</xdr:colOff>
      <xdr:row>30</xdr:row>
      <xdr:rowOff>66675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CDE2DCD-F999-44F5-9DC9-20B2C927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411075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9DC23-B12C-438A-A2CB-21B5A264D72D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16" customWidth="1"/>
    <col min="2" max="2" width="4.140625" style="16" customWidth="1"/>
    <col min="3" max="3" width="54" style="16" customWidth="1"/>
    <col min="4" max="4" width="3.7109375" style="16" customWidth="1"/>
    <col min="5" max="5" width="90.28515625" style="16" customWidth="1"/>
    <col min="6" max="7" width="8.85546875" style="16"/>
    <col min="8" max="8" width="15.42578125" style="16" customWidth="1"/>
    <col min="9" max="9" width="5.140625" style="16" customWidth="1"/>
    <col min="10" max="11" width="8.85546875" style="16"/>
    <col min="12" max="12" width="3" style="16" customWidth="1"/>
    <col min="13" max="15" width="8.85546875" style="16"/>
    <col min="16" max="16" width="7" style="16" customWidth="1"/>
    <col min="17" max="256" width="8.85546875" style="16"/>
    <col min="257" max="257" width="3" style="16" customWidth="1"/>
    <col min="258" max="258" width="4.140625" style="16" customWidth="1"/>
    <col min="259" max="259" width="54" style="16" customWidth="1"/>
    <col min="260" max="260" width="3.7109375" style="16" customWidth="1"/>
    <col min="261" max="261" width="90.28515625" style="16" customWidth="1"/>
    <col min="262" max="263" width="8.85546875" style="16"/>
    <col min="264" max="264" width="15.42578125" style="16" customWidth="1"/>
    <col min="265" max="265" width="5.140625" style="16" customWidth="1"/>
    <col min="266" max="267" width="8.85546875" style="16"/>
    <col min="268" max="268" width="3" style="16" customWidth="1"/>
    <col min="269" max="271" width="8.85546875" style="16"/>
    <col min="272" max="272" width="7" style="16" customWidth="1"/>
    <col min="273" max="512" width="8.85546875" style="16"/>
    <col min="513" max="513" width="3" style="16" customWidth="1"/>
    <col min="514" max="514" width="4.140625" style="16" customWidth="1"/>
    <col min="515" max="515" width="54" style="16" customWidth="1"/>
    <col min="516" max="516" width="3.7109375" style="16" customWidth="1"/>
    <col min="517" max="517" width="90.28515625" style="16" customWidth="1"/>
    <col min="518" max="519" width="8.85546875" style="16"/>
    <col min="520" max="520" width="15.42578125" style="16" customWidth="1"/>
    <col min="521" max="521" width="5.140625" style="16" customWidth="1"/>
    <col min="522" max="523" width="8.85546875" style="16"/>
    <col min="524" max="524" width="3" style="16" customWidth="1"/>
    <col min="525" max="527" width="8.85546875" style="16"/>
    <col min="528" max="528" width="7" style="16" customWidth="1"/>
    <col min="529" max="768" width="8.85546875" style="16"/>
    <col min="769" max="769" width="3" style="16" customWidth="1"/>
    <col min="770" max="770" width="4.140625" style="16" customWidth="1"/>
    <col min="771" max="771" width="54" style="16" customWidth="1"/>
    <col min="772" max="772" width="3.7109375" style="16" customWidth="1"/>
    <col min="773" max="773" width="90.28515625" style="16" customWidth="1"/>
    <col min="774" max="775" width="8.85546875" style="16"/>
    <col min="776" max="776" width="15.42578125" style="16" customWidth="1"/>
    <col min="777" max="777" width="5.140625" style="16" customWidth="1"/>
    <col min="778" max="779" width="8.85546875" style="16"/>
    <col min="780" max="780" width="3" style="16" customWidth="1"/>
    <col min="781" max="783" width="8.85546875" style="16"/>
    <col min="784" max="784" width="7" style="16" customWidth="1"/>
    <col min="785" max="1024" width="8.85546875" style="16"/>
    <col min="1025" max="1025" width="3" style="16" customWidth="1"/>
    <col min="1026" max="1026" width="4.140625" style="16" customWidth="1"/>
    <col min="1027" max="1027" width="54" style="16" customWidth="1"/>
    <col min="1028" max="1028" width="3.7109375" style="16" customWidth="1"/>
    <col min="1029" max="1029" width="90.28515625" style="16" customWidth="1"/>
    <col min="1030" max="1031" width="8.85546875" style="16"/>
    <col min="1032" max="1032" width="15.42578125" style="16" customWidth="1"/>
    <col min="1033" max="1033" width="5.140625" style="16" customWidth="1"/>
    <col min="1034" max="1035" width="8.85546875" style="16"/>
    <col min="1036" max="1036" width="3" style="16" customWidth="1"/>
    <col min="1037" max="1039" width="8.85546875" style="16"/>
    <col min="1040" max="1040" width="7" style="16" customWidth="1"/>
    <col min="1041" max="1280" width="8.85546875" style="16"/>
    <col min="1281" max="1281" width="3" style="16" customWidth="1"/>
    <col min="1282" max="1282" width="4.140625" style="16" customWidth="1"/>
    <col min="1283" max="1283" width="54" style="16" customWidth="1"/>
    <col min="1284" max="1284" width="3.7109375" style="16" customWidth="1"/>
    <col min="1285" max="1285" width="90.28515625" style="16" customWidth="1"/>
    <col min="1286" max="1287" width="8.85546875" style="16"/>
    <col min="1288" max="1288" width="15.42578125" style="16" customWidth="1"/>
    <col min="1289" max="1289" width="5.140625" style="16" customWidth="1"/>
    <col min="1290" max="1291" width="8.85546875" style="16"/>
    <col min="1292" max="1292" width="3" style="16" customWidth="1"/>
    <col min="1293" max="1295" width="8.85546875" style="16"/>
    <col min="1296" max="1296" width="7" style="16" customWidth="1"/>
    <col min="1297" max="1536" width="8.85546875" style="16"/>
    <col min="1537" max="1537" width="3" style="16" customWidth="1"/>
    <col min="1538" max="1538" width="4.140625" style="16" customWidth="1"/>
    <col min="1539" max="1539" width="54" style="16" customWidth="1"/>
    <col min="1540" max="1540" width="3.7109375" style="16" customWidth="1"/>
    <col min="1541" max="1541" width="90.28515625" style="16" customWidth="1"/>
    <col min="1542" max="1543" width="8.85546875" style="16"/>
    <col min="1544" max="1544" width="15.42578125" style="16" customWidth="1"/>
    <col min="1545" max="1545" width="5.140625" style="16" customWidth="1"/>
    <col min="1546" max="1547" width="8.85546875" style="16"/>
    <col min="1548" max="1548" width="3" style="16" customWidth="1"/>
    <col min="1549" max="1551" width="8.85546875" style="16"/>
    <col min="1552" max="1552" width="7" style="16" customWidth="1"/>
    <col min="1553" max="1792" width="8.85546875" style="16"/>
    <col min="1793" max="1793" width="3" style="16" customWidth="1"/>
    <col min="1794" max="1794" width="4.140625" style="16" customWidth="1"/>
    <col min="1795" max="1795" width="54" style="16" customWidth="1"/>
    <col min="1796" max="1796" width="3.7109375" style="16" customWidth="1"/>
    <col min="1797" max="1797" width="90.28515625" style="16" customWidth="1"/>
    <col min="1798" max="1799" width="8.85546875" style="16"/>
    <col min="1800" max="1800" width="15.42578125" style="16" customWidth="1"/>
    <col min="1801" max="1801" width="5.140625" style="16" customWidth="1"/>
    <col min="1802" max="1803" width="8.85546875" style="16"/>
    <col min="1804" max="1804" width="3" style="16" customWidth="1"/>
    <col min="1805" max="1807" width="8.85546875" style="16"/>
    <col min="1808" max="1808" width="7" style="16" customWidth="1"/>
    <col min="1809" max="2048" width="8.85546875" style="16"/>
    <col min="2049" max="2049" width="3" style="16" customWidth="1"/>
    <col min="2050" max="2050" width="4.140625" style="16" customWidth="1"/>
    <col min="2051" max="2051" width="54" style="16" customWidth="1"/>
    <col min="2052" max="2052" width="3.7109375" style="16" customWidth="1"/>
    <col min="2053" max="2053" width="90.28515625" style="16" customWidth="1"/>
    <col min="2054" max="2055" width="8.85546875" style="16"/>
    <col min="2056" max="2056" width="15.42578125" style="16" customWidth="1"/>
    <col min="2057" max="2057" width="5.140625" style="16" customWidth="1"/>
    <col min="2058" max="2059" width="8.85546875" style="16"/>
    <col min="2060" max="2060" width="3" style="16" customWidth="1"/>
    <col min="2061" max="2063" width="8.85546875" style="16"/>
    <col min="2064" max="2064" width="7" style="16" customWidth="1"/>
    <col min="2065" max="2304" width="8.85546875" style="16"/>
    <col min="2305" max="2305" width="3" style="16" customWidth="1"/>
    <col min="2306" max="2306" width="4.140625" style="16" customWidth="1"/>
    <col min="2307" max="2307" width="54" style="16" customWidth="1"/>
    <col min="2308" max="2308" width="3.7109375" style="16" customWidth="1"/>
    <col min="2309" max="2309" width="90.28515625" style="16" customWidth="1"/>
    <col min="2310" max="2311" width="8.85546875" style="16"/>
    <col min="2312" max="2312" width="15.42578125" style="16" customWidth="1"/>
    <col min="2313" max="2313" width="5.140625" style="16" customWidth="1"/>
    <col min="2314" max="2315" width="8.85546875" style="16"/>
    <col min="2316" max="2316" width="3" style="16" customWidth="1"/>
    <col min="2317" max="2319" width="8.85546875" style="16"/>
    <col min="2320" max="2320" width="7" style="16" customWidth="1"/>
    <col min="2321" max="2560" width="8.85546875" style="16"/>
    <col min="2561" max="2561" width="3" style="16" customWidth="1"/>
    <col min="2562" max="2562" width="4.140625" style="16" customWidth="1"/>
    <col min="2563" max="2563" width="54" style="16" customWidth="1"/>
    <col min="2564" max="2564" width="3.7109375" style="16" customWidth="1"/>
    <col min="2565" max="2565" width="90.28515625" style="16" customWidth="1"/>
    <col min="2566" max="2567" width="8.85546875" style="16"/>
    <col min="2568" max="2568" width="15.42578125" style="16" customWidth="1"/>
    <col min="2569" max="2569" width="5.140625" style="16" customWidth="1"/>
    <col min="2570" max="2571" width="8.85546875" style="16"/>
    <col min="2572" max="2572" width="3" style="16" customWidth="1"/>
    <col min="2573" max="2575" width="8.85546875" style="16"/>
    <col min="2576" max="2576" width="7" style="16" customWidth="1"/>
    <col min="2577" max="2816" width="8.85546875" style="16"/>
    <col min="2817" max="2817" width="3" style="16" customWidth="1"/>
    <col min="2818" max="2818" width="4.140625" style="16" customWidth="1"/>
    <col min="2819" max="2819" width="54" style="16" customWidth="1"/>
    <col min="2820" max="2820" width="3.7109375" style="16" customWidth="1"/>
    <col min="2821" max="2821" width="90.28515625" style="16" customWidth="1"/>
    <col min="2822" max="2823" width="8.85546875" style="16"/>
    <col min="2824" max="2824" width="15.42578125" style="16" customWidth="1"/>
    <col min="2825" max="2825" width="5.140625" style="16" customWidth="1"/>
    <col min="2826" max="2827" width="8.85546875" style="16"/>
    <col min="2828" max="2828" width="3" style="16" customWidth="1"/>
    <col min="2829" max="2831" width="8.85546875" style="16"/>
    <col min="2832" max="2832" width="7" style="16" customWidth="1"/>
    <col min="2833" max="3072" width="8.85546875" style="16"/>
    <col min="3073" max="3073" width="3" style="16" customWidth="1"/>
    <col min="3074" max="3074" width="4.140625" style="16" customWidth="1"/>
    <col min="3075" max="3075" width="54" style="16" customWidth="1"/>
    <col min="3076" max="3076" width="3.7109375" style="16" customWidth="1"/>
    <col min="3077" max="3077" width="90.28515625" style="16" customWidth="1"/>
    <col min="3078" max="3079" width="8.85546875" style="16"/>
    <col min="3080" max="3080" width="15.42578125" style="16" customWidth="1"/>
    <col min="3081" max="3081" width="5.140625" style="16" customWidth="1"/>
    <col min="3082" max="3083" width="8.85546875" style="16"/>
    <col min="3084" max="3084" width="3" style="16" customWidth="1"/>
    <col min="3085" max="3087" width="8.85546875" style="16"/>
    <col min="3088" max="3088" width="7" style="16" customWidth="1"/>
    <col min="3089" max="3328" width="8.85546875" style="16"/>
    <col min="3329" max="3329" width="3" style="16" customWidth="1"/>
    <col min="3330" max="3330" width="4.140625" style="16" customWidth="1"/>
    <col min="3331" max="3331" width="54" style="16" customWidth="1"/>
    <col min="3332" max="3332" width="3.7109375" style="16" customWidth="1"/>
    <col min="3333" max="3333" width="90.28515625" style="16" customWidth="1"/>
    <col min="3334" max="3335" width="8.85546875" style="16"/>
    <col min="3336" max="3336" width="15.42578125" style="16" customWidth="1"/>
    <col min="3337" max="3337" width="5.140625" style="16" customWidth="1"/>
    <col min="3338" max="3339" width="8.85546875" style="16"/>
    <col min="3340" max="3340" width="3" style="16" customWidth="1"/>
    <col min="3341" max="3343" width="8.85546875" style="16"/>
    <col min="3344" max="3344" width="7" style="16" customWidth="1"/>
    <col min="3345" max="3584" width="8.85546875" style="16"/>
    <col min="3585" max="3585" width="3" style="16" customWidth="1"/>
    <col min="3586" max="3586" width="4.140625" style="16" customWidth="1"/>
    <col min="3587" max="3587" width="54" style="16" customWidth="1"/>
    <col min="3588" max="3588" width="3.7109375" style="16" customWidth="1"/>
    <col min="3589" max="3589" width="90.28515625" style="16" customWidth="1"/>
    <col min="3590" max="3591" width="8.85546875" style="16"/>
    <col min="3592" max="3592" width="15.42578125" style="16" customWidth="1"/>
    <col min="3593" max="3593" width="5.140625" style="16" customWidth="1"/>
    <col min="3594" max="3595" width="8.85546875" style="16"/>
    <col min="3596" max="3596" width="3" style="16" customWidth="1"/>
    <col min="3597" max="3599" width="8.85546875" style="16"/>
    <col min="3600" max="3600" width="7" style="16" customWidth="1"/>
    <col min="3601" max="3840" width="8.85546875" style="16"/>
    <col min="3841" max="3841" width="3" style="16" customWidth="1"/>
    <col min="3842" max="3842" width="4.140625" style="16" customWidth="1"/>
    <col min="3843" max="3843" width="54" style="16" customWidth="1"/>
    <col min="3844" max="3844" width="3.7109375" style="16" customWidth="1"/>
    <col min="3845" max="3845" width="90.28515625" style="16" customWidth="1"/>
    <col min="3846" max="3847" width="8.85546875" style="16"/>
    <col min="3848" max="3848" width="15.42578125" style="16" customWidth="1"/>
    <col min="3849" max="3849" width="5.140625" style="16" customWidth="1"/>
    <col min="3850" max="3851" width="8.85546875" style="16"/>
    <col min="3852" max="3852" width="3" style="16" customWidth="1"/>
    <col min="3853" max="3855" width="8.85546875" style="16"/>
    <col min="3856" max="3856" width="7" style="16" customWidth="1"/>
    <col min="3857" max="4096" width="8.85546875" style="16"/>
    <col min="4097" max="4097" width="3" style="16" customWidth="1"/>
    <col min="4098" max="4098" width="4.140625" style="16" customWidth="1"/>
    <col min="4099" max="4099" width="54" style="16" customWidth="1"/>
    <col min="4100" max="4100" width="3.7109375" style="16" customWidth="1"/>
    <col min="4101" max="4101" width="90.28515625" style="16" customWidth="1"/>
    <col min="4102" max="4103" width="8.85546875" style="16"/>
    <col min="4104" max="4104" width="15.42578125" style="16" customWidth="1"/>
    <col min="4105" max="4105" width="5.140625" style="16" customWidth="1"/>
    <col min="4106" max="4107" width="8.85546875" style="16"/>
    <col min="4108" max="4108" width="3" style="16" customWidth="1"/>
    <col min="4109" max="4111" width="8.85546875" style="16"/>
    <col min="4112" max="4112" width="7" style="16" customWidth="1"/>
    <col min="4113" max="4352" width="8.85546875" style="16"/>
    <col min="4353" max="4353" width="3" style="16" customWidth="1"/>
    <col min="4354" max="4354" width="4.140625" style="16" customWidth="1"/>
    <col min="4355" max="4355" width="54" style="16" customWidth="1"/>
    <col min="4356" max="4356" width="3.7109375" style="16" customWidth="1"/>
    <col min="4357" max="4357" width="90.28515625" style="16" customWidth="1"/>
    <col min="4358" max="4359" width="8.85546875" style="16"/>
    <col min="4360" max="4360" width="15.42578125" style="16" customWidth="1"/>
    <col min="4361" max="4361" width="5.140625" style="16" customWidth="1"/>
    <col min="4362" max="4363" width="8.85546875" style="16"/>
    <col min="4364" max="4364" width="3" style="16" customWidth="1"/>
    <col min="4365" max="4367" width="8.85546875" style="16"/>
    <col min="4368" max="4368" width="7" style="16" customWidth="1"/>
    <col min="4369" max="4608" width="8.85546875" style="16"/>
    <col min="4609" max="4609" width="3" style="16" customWidth="1"/>
    <col min="4610" max="4610" width="4.140625" style="16" customWidth="1"/>
    <col min="4611" max="4611" width="54" style="16" customWidth="1"/>
    <col min="4612" max="4612" width="3.7109375" style="16" customWidth="1"/>
    <col min="4613" max="4613" width="90.28515625" style="16" customWidth="1"/>
    <col min="4614" max="4615" width="8.85546875" style="16"/>
    <col min="4616" max="4616" width="15.42578125" style="16" customWidth="1"/>
    <col min="4617" max="4617" width="5.140625" style="16" customWidth="1"/>
    <col min="4618" max="4619" width="8.85546875" style="16"/>
    <col min="4620" max="4620" width="3" style="16" customWidth="1"/>
    <col min="4621" max="4623" width="8.85546875" style="16"/>
    <col min="4624" max="4624" width="7" style="16" customWidth="1"/>
    <col min="4625" max="4864" width="8.85546875" style="16"/>
    <col min="4865" max="4865" width="3" style="16" customWidth="1"/>
    <col min="4866" max="4866" width="4.140625" style="16" customWidth="1"/>
    <col min="4867" max="4867" width="54" style="16" customWidth="1"/>
    <col min="4868" max="4868" width="3.7109375" style="16" customWidth="1"/>
    <col min="4869" max="4869" width="90.28515625" style="16" customWidth="1"/>
    <col min="4870" max="4871" width="8.85546875" style="16"/>
    <col min="4872" max="4872" width="15.42578125" style="16" customWidth="1"/>
    <col min="4873" max="4873" width="5.140625" style="16" customWidth="1"/>
    <col min="4874" max="4875" width="8.85546875" style="16"/>
    <col min="4876" max="4876" width="3" style="16" customWidth="1"/>
    <col min="4877" max="4879" width="8.85546875" style="16"/>
    <col min="4880" max="4880" width="7" style="16" customWidth="1"/>
    <col min="4881" max="5120" width="8.85546875" style="16"/>
    <col min="5121" max="5121" width="3" style="16" customWidth="1"/>
    <col min="5122" max="5122" width="4.140625" style="16" customWidth="1"/>
    <col min="5123" max="5123" width="54" style="16" customWidth="1"/>
    <col min="5124" max="5124" width="3.7109375" style="16" customWidth="1"/>
    <col min="5125" max="5125" width="90.28515625" style="16" customWidth="1"/>
    <col min="5126" max="5127" width="8.85546875" style="16"/>
    <col min="5128" max="5128" width="15.42578125" style="16" customWidth="1"/>
    <col min="5129" max="5129" width="5.140625" style="16" customWidth="1"/>
    <col min="5130" max="5131" width="8.85546875" style="16"/>
    <col min="5132" max="5132" width="3" style="16" customWidth="1"/>
    <col min="5133" max="5135" width="8.85546875" style="16"/>
    <col min="5136" max="5136" width="7" style="16" customWidth="1"/>
    <col min="5137" max="5376" width="8.85546875" style="16"/>
    <col min="5377" max="5377" width="3" style="16" customWidth="1"/>
    <col min="5378" max="5378" width="4.140625" style="16" customWidth="1"/>
    <col min="5379" max="5379" width="54" style="16" customWidth="1"/>
    <col min="5380" max="5380" width="3.7109375" style="16" customWidth="1"/>
    <col min="5381" max="5381" width="90.28515625" style="16" customWidth="1"/>
    <col min="5382" max="5383" width="8.85546875" style="16"/>
    <col min="5384" max="5384" width="15.42578125" style="16" customWidth="1"/>
    <col min="5385" max="5385" width="5.140625" style="16" customWidth="1"/>
    <col min="5386" max="5387" width="8.85546875" style="16"/>
    <col min="5388" max="5388" width="3" style="16" customWidth="1"/>
    <col min="5389" max="5391" width="8.85546875" style="16"/>
    <col min="5392" max="5392" width="7" style="16" customWidth="1"/>
    <col min="5393" max="5632" width="8.85546875" style="16"/>
    <col min="5633" max="5633" width="3" style="16" customWidth="1"/>
    <col min="5634" max="5634" width="4.140625" style="16" customWidth="1"/>
    <col min="5635" max="5635" width="54" style="16" customWidth="1"/>
    <col min="5636" max="5636" width="3.7109375" style="16" customWidth="1"/>
    <col min="5637" max="5637" width="90.28515625" style="16" customWidth="1"/>
    <col min="5638" max="5639" width="8.85546875" style="16"/>
    <col min="5640" max="5640" width="15.42578125" style="16" customWidth="1"/>
    <col min="5641" max="5641" width="5.140625" style="16" customWidth="1"/>
    <col min="5642" max="5643" width="8.85546875" style="16"/>
    <col min="5644" max="5644" width="3" style="16" customWidth="1"/>
    <col min="5645" max="5647" width="8.85546875" style="16"/>
    <col min="5648" max="5648" width="7" style="16" customWidth="1"/>
    <col min="5649" max="5888" width="8.85546875" style="16"/>
    <col min="5889" max="5889" width="3" style="16" customWidth="1"/>
    <col min="5890" max="5890" width="4.140625" style="16" customWidth="1"/>
    <col min="5891" max="5891" width="54" style="16" customWidth="1"/>
    <col min="5892" max="5892" width="3.7109375" style="16" customWidth="1"/>
    <col min="5893" max="5893" width="90.28515625" style="16" customWidth="1"/>
    <col min="5894" max="5895" width="8.85546875" style="16"/>
    <col min="5896" max="5896" width="15.42578125" style="16" customWidth="1"/>
    <col min="5897" max="5897" width="5.140625" style="16" customWidth="1"/>
    <col min="5898" max="5899" width="8.85546875" style="16"/>
    <col min="5900" max="5900" width="3" style="16" customWidth="1"/>
    <col min="5901" max="5903" width="8.85546875" style="16"/>
    <col min="5904" max="5904" width="7" style="16" customWidth="1"/>
    <col min="5905" max="6144" width="8.85546875" style="16"/>
    <col min="6145" max="6145" width="3" style="16" customWidth="1"/>
    <col min="6146" max="6146" width="4.140625" style="16" customWidth="1"/>
    <col min="6147" max="6147" width="54" style="16" customWidth="1"/>
    <col min="6148" max="6148" width="3.7109375" style="16" customWidth="1"/>
    <col min="6149" max="6149" width="90.28515625" style="16" customWidth="1"/>
    <col min="6150" max="6151" width="8.85546875" style="16"/>
    <col min="6152" max="6152" width="15.42578125" style="16" customWidth="1"/>
    <col min="6153" max="6153" width="5.140625" style="16" customWidth="1"/>
    <col min="6154" max="6155" width="8.85546875" style="16"/>
    <col min="6156" max="6156" width="3" style="16" customWidth="1"/>
    <col min="6157" max="6159" width="8.85546875" style="16"/>
    <col min="6160" max="6160" width="7" style="16" customWidth="1"/>
    <col min="6161" max="6400" width="8.85546875" style="16"/>
    <col min="6401" max="6401" width="3" style="16" customWidth="1"/>
    <col min="6402" max="6402" width="4.140625" style="16" customWidth="1"/>
    <col min="6403" max="6403" width="54" style="16" customWidth="1"/>
    <col min="6404" max="6404" width="3.7109375" style="16" customWidth="1"/>
    <col min="6405" max="6405" width="90.28515625" style="16" customWidth="1"/>
    <col min="6406" max="6407" width="8.85546875" style="16"/>
    <col min="6408" max="6408" width="15.42578125" style="16" customWidth="1"/>
    <col min="6409" max="6409" width="5.140625" style="16" customWidth="1"/>
    <col min="6410" max="6411" width="8.85546875" style="16"/>
    <col min="6412" max="6412" width="3" style="16" customWidth="1"/>
    <col min="6413" max="6415" width="8.85546875" style="16"/>
    <col min="6416" max="6416" width="7" style="16" customWidth="1"/>
    <col min="6417" max="6656" width="8.85546875" style="16"/>
    <col min="6657" max="6657" width="3" style="16" customWidth="1"/>
    <col min="6658" max="6658" width="4.140625" style="16" customWidth="1"/>
    <col min="6659" max="6659" width="54" style="16" customWidth="1"/>
    <col min="6660" max="6660" width="3.7109375" style="16" customWidth="1"/>
    <col min="6661" max="6661" width="90.28515625" style="16" customWidth="1"/>
    <col min="6662" max="6663" width="8.85546875" style="16"/>
    <col min="6664" max="6664" width="15.42578125" style="16" customWidth="1"/>
    <col min="6665" max="6665" width="5.140625" style="16" customWidth="1"/>
    <col min="6666" max="6667" width="8.85546875" style="16"/>
    <col min="6668" max="6668" width="3" style="16" customWidth="1"/>
    <col min="6669" max="6671" width="8.85546875" style="16"/>
    <col min="6672" max="6672" width="7" style="16" customWidth="1"/>
    <col min="6673" max="6912" width="8.85546875" style="16"/>
    <col min="6913" max="6913" width="3" style="16" customWidth="1"/>
    <col min="6914" max="6914" width="4.140625" style="16" customWidth="1"/>
    <col min="6915" max="6915" width="54" style="16" customWidth="1"/>
    <col min="6916" max="6916" width="3.7109375" style="16" customWidth="1"/>
    <col min="6917" max="6917" width="90.28515625" style="16" customWidth="1"/>
    <col min="6918" max="6919" width="8.85546875" style="16"/>
    <col min="6920" max="6920" width="15.42578125" style="16" customWidth="1"/>
    <col min="6921" max="6921" width="5.140625" style="16" customWidth="1"/>
    <col min="6922" max="6923" width="8.85546875" style="16"/>
    <col min="6924" max="6924" width="3" style="16" customWidth="1"/>
    <col min="6925" max="6927" width="8.85546875" style="16"/>
    <col min="6928" max="6928" width="7" style="16" customWidth="1"/>
    <col min="6929" max="7168" width="8.85546875" style="16"/>
    <col min="7169" max="7169" width="3" style="16" customWidth="1"/>
    <col min="7170" max="7170" width="4.140625" style="16" customWidth="1"/>
    <col min="7171" max="7171" width="54" style="16" customWidth="1"/>
    <col min="7172" max="7172" width="3.7109375" style="16" customWidth="1"/>
    <col min="7173" max="7173" width="90.28515625" style="16" customWidth="1"/>
    <col min="7174" max="7175" width="8.85546875" style="16"/>
    <col min="7176" max="7176" width="15.42578125" style="16" customWidth="1"/>
    <col min="7177" max="7177" width="5.140625" style="16" customWidth="1"/>
    <col min="7178" max="7179" width="8.85546875" style="16"/>
    <col min="7180" max="7180" width="3" style="16" customWidth="1"/>
    <col min="7181" max="7183" width="8.85546875" style="16"/>
    <col min="7184" max="7184" width="7" style="16" customWidth="1"/>
    <col min="7185" max="7424" width="8.85546875" style="16"/>
    <col min="7425" max="7425" width="3" style="16" customWidth="1"/>
    <col min="7426" max="7426" width="4.140625" style="16" customWidth="1"/>
    <col min="7427" max="7427" width="54" style="16" customWidth="1"/>
    <col min="7428" max="7428" width="3.7109375" style="16" customWidth="1"/>
    <col min="7429" max="7429" width="90.28515625" style="16" customWidth="1"/>
    <col min="7430" max="7431" width="8.85546875" style="16"/>
    <col min="7432" max="7432" width="15.42578125" style="16" customWidth="1"/>
    <col min="7433" max="7433" width="5.140625" style="16" customWidth="1"/>
    <col min="7434" max="7435" width="8.85546875" style="16"/>
    <col min="7436" max="7436" width="3" style="16" customWidth="1"/>
    <col min="7437" max="7439" width="8.85546875" style="16"/>
    <col min="7440" max="7440" width="7" style="16" customWidth="1"/>
    <col min="7441" max="7680" width="8.85546875" style="16"/>
    <col min="7681" max="7681" width="3" style="16" customWidth="1"/>
    <col min="7682" max="7682" width="4.140625" style="16" customWidth="1"/>
    <col min="7683" max="7683" width="54" style="16" customWidth="1"/>
    <col min="7684" max="7684" width="3.7109375" style="16" customWidth="1"/>
    <col min="7685" max="7685" width="90.28515625" style="16" customWidth="1"/>
    <col min="7686" max="7687" width="8.85546875" style="16"/>
    <col min="7688" max="7688" width="15.42578125" style="16" customWidth="1"/>
    <col min="7689" max="7689" width="5.140625" style="16" customWidth="1"/>
    <col min="7690" max="7691" width="8.85546875" style="16"/>
    <col min="7692" max="7692" width="3" style="16" customWidth="1"/>
    <col min="7693" max="7695" width="8.85546875" style="16"/>
    <col min="7696" max="7696" width="7" style="16" customWidth="1"/>
    <col min="7697" max="7936" width="8.85546875" style="16"/>
    <col min="7937" max="7937" width="3" style="16" customWidth="1"/>
    <col min="7938" max="7938" width="4.140625" style="16" customWidth="1"/>
    <col min="7939" max="7939" width="54" style="16" customWidth="1"/>
    <col min="7940" max="7940" width="3.7109375" style="16" customWidth="1"/>
    <col min="7941" max="7941" width="90.28515625" style="16" customWidth="1"/>
    <col min="7942" max="7943" width="8.85546875" style="16"/>
    <col min="7944" max="7944" width="15.42578125" style="16" customWidth="1"/>
    <col min="7945" max="7945" width="5.140625" style="16" customWidth="1"/>
    <col min="7946" max="7947" width="8.85546875" style="16"/>
    <col min="7948" max="7948" width="3" style="16" customWidth="1"/>
    <col min="7949" max="7951" width="8.85546875" style="16"/>
    <col min="7952" max="7952" width="7" style="16" customWidth="1"/>
    <col min="7953" max="8192" width="8.85546875" style="16"/>
    <col min="8193" max="8193" width="3" style="16" customWidth="1"/>
    <col min="8194" max="8194" width="4.140625" style="16" customWidth="1"/>
    <col min="8195" max="8195" width="54" style="16" customWidth="1"/>
    <col min="8196" max="8196" width="3.7109375" style="16" customWidth="1"/>
    <col min="8197" max="8197" width="90.28515625" style="16" customWidth="1"/>
    <col min="8198" max="8199" width="8.85546875" style="16"/>
    <col min="8200" max="8200" width="15.42578125" style="16" customWidth="1"/>
    <col min="8201" max="8201" width="5.140625" style="16" customWidth="1"/>
    <col min="8202" max="8203" width="8.85546875" style="16"/>
    <col min="8204" max="8204" width="3" style="16" customWidth="1"/>
    <col min="8205" max="8207" width="8.85546875" style="16"/>
    <col min="8208" max="8208" width="7" style="16" customWidth="1"/>
    <col min="8209" max="8448" width="8.85546875" style="16"/>
    <col min="8449" max="8449" width="3" style="16" customWidth="1"/>
    <col min="8450" max="8450" width="4.140625" style="16" customWidth="1"/>
    <col min="8451" max="8451" width="54" style="16" customWidth="1"/>
    <col min="8452" max="8452" width="3.7109375" style="16" customWidth="1"/>
    <col min="8453" max="8453" width="90.28515625" style="16" customWidth="1"/>
    <col min="8454" max="8455" width="8.85546875" style="16"/>
    <col min="8456" max="8456" width="15.42578125" style="16" customWidth="1"/>
    <col min="8457" max="8457" width="5.140625" style="16" customWidth="1"/>
    <col min="8458" max="8459" width="8.85546875" style="16"/>
    <col min="8460" max="8460" width="3" style="16" customWidth="1"/>
    <col min="8461" max="8463" width="8.85546875" style="16"/>
    <col min="8464" max="8464" width="7" style="16" customWidth="1"/>
    <col min="8465" max="8704" width="8.85546875" style="16"/>
    <col min="8705" max="8705" width="3" style="16" customWidth="1"/>
    <col min="8706" max="8706" width="4.140625" style="16" customWidth="1"/>
    <col min="8707" max="8707" width="54" style="16" customWidth="1"/>
    <col min="8708" max="8708" width="3.7109375" style="16" customWidth="1"/>
    <col min="8709" max="8709" width="90.28515625" style="16" customWidth="1"/>
    <col min="8710" max="8711" width="8.85546875" style="16"/>
    <col min="8712" max="8712" width="15.42578125" style="16" customWidth="1"/>
    <col min="8713" max="8713" width="5.140625" style="16" customWidth="1"/>
    <col min="8714" max="8715" width="8.85546875" style="16"/>
    <col min="8716" max="8716" width="3" style="16" customWidth="1"/>
    <col min="8717" max="8719" width="8.85546875" style="16"/>
    <col min="8720" max="8720" width="7" style="16" customWidth="1"/>
    <col min="8721" max="8960" width="8.85546875" style="16"/>
    <col min="8961" max="8961" width="3" style="16" customWidth="1"/>
    <col min="8962" max="8962" width="4.140625" style="16" customWidth="1"/>
    <col min="8963" max="8963" width="54" style="16" customWidth="1"/>
    <col min="8964" max="8964" width="3.7109375" style="16" customWidth="1"/>
    <col min="8965" max="8965" width="90.28515625" style="16" customWidth="1"/>
    <col min="8966" max="8967" width="8.85546875" style="16"/>
    <col min="8968" max="8968" width="15.42578125" style="16" customWidth="1"/>
    <col min="8969" max="8969" width="5.140625" style="16" customWidth="1"/>
    <col min="8970" max="8971" width="8.85546875" style="16"/>
    <col min="8972" max="8972" width="3" style="16" customWidth="1"/>
    <col min="8973" max="8975" width="8.85546875" style="16"/>
    <col min="8976" max="8976" width="7" style="16" customWidth="1"/>
    <col min="8977" max="9216" width="8.85546875" style="16"/>
    <col min="9217" max="9217" width="3" style="16" customWidth="1"/>
    <col min="9218" max="9218" width="4.140625" style="16" customWidth="1"/>
    <col min="9219" max="9219" width="54" style="16" customWidth="1"/>
    <col min="9220" max="9220" width="3.7109375" style="16" customWidth="1"/>
    <col min="9221" max="9221" width="90.28515625" style="16" customWidth="1"/>
    <col min="9222" max="9223" width="8.85546875" style="16"/>
    <col min="9224" max="9224" width="15.42578125" style="16" customWidth="1"/>
    <col min="9225" max="9225" width="5.140625" style="16" customWidth="1"/>
    <col min="9226" max="9227" width="8.85546875" style="16"/>
    <col min="9228" max="9228" width="3" style="16" customWidth="1"/>
    <col min="9229" max="9231" width="8.85546875" style="16"/>
    <col min="9232" max="9232" width="7" style="16" customWidth="1"/>
    <col min="9233" max="9472" width="8.85546875" style="16"/>
    <col min="9473" max="9473" width="3" style="16" customWidth="1"/>
    <col min="9474" max="9474" width="4.140625" style="16" customWidth="1"/>
    <col min="9475" max="9475" width="54" style="16" customWidth="1"/>
    <col min="9476" max="9476" width="3.7109375" style="16" customWidth="1"/>
    <col min="9477" max="9477" width="90.28515625" style="16" customWidth="1"/>
    <col min="9478" max="9479" width="8.85546875" style="16"/>
    <col min="9480" max="9480" width="15.42578125" style="16" customWidth="1"/>
    <col min="9481" max="9481" width="5.140625" style="16" customWidth="1"/>
    <col min="9482" max="9483" width="8.85546875" style="16"/>
    <col min="9484" max="9484" width="3" style="16" customWidth="1"/>
    <col min="9485" max="9487" width="8.85546875" style="16"/>
    <col min="9488" max="9488" width="7" style="16" customWidth="1"/>
    <col min="9489" max="9728" width="8.85546875" style="16"/>
    <col min="9729" max="9729" width="3" style="16" customWidth="1"/>
    <col min="9730" max="9730" width="4.140625" style="16" customWidth="1"/>
    <col min="9731" max="9731" width="54" style="16" customWidth="1"/>
    <col min="9732" max="9732" width="3.7109375" style="16" customWidth="1"/>
    <col min="9733" max="9733" width="90.28515625" style="16" customWidth="1"/>
    <col min="9734" max="9735" width="8.85546875" style="16"/>
    <col min="9736" max="9736" width="15.42578125" style="16" customWidth="1"/>
    <col min="9737" max="9737" width="5.140625" style="16" customWidth="1"/>
    <col min="9738" max="9739" width="8.85546875" style="16"/>
    <col min="9740" max="9740" width="3" style="16" customWidth="1"/>
    <col min="9741" max="9743" width="8.85546875" style="16"/>
    <col min="9744" max="9744" width="7" style="16" customWidth="1"/>
    <col min="9745" max="9984" width="8.85546875" style="16"/>
    <col min="9985" max="9985" width="3" style="16" customWidth="1"/>
    <col min="9986" max="9986" width="4.140625" style="16" customWidth="1"/>
    <col min="9987" max="9987" width="54" style="16" customWidth="1"/>
    <col min="9988" max="9988" width="3.7109375" style="16" customWidth="1"/>
    <col min="9989" max="9989" width="90.28515625" style="16" customWidth="1"/>
    <col min="9990" max="9991" width="8.85546875" style="16"/>
    <col min="9992" max="9992" width="15.42578125" style="16" customWidth="1"/>
    <col min="9993" max="9993" width="5.140625" style="16" customWidth="1"/>
    <col min="9994" max="9995" width="8.85546875" style="16"/>
    <col min="9996" max="9996" width="3" style="16" customWidth="1"/>
    <col min="9997" max="9999" width="8.85546875" style="16"/>
    <col min="10000" max="10000" width="7" style="16" customWidth="1"/>
    <col min="10001" max="10240" width="8.85546875" style="16"/>
    <col min="10241" max="10241" width="3" style="16" customWidth="1"/>
    <col min="10242" max="10242" width="4.140625" style="16" customWidth="1"/>
    <col min="10243" max="10243" width="54" style="16" customWidth="1"/>
    <col min="10244" max="10244" width="3.7109375" style="16" customWidth="1"/>
    <col min="10245" max="10245" width="90.28515625" style="16" customWidth="1"/>
    <col min="10246" max="10247" width="8.85546875" style="16"/>
    <col min="10248" max="10248" width="15.42578125" style="16" customWidth="1"/>
    <col min="10249" max="10249" width="5.140625" style="16" customWidth="1"/>
    <col min="10250" max="10251" width="8.85546875" style="16"/>
    <col min="10252" max="10252" width="3" style="16" customWidth="1"/>
    <col min="10253" max="10255" width="8.85546875" style="16"/>
    <col min="10256" max="10256" width="7" style="16" customWidth="1"/>
    <col min="10257" max="10496" width="8.85546875" style="16"/>
    <col min="10497" max="10497" width="3" style="16" customWidth="1"/>
    <col min="10498" max="10498" width="4.140625" style="16" customWidth="1"/>
    <col min="10499" max="10499" width="54" style="16" customWidth="1"/>
    <col min="10500" max="10500" width="3.7109375" style="16" customWidth="1"/>
    <col min="10501" max="10501" width="90.28515625" style="16" customWidth="1"/>
    <col min="10502" max="10503" width="8.85546875" style="16"/>
    <col min="10504" max="10504" width="15.42578125" style="16" customWidth="1"/>
    <col min="10505" max="10505" width="5.140625" style="16" customWidth="1"/>
    <col min="10506" max="10507" width="8.85546875" style="16"/>
    <col min="10508" max="10508" width="3" style="16" customWidth="1"/>
    <col min="10509" max="10511" width="8.85546875" style="16"/>
    <col min="10512" max="10512" width="7" style="16" customWidth="1"/>
    <col min="10513" max="10752" width="8.85546875" style="16"/>
    <col min="10753" max="10753" width="3" style="16" customWidth="1"/>
    <col min="10754" max="10754" width="4.140625" style="16" customWidth="1"/>
    <col min="10755" max="10755" width="54" style="16" customWidth="1"/>
    <col min="10756" max="10756" width="3.7109375" style="16" customWidth="1"/>
    <col min="10757" max="10757" width="90.28515625" style="16" customWidth="1"/>
    <col min="10758" max="10759" width="8.85546875" style="16"/>
    <col min="10760" max="10760" width="15.42578125" style="16" customWidth="1"/>
    <col min="10761" max="10761" width="5.140625" style="16" customWidth="1"/>
    <col min="10762" max="10763" width="8.85546875" style="16"/>
    <col min="10764" max="10764" width="3" style="16" customWidth="1"/>
    <col min="10765" max="10767" width="8.85546875" style="16"/>
    <col min="10768" max="10768" width="7" style="16" customWidth="1"/>
    <col min="10769" max="11008" width="8.85546875" style="16"/>
    <col min="11009" max="11009" width="3" style="16" customWidth="1"/>
    <col min="11010" max="11010" width="4.140625" style="16" customWidth="1"/>
    <col min="11011" max="11011" width="54" style="16" customWidth="1"/>
    <col min="11012" max="11012" width="3.7109375" style="16" customWidth="1"/>
    <col min="11013" max="11013" width="90.28515625" style="16" customWidth="1"/>
    <col min="11014" max="11015" width="8.85546875" style="16"/>
    <col min="11016" max="11016" width="15.42578125" style="16" customWidth="1"/>
    <col min="11017" max="11017" width="5.140625" style="16" customWidth="1"/>
    <col min="11018" max="11019" width="8.85546875" style="16"/>
    <col min="11020" max="11020" width="3" style="16" customWidth="1"/>
    <col min="11021" max="11023" width="8.85546875" style="16"/>
    <col min="11024" max="11024" width="7" style="16" customWidth="1"/>
    <col min="11025" max="11264" width="8.85546875" style="16"/>
    <col min="11265" max="11265" width="3" style="16" customWidth="1"/>
    <col min="11266" max="11266" width="4.140625" style="16" customWidth="1"/>
    <col min="11267" max="11267" width="54" style="16" customWidth="1"/>
    <col min="11268" max="11268" width="3.7109375" style="16" customWidth="1"/>
    <col min="11269" max="11269" width="90.28515625" style="16" customWidth="1"/>
    <col min="11270" max="11271" width="8.85546875" style="16"/>
    <col min="11272" max="11272" width="15.42578125" style="16" customWidth="1"/>
    <col min="11273" max="11273" width="5.140625" style="16" customWidth="1"/>
    <col min="11274" max="11275" width="8.85546875" style="16"/>
    <col min="11276" max="11276" width="3" style="16" customWidth="1"/>
    <col min="11277" max="11279" width="8.85546875" style="16"/>
    <col min="11280" max="11280" width="7" style="16" customWidth="1"/>
    <col min="11281" max="11520" width="8.85546875" style="16"/>
    <col min="11521" max="11521" width="3" style="16" customWidth="1"/>
    <col min="11522" max="11522" width="4.140625" style="16" customWidth="1"/>
    <col min="11523" max="11523" width="54" style="16" customWidth="1"/>
    <col min="11524" max="11524" width="3.7109375" style="16" customWidth="1"/>
    <col min="11525" max="11525" width="90.28515625" style="16" customWidth="1"/>
    <col min="11526" max="11527" width="8.85546875" style="16"/>
    <col min="11528" max="11528" width="15.42578125" style="16" customWidth="1"/>
    <col min="11529" max="11529" width="5.140625" style="16" customWidth="1"/>
    <col min="11530" max="11531" width="8.85546875" style="16"/>
    <col min="11532" max="11532" width="3" style="16" customWidth="1"/>
    <col min="11533" max="11535" width="8.85546875" style="16"/>
    <col min="11536" max="11536" width="7" style="16" customWidth="1"/>
    <col min="11537" max="11776" width="8.85546875" style="16"/>
    <col min="11777" max="11777" width="3" style="16" customWidth="1"/>
    <col min="11778" max="11778" width="4.140625" style="16" customWidth="1"/>
    <col min="11779" max="11779" width="54" style="16" customWidth="1"/>
    <col min="11780" max="11780" width="3.7109375" style="16" customWidth="1"/>
    <col min="11781" max="11781" width="90.28515625" style="16" customWidth="1"/>
    <col min="11782" max="11783" width="8.85546875" style="16"/>
    <col min="11784" max="11784" width="15.42578125" style="16" customWidth="1"/>
    <col min="11785" max="11785" width="5.140625" style="16" customWidth="1"/>
    <col min="11786" max="11787" width="8.85546875" style="16"/>
    <col min="11788" max="11788" width="3" style="16" customWidth="1"/>
    <col min="11789" max="11791" width="8.85546875" style="16"/>
    <col min="11792" max="11792" width="7" style="16" customWidth="1"/>
    <col min="11793" max="12032" width="8.85546875" style="16"/>
    <col min="12033" max="12033" width="3" style="16" customWidth="1"/>
    <col min="12034" max="12034" width="4.140625" style="16" customWidth="1"/>
    <col min="12035" max="12035" width="54" style="16" customWidth="1"/>
    <col min="12036" max="12036" width="3.7109375" style="16" customWidth="1"/>
    <col min="12037" max="12037" width="90.28515625" style="16" customWidth="1"/>
    <col min="12038" max="12039" width="8.85546875" style="16"/>
    <col min="12040" max="12040" width="15.42578125" style="16" customWidth="1"/>
    <col min="12041" max="12041" width="5.140625" style="16" customWidth="1"/>
    <col min="12042" max="12043" width="8.85546875" style="16"/>
    <col min="12044" max="12044" width="3" style="16" customWidth="1"/>
    <col min="12045" max="12047" width="8.85546875" style="16"/>
    <col min="12048" max="12048" width="7" style="16" customWidth="1"/>
    <col min="12049" max="12288" width="8.85546875" style="16"/>
    <col min="12289" max="12289" width="3" style="16" customWidth="1"/>
    <col min="12290" max="12290" width="4.140625" style="16" customWidth="1"/>
    <col min="12291" max="12291" width="54" style="16" customWidth="1"/>
    <col min="12292" max="12292" width="3.7109375" style="16" customWidth="1"/>
    <col min="12293" max="12293" width="90.28515625" style="16" customWidth="1"/>
    <col min="12294" max="12295" width="8.85546875" style="16"/>
    <col min="12296" max="12296" width="15.42578125" style="16" customWidth="1"/>
    <col min="12297" max="12297" width="5.140625" style="16" customWidth="1"/>
    <col min="12298" max="12299" width="8.85546875" style="16"/>
    <col min="12300" max="12300" width="3" style="16" customWidth="1"/>
    <col min="12301" max="12303" width="8.85546875" style="16"/>
    <col min="12304" max="12304" width="7" style="16" customWidth="1"/>
    <col min="12305" max="12544" width="8.85546875" style="16"/>
    <col min="12545" max="12545" width="3" style="16" customWidth="1"/>
    <col min="12546" max="12546" width="4.140625" style="16" customWidth="1"/>
    <col min="12547" max="12547" width="54" style="16" customWidth="1"/>
    <col min="12548" max="12548" width="3.7109375" style="16" customWidth="1"/>
    <col min="12549" max="12549" width="90.28515625" style="16" customWidth="1"/>
    <col min="12550" max="12551" width="8.85546875" style="16"/>
    <col min="12552" max="12552" width="15.42578125" style="16" customWidth="1"/>
    <col min="12553" max="12553" width="5.140625" style="16" customWidth="1"/>
    <col min="12554" max="12555" width="8.85546875" style="16"/>
    <col min="12556" max="12556" width="3" style="16" customWidth="1"/>
    <col min="12557" max="12559" width="8.85546875" style="16"/>
    <col min="12560" max="12560" width="7" style="16" customWidth="1"/>
    <col min="12561" max="12800" width="8.85546875" style="16"/>
    <col min="12801" max="12801" width="3" style="16" customWidth="1"/>
    <col min="12802" max="12802" width="4.140625" style="16" customWidth="1"/>
    <col min="12803" max="12803" width="54" style="16" customWidth="1"/>
    <col min="12804" max="12804" width="3.7109375" style="16" customWidth="1"/>
    <col min="12805" max="12805" width="90.28515625" style="16" customWidth="1"/>
    <col min="12806" max="12807" width="8.85546875" style="16"/>
    <col min="12808" max="12808" width="15.42578125" style="16" customWidth="1"/>
    <col min="12809" max="12809" width="5.140625" style="16" customWidth="1"/>
    <col min="12810" max="12811" width="8.85546875" style="16"/>
    <col min="12812" max="12812" width="3" style="16" customWidth="1"/>
    <col min="12813" max="12815" width="8.85546875" style="16"/>
    <col min="12816" max="12816" width="7" style="16" customWidth="1"/>
    <col min="12817" max="13056" width="8.85546875" style="16"/>
    <col min="13057" max="13057" width="3" style="16" customWidth="1"/>
    <col min="13058" max="13058" width="4.140625" style="16" customWidth="1"/>
    <col min="13059" max="13059" width="54" style="16" customWidth="1"/>
    <col min="13060" max="13060" width="3.7109375" style="16" customWidth="1"/>
    <col min="13061" max="13061" width="90.28515625" style="16" customWidth="1"/>
    <col min="13062" max="13063" width="8.85546875" style="16"/>
    <col min="13064" max="13064" width="15.42578125" style="16" customWidth="1"/>
    <col min="13065" max="13065" width="5.140625" style="16" customWidth="1"/>
    <col min="13066" max="13067" width="8.85546875" style="16"/>
    <col min="13068" max="13068" width="3" style="16" customWidth="1"/>
    <col min="13069" max="13071" width="8.85546875" style="16"/>
    <col min="13072" max="13072" width="7" style="16" customWidth="1"/>
    <col min="13073" max="13312" width="8.85546875" style="16"/>
    <col min="13313" max="13313" width="3" style="16" customWidth="1"/>
    <col min="13314" max="13314" width="4.140625" style="16" customWidth="1"/>
    <col min="13315" max="13315" width="54" style="16" customWidth="1"/>
    <col min="13316" max="13316" width="3.7109375" style="16" customWidth="1"/>
    <col min="13317" max="13317" width="90.28515625" style="16" customWidth="1"/>
    <col min="13318" max="13319" width="8.85546875" style="16"/>
    <col min="13320" max="13320" width="15.42578125" style="16" customWidth="1"/>
    <col min="13321" max="13321" width="5.140625" style="16" customWidth="1"/>
    <col min="13322" max="13323" width="8.85546875" style="16"/>
    <col min="13324" max="13324" width="3" style="16" customWidth="1"/>
    <col min="13325" max="13327" width="8.85546875" style="16"/>
    <col min="13328" max="13328" width="7" style="16" customWidth="1"/>
    <col min="13329" max="13568" width="8.85546875" style="16"/>
    <col min="13569" max="13569" width="3" style="16" customWidth="1"/>
    <col min="13570" max="13570" width="4.140625" style="16" customWidth="1"/>
    <col min="13571" max="13571" width="54" style="16" customWidth="1"/>
    <col min="13572" max="13572" width="3.7109375" style="16" customWidth="1"/>
    <col min="13573" max="13573" width="90.28515625" style="16" customWidth="1"/>
    <col min="13574" max="13575" width="8.85546875" style="16"/>
    <col min="13576" max="13576" width="15.42578125" style="16" customWidth="1"/>
    <col min="13577" max="13577" width="5.140625" style="16" customWidth="1"/>
    <col min="13578" max="13579" width="8.85546875" style="16"/>
    <col min="13580" max="13580" width="3" style="16" customWidth="1"/>
    <col min="13581" max="13583" width="8.85546875" style="16"/>
    <col min="13584" max="13584" width="7" style="16" customWidth="1"/>
    <col min="13585" max="13824" width="8.85546875" style="16"/>
    <col min="13825" max="13825" width="3" style="16" customWidth="1"/>
    <col min="13826" max="13826" width="4.140625" style="16" customWidth="1"/>
    <col min="13827" max="13827" width="54" style="16" customWidth="1"/>
    <col min="13828" max="13828" width="3.7109375" style="16" customWidth="1"/>
    <col min="13829" max="13829" width="90.28515625" style="16" customWidth="1"/>
    <col min="13830" max="13831" width="8.85546875" style="16"/>
    <col min="13832" max="13832" width="15.42578125" style="16" customWidth="1"/>
    <col min="13833" max="13833" width="5.140625" style="16" customWidth="1"/>
    <col min="13834" max="13835" width="8.85546875" style="16"/>
    <col min="13836" max="13836" width="3" style="16" customWidth="1"/>
    <col min="13837" max="13839" width="8.85546875" style="16"/>
    <col min="13840" max="13840" width="7" style="16" customWidth="1"/>
    <col min="13841" max="14080" width="8.85546875" style="16"/>
    <col min="14081" max="14081" width="3" style="16" customWidth="1"/>
    <col min="14082" max="14082" width="4.140625" style="16" customWidth="1"/>
    <col min="14083" max="14083" width="54" style="16" customWidth="1"/>
    <col min="14084" max="14084" width="3.7109375" style="16" customWidth="1"/>
    <col min="14085" max="14085" width="90.28515625" style="16" customWidth="1"/>
    <col min="14086" max="14087" width="8.85546875" style="16"/>
    <col min="14088" max="14088" width="15.42578125" style="16" customWidth="1"/>
    <col min="14089" max="14089" width="5.140625" style="16" customWidth="1"/>
    <col min="14090" max="14091" width="8.85546875" style="16"/>
    <col min="14092" max="14092" width="3" style="16" customWidth="1"/>
    <col min="14093" max="14095" width="8.85546875" style="16"/>
    <col min="14096" max="14096" width="7" style="16" customWidth="1"/>
    <col min="14097" max="14336" width="8.85546875" style="16"/>
    <col min="14337" max="14337" width="3" style="16" customWidth="1"/>
    <col min="14338" max="14338" width="4.140625" style="16" customWidth="1"/>
    <col min="14339" max="14339" width="54" style="16" customWidth="1"/>
    <col min="14340" max="14340" width="3.7109375" style="16" customWidth="1"/>
    <col min="14341" max="14341" width="90.28515625" style="16" customWidth="1"/>
    <col min="14342" max="14343" width="8.85546875" style="16"/>
    <col min="14344" max="14344" width="15.42578125" style="16" customWidth="1"/>
    <col min="14345" max="14345" width="5.140625" style="16" customWidth="1"/>
    <col min="14346" max="14347" width="8.85546875" style="16"/>
    <col min="14348" max="14348" width="3" style="16" customWidth="1"/>
    <col min="14349" max="14351" width="8.85546875" style="16"/>
    <col min="14352" max="14352" width="7" style="16" customWidth="1"/>
    <col min="14353" max="14592" width="8.85546875" style="16"/>
    <col min="14593" max="14593" width="3" style="16" customWidth="1"/>
    <col min="14594" max="14594" width="4.140625" style="16" customWidth="1"/>
    <col min="14595" max="14595" width="54" style="16" customWidth="1"/>
    <col min="14596" max="14596" width="3.7109375" style="16" customWidth="1"/>
    <col min="14597" max="14597" width="90.28515625" style="16" customWidth="1"/>
    <col min="14598" max="14599" width="8.85546875" style="16"/>
    <col min="14600" max="14600" width="15.42578125" style="16" customWidth="1"/>
    <col min="14601" max="14601" width="5.140625" style="16" customWidth="1"/>
    <col min="14602" max="14603" width="8.85546875" style="16"/>
    <col min="14604" max="14604" width="3" style="16" customWidth="1"/>
    <col min="14605" max="14607" width="8.85546875" style="16"/>
    <col min="14608" max="14608" width="7" style="16" customWidth="1"/>
    <col min="14609" max="14848" width="8.85546875" style="16"/>
    <col min="14849" max="14849" width="3" style="16" customWidth="1"/>
    <col min="14850" max="14850" width="4.140625" style="16" customWidth="1"/>
    <col min="14851" max="14851" width="54" style="16" customWidth="1"/>
    <col min="14852" max="14852" width="3.7109375" style="16" customWidth="1"/>
    <col min="14853" max="14853" width="90.28515625" style="16" customWidth="1"/>
    <col min="14854" max="14855" width="8.85546875" style="16"/>
    <col min="14856" max="14856" width="15.42578125" style="16" customWidth="1"/>
    <col min="14857" max="14857" width="5.140625" style="16" customWidth="1"/>
    <col min="14858" max="14859" width="8.85546875" style="16"/>
    <col min="14860" max="14860" width="3" style="16" customWidth="1"/>
    <col min="14861" max="14863" width="8.85546875" style="16"/>
    <col min="14864" max="14864" width="7" style="16" customWidth="1"/>
    <col min="14865" max="15104" width="8.85546875" style="16"/>
    <col min="15105" max="15105" width="3" style="16" customWidth="1"/>
    <col min="15106" max="15106" width="4.140625" style="16" customWidth="1"/>
    <col min="15107" max="15107" width="54" style="16" customWidth="1"/>
    <col min="15108" max="15108" width="3.7109375" style="16" customWidth="1"/>
    <col min="15109" max="15109" width="90.28515625" style="16" customWidth="1"/>
    <col min="15110" max="15111" width="8.85546875" style="16"/>
    <col min="15112" max="15112" width="15.42578125" style="16" customWidth="1"/>
    <col min="15113" max="15113" width="5.140625" style="16" customWidth="1"/>
    <col min="15114" max="15115" width="8.85546875" style="16"/>
    <col min="15116" max="15116" width="3" style="16" customWidth="1"/>
    <col min="15117" max="15119" width="8.85546875" style="16"/>
    <col min="15120" max="15120" width="7" style="16" customWidth="1"/>
    <col min="15121" max="15360" width="8.85546875" style="16"/>
    <col min="15361" max="15361" width="3" style="16" customWidth="1"/>
    <col min="15362" max="15362" width="4.140625" style="16" customWidth="1"/>
    <col min="15363" max="15363" width="54" style="16" customWidth="1"/>
    <col min="15364" max="15364" width="3.7109375" style="16" customWidth="1"/>
    <col min="15365" max="15365" width="90.28515625" style="16" customWidth="1"/>
    <col min="15366" max="15367" width="8.85546875" style="16"/>
    <col min="15368" max="15368" width="15.42578125" style="16" customWidth="1"/>
    <col min="15369" max="15369" width="5.140625" style="16" customWidth="1"/>
    <col min="15370" max="15371" width="8.85546875" style="16"/>
    <col min="15372" max="15372" width="3" style="16" customWidth="1"/>
    <col min="15373" max="15375" width="8.85546875" style="16"/>
    <col min="15376" max="15376" width="7" style="16" customWidth="1"/>
    <col min="15377" max="15616" width="8.85546875" style="16"/>
    <col min="15617" max="15617" width="3" style="16" customWidth="1"/>
    <col min="15618" max="15618" width="4.140625" style="16" customWidth="1"/>
    <col min="15619" max="15619" width="54" style="16" customWidth="1"/>
    <col min="15620" max="15620" width="3.7109375" style="16" customWidth="1"/>
    <col min="15621" max="15621" width="90.28515625" style="16" customWidth="1"/>
    <col min="15622" max="15623" width="8.85546875" style="16"/>
    <col min="15624" max="15624" width="15.42578125" style="16" customWidth="1"/>
    <col min="15625" max="15625" width="5.140625" style="16" customWidth="1"/>
    <col min="15626" max="15627" width="8.85546875" style="16"/>
    <col min="15628" max="15628" width="3" style="16" customWidth="1"/>
    <col min="15629" max="15631" width="8.85546875" style="16"/>
    <col min="15632" max="15632" width="7" style="16" customWidth="1"/>
    <col min="15633" max="15872" width="8.85546875" style="16"/>
    <col min="15873" max="15873" width="3" style="16" customWidth="1"/>
    <col min="15874" max="15874" width="4.140625" style="16" customWidth="1"/>
    <col min="15875" max="15875" width="54" style="16" customWidth="1"/>
    <col min="15876" max="15876" width="3.7109375" style="16" customWidth="1"/>
    <col min="15877" max="15877" width="90.28515625" style="16" customWidth="1"/>
    <col min="15878" max="15879" width="8.85546875" style="16"/>
    <col min="15880" max="15880" width="15.42578125" style="16" customWidth="1"/>
    <col min="15881" max="15881" width="5.140625" style="16" customWidth="1"/>
    <col min="15882" max="15883" width="8.85546875" style="16"/>
    <col min="15884" max="15884" width="3" style="16" customWidth="1"/>
    <col min="15885" max="15887" width="8.85546875" style="16"/>
    <col min="15888" max="15888" width="7" style="16" customWidth="1"/>
    <col min="15889" max="16128" width="8.85546875" style="16"/>
    <col min="16129" max="16129" width="3" style="16" customWidth="1"/>
    <col min="16130" max="16130" width="4.140625" style="16" customWidth="1"/>
    <col min="16131" max="16131" width="54" style="16" customWidth="1"/>
    <col min="16132" max="16132" width="3.7109375" style="16" customWidth="1"/>
    <col min="16133" max="16133" width="90.28515625" style="16" customWidth="1"/>
    <col min="16134" max="16135" width="8.85546875" style="16"/>
    <col min="16136" max="16136" width="15.42578125" style="16" customWidth="1"/>
    <col min="16137" max="16137" width="5.140625" style="16" customWidth="1"/>
    <col min="16138" max="16139" width="8.85546875" style="16"/>
    <col min="16140" max="16140" width="3" style="16" customWidth="1"/>
    <col min="16141" max="16143" width="8.85546875" style="16"/>
    <col min="16144" max="16144" width="7" style="16" customWidth="1"/>
    <col min="16145" max="16384" width="8.85546875" style="16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17"/>
      <c r="C40" s="1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409FE-605B-4A44-9F03-56A19C61C697}">
  <dimension ref="A1:AM126"/>
  <sheetViews>
    <sheetView tabSelected="1" workbookViewId="0">
      <pane xSplit="6" ySplit="1" topLeftCell="G85" activePane="bottomRight" state="frozenSplit"/>
      <selection pane="topRight" activeCell="G1" sqref="G1"/>
      <selection pane="bottomLeft" activeCell="A2" sqref="A2"/>
      <selection pane="bottomRight"/>
    </sheetView>
  </sheetViews>
  <sheetFormatPr defaultRowHeight="15" x14ac:dyDescent="0.25"/>
  <cols>
    <col min="1" max="5" width="3" style="14" customWidth="1"/>
    <col min="6" max="6" width="31" style="14" customWidth="1"/>
    <col min="7" max="7" width="8.7109375" style="15" bestFit="1" customWidth="1"/>
    <col min="8" max="8" width="2.28515625" style="15" customWidth="1"/>
    <col min="9" max="9" width="8.7109375" style="15" bestFit="1" customWidth="1"/>
    <col min="10" max="10" width="2.28515625" style="15" customWidth="1"/>
    <col min="11" max="11" width="8.7109375" style="15" bestFit="1" customWidth="1"/>
    <col min="12" max="12" width="2.28515625" style="15" customWidth="1"/>
    <col min="13" max="13" width="8.7109375" style="15" bestFit="1" customWidth="1"/>
    <col min="14" max="14" width="2.28515625" style="15" customWidth="1"/>
    <col min="15" max="15" width="8.7109375" style="15" bestFit="1" customWidth="1"/>
    <col min="16" max="16" width="2.28515625" style="15" customWidth="1"/>
    <col min="17" max="17" width="8.7109375" style="15" bestFit="1" customWidth="1"/>
    <col min="18" max="18" width="2.28515625" style="15" customWidth="1"/>
    <col min="19" max="19" width="8.85546875" style="15" bestFit="1" customWidth="1"/>
    <col min="20" max="20" width="2.28515625" style="15" customWidth="1"/>
    <col min="21" max="21" width="8.7109375" style="15" bestFit="1" customWidth="1"/>
    <col min="22" max="22" width="2.28515625" style="15" customWidth="1"/>
    <col min="23" max="23" width="8.7109375" style="15" bestFit="1" customWidth="1"/>
    <col min="24" max="24" width="2.28515625" style="15" customWidth="1"/>
    <col min="25" max="25" width="8.85546875" style="15" bestFit="1" customWidth="1"/>
    <col min="26" max="26" width="2.28515625" style="15" customWidth="1"/>
    <col min="27" max="27" width="8.7109375" style="15" bestFit="1" customWidth="1"/>
    <col min="28" max="28" width="2.28515625" style="15" customWidth="1"/>
    <col min="29" max="29" width="8.7109375" style="15" bestFit="1" customWidth="1"/>
    <col min="30" max="30" width="2.28515625" style="15" customWidth="1"/>
    <col min="31" max="31" width="8.7109375" style="15" bestFit="1" customWidth="1"/>
    <col min="32" max="32" width="2.28515625" style="15" customWidth="1"/>
    <col min="33" max="33" width="8.7109375" style="15" bestFit="1" customWidth="1"/>
    <col min="34" max="34" width="2.28515625" style="15" customWidth="1"/>
    <col min="35" max="35" width="8.7109375" style="15" bestFit="1" customWidth="1"/>
    <col min="36" max="36" width="2.28515625" style="15" customWidth="1"/>
    <col min="37" max="37" width="8.7109375" style="15" bestFit="1" customWidth="1"/>
    <col min="38" max="38" width="2.28515625" style="15" customWidth="1"/>
    <col min="39" max="39" width="10" style="15" bestFit="1" customWidth="1"/>
  </cols>
  <sheetData>
    <row r="1" spans="1:39" s="13" customFormat="1" ht="15.75" thickBot="1" x14ac:dyDescent="0.3">
      <c r="A1" s="10"/>
      <c r="B1" s="10"/>
      <c r="C1" s="10"/>
      <c r="D1" s="10"/>
      <c r="E1" s="10"/>
      <c r="F1" s="10"/>
      <c r="G1" s="11" t="s">
        <v>0</v>
      </c>
      <c r="H1" s="12"/>
      <c r="I1" s="11" t="s">
        <v>1</v>
      </c>
      <c r="J1" s="12"/>
      <c r="K1" s="11" t="s">
        <v>2</v>
      </c>
      <c r="L1" s="12"/>
      <c r="M1" s="11" t="s">
        <v>3</v>
      </c>
      <c r="N1" s="12"/>
      <c r="O1" s="11" t="s">
        <v>4</v>
      </c>
      <c r="P1" s="12"/>
      <c r="Q1" s="11" t="s">
        <v>5</v>
      </c>
      <c r="R1" s="12"/>
      <c r="S1" s="11" t="s">
        <v>6</v>
      </c>
      <c r="T1" s="12"/>
      <c r="U1" s="11" t="s">
        <v>7</v>
      </c>
      <c r="V1" s="12"/>
      <c r="W1" s="11" t="s">
        <v>8</v>
      </c>
      <c r="X1" s="12"/>
      <c r="Y1" s="11" t="s">
        <v>9</v>
      </c>
      <c r="Z1" s="12"/>
      <c r="AA1" s="11" t="s">
        <v>10</v>
      </c>
      <c r="AB1" s="12"/>
      <c r="AC1" s="11" t="s">
        <v>11</v>
      </c>
      <c r="AD1" s="12"/>
      <c r="AE1" s="11" t="s">
        <v>12</v>
      </c>
      <c r="AF1" s="12"/>
      <c r="AG1" s="11" t="s">
        <v>13</v>
      </c>
      <c r="AH1" s="12"/>
      <c r="AI1" s="11" t="s">
        <v>14</v>
      </c>
      <c r="AJ1" s="12"/>
      <c r="AK1" s="11" t="s">
        <v>15</v>
      </c>
      <c r="AL1" s="12"/>
      <c r="AM1" s="11" t="s">
        <v>16</v>
      </c>
    </row>
    <row r="2" spans="1:39" ht="15.75" thickTop="1" x14ac:dyDescent="0.25">
      <c r="A2" s="1"/>
      <c r="B2" s="1" t="s">
        <v>17</v>
      </c>
      <c r="C2" s="1"/>
      <c r="D2" s="1"/>
      <c r="E2" s="1"/>
      <c r="F2" s="1"/>
      <c r="G2" s="2"/>
      <c r="H2" s="3"/>
      <c r="I2" s="2"/>
      <c r="J2" s="3"/>
      <c r="K2" s="2"/>
      <c r="L2" s="3"/>
      <c r="M2" s="2"/>
      <c r="N2" s="3"/>
      <c r="O2" s="2"/>
      <c r="P2" s="3"/>
      <c r="Q2" s="2"/>
      <c r="R2" s="3"/>
      <c r="S2" s="2"/>
      <c r="T2" s="3"/>
      <c r="U2" s="2"/>
      <c r="V2" s="3"/>
      <c r="W2" s="2"/>
      <c r="X2" s="3"/>
      <c r="Y2" s="2"/>
      <c r="Z2" s="3"/>
      <c r="AA2" s="2"/>
      <c r="AB2" s="3"/>
      <c r="AC2" s="2"/>
      <c r="AD2" s="3"/>
      <c r="AE2" s="2"/>
      <c r="AF2" s="3"/>
      <c r="AG2" s="2"/>
      <c r="AH2" s="3"/>
      <c r="AI2" s="2"/>
      <c r="AJ2" s="3"/>
      <c r="AK2" s="2"/>
      <c r="AL2" s="3"/>
      <c r="AM2" s="2"/>
    </row>
    <row r="3" spans="1:39" x14ac:dyDescent="0.25">
      <c r="A3" s="1"/>
      <c r="B3" s="1"/>
      <c r="C3" s="1"/>
      <c r="D3" s="1" t="s">
        <v>18</v>
      </c>
      <c r="E3" s="1"/>
      <c r="F3" s="1"/>
      <c r="G3" s="2"/>
      <c r="H3" s="3"/>
      <c r="I3" s="2"/>
      <c r="J3" s="3"/>
      <c r="K3" s="2"/>
      <c r="L3" s="3"/>
      <c r="M3" s="2"/>
      <c r="N3" s="3"/>
      <c r="O3" s="2"/>
      <c r="P3" s="3"/>
      <c r="Q3" s="2"/>
      <c r="R3" s="3"/>
      <c r="S3" s="2"/>
      <c r="T3" s="3"/>
      <c r="U3" s="2"/>
      <c r="V3" s="3"/>
      <c r="W3" s="2"/>
      <c r="X3" s="3"/>
      <c r="Y3" s="2"/>
      <c r="Z3" s="3"/>
      <c r="AA3" s="2"/>
      <c r="AB3" s="3"/>
      <c r="AC3" s="2"/>
      <c r="AD3" s="3"/>
      <c r="AE3" s="2"/>
      <c r="AF3" s="3"/>
      <c r="AG3" s="2"/>
      <c r="AH3" s="3"/>
      <c r="AI3" s="2"/>
      <c r="AJ3" s="3"/>
      <c r="AK3" s="2"/>
      <c r="AL3" s="3"/>
      <c r="AM3" s="2"/>
    </row>
    <row r="4" spans="1:39" x14ac:dyDescent="0.25">
      <c r="A4" s="1"/>
      <c r="B4" s="1"/>
      <c r="C4" s="1"/>
      <c r="D4" s="1"/>
      <c r="E4" s="1" t="s">
        <v>19</v>
      </c>
      <c r="F4" s="1"/>
      <c r="G4" s="2">
        <v>0</v>
      </c>
      <c r="H4" s="3"/>
      <c r="I4" s="2">
        <v>0</v>
      </c>
      <c r="J4" s="3"/>
      <c r="K4" s="2">
        <v>0</v>
      </c>
      <c r="L4" s="3"/>
      <c r="M4" s="2">
        <v>0</v>
      </c>
      <c r="N4" s="3"/>
      <c r="O4" s="2">
        <v>0</v>
      </c>
      <c r="P4" s="3"/>
      <c r="Q4" s="2">
        <v>0</v>
      </c>
      <c r="R4" s="3"/>
      <c r="S4" s="2">
        <v>167.87</v>
      </c>
      <c r="T4" s="3"/>
      <c r="U4" s="2">
        <v>0</v>
      </c>
      <c r="V4" s="3"/>
      <c r="W4" s="2">
        <v>0</v>
      </c>
      <c r="X4" s="3"/>
      <c r="Y4" s="2">
        <v>0</v>
      </c>
      <c r="Z4" s="3"/>
      <c r="AA4" s="2">
        <v>6.79</v>
      </c>
      <c r="AB4" s="3"/>
      <c r="AC4" s="2">
        <v>0</v>
      </c>
      <c r="AD4" s="3"/>
      <c r="AE4" s="2">
        <v>0</v>
      </c>
      <c r="AF4" s="3"/>
      <c r="AG4" s="2">
        <v>49.19</v>
      </c>
      <c r="AH4" s="3"/>
      <c r="AI4" s="2">
        <v>2051.67</v>
      </c>
      <c r="AJ4" s="3"/>
      <c r="AK4" s="2">
        <v>342.14</v>
      </c>
      <c r="AL4" s="3"/>
      <c r="AM4" s="2">
        <f>ROUND(SUM(G4:AK4),5)</f>
        <v>2617.66</v>
      </c>
    </row>
    <row r="5" spans="1:39" x14ac:dyDescent="0.25">
      <c r="A5" s="1"/>
      <c r="B5" s="1"/>
      <c r="C5" s="1"/>
      <c r="D5" s="1"/>
      <c r="E5" s="1" t="s">
        <v>20</v>
      </c>
      <c r="F5" s="1"/>
      <c r="G5" s="2">
        <v>20250</v>
      </c>
      <c r="H5" s="3"/>
      <c r="I5" s="2">
        <v>20925</v>
      </c>
      <c r="J5" s="3"/>
      <c r="K5" s="2">
        <v>20925</v>
      </c>
      <c r="L5" s="3"/>
      <c r="M5" s="2">
        <v>18000</v>
      </c>
      <c r="N5" s="3"/>
      <c r="O5" s="2">
        <v>20700</v>
      </c>
      <c r="P5" s="3"/>
      <c r="Q5" s="2">
        <v>13500</v>
      </c>
      <c r="R5" s="3"/>
      <c r="S5" s="2">
        <v>13950</v>
      </c>
      <c r="T5" s="3"/>
      <c r="U5" s="2">
        <v>13500</v>
      </c>
      <c r="V5" s="3"/>
      <c r="W5" s="2">
        <v>13950</v>
      </c>
      <c r="X5" s="3"/>
      <c r="Y5" s="2">
        <v>22785</v>
      </c>
      <c r="Z5" s="3"/>
      <c r="AA5" s="2">
        <v>22415</v>
      </c>
      <c r="AB5" s="3"/>
      <c r="AC5" s="2">
        <v>15810</v>
      </c>
      <c r="AD5" s="3"/>
      <c r="AE5" s="2">
        <v>22695</v>
      </c>
      <c r="AF5" s="3"/>
      <c r="AG5" s="2">
        <v>23715</v>
      </c>
      <c r="AH5" s="3"/>
      <c r="AI5" s="2">
        <v>15810</v>
      </c>
      <c r="AJ5" s="3"/>
      <c r="AK5" s="2">
        <v>14280</v>
      </c>
      <c r="AL5" s="3"/>
      <c r="AM5" s="2">
        <f>ROUND(SUM(G5:AK5),5)</f>
        <v>293210</v>
      </c>
    </row>
    <row r="6" spans="1:39" x14ac:dyDescent="0.25">
      <c r="A6" s="1"/>
      <c r="B6" s="1"/>
      <c r="C6" s="1"/>
      <c r="D6" s="1"/>
      <c r="E6" s="1" t="s">
        <v>21</v>
      </c>
      <c r="F6" s="1"/>
      <c r="G6" s="2">
        <v>87869.31</v>
      </c>
      <c r="H6" s="3"/>
      <c r="I6" s="2">
        <v>100632.45</v>
      </c>
      <c r="J6" s="3"/>
      <c r="K6" s="2">
        <v>100595.46</v>
      </c>
      <c r="L6" s="3"/>
      <c r="M6" s="2">
        <v>79051.7</v>
      </c>
      <c r="N6" s="3"/>
      <c r="O6" s="2">
        <v>77140.56</v>
      </c>
      <c r="P6" s="3"/>
      <c r="Q6" s="2">
        <v>83116.53</v>
      </c>
      <c r="R6" s="3"/>
      <c r="S6" s="2">
        <v>92216.88</v>
      </c>
      <c r="T6" s="3"/>
      <c r="U6" s="2">
        <v>84936.6</v>
      </c>
      <c r="V6" s="3"/>
      <c r="W6" s="2">
        <v>126165.69</v>
      </c>
      <c r="X6" s="3"/>
      <c r="Y6" s="2">
        <v>113985.76</v>
      </c>
      <c r="Z6" s="3"/>
      <c r="AA6" s="2">
        <v>108700.13</v>
      </c>
      <c r="AB6" s="3"/>
      <c r="AC6" s="2">
        <v>92396.160000000003</v>
      </c>
      <c r="AD6" s="3"/>
      <c r="AE6" s="2">
        <v>77210.679999999993</v>
      </c>
      <c r="AF6" s="3"/>
      <c r="AG6" s="2">
        <v>63094.6</v>
      </c>
      <c r="AH6" s="3"/>
      <c r="AI6" s="2">
        <v>59321.52</v>
      </c>
      <c r="AJ6" s="3"/>
      <c r="AK6" s="2">
        <v>99468.93</v>
      </c>
      <c r="AL6" s="3"/>
      <c r="AM6" s="2">
        <f>ROUND(SUM(G6:AK6),5)</f>
        <v>1445902.96</v>
      </c>
    </row>
    <row r="7" spans="1:39" x14ac:dyDescent="0.25">
      <c r="A7" s="1"/>
      <c r="B7" s="1"/>
      <c r="C7" s="1"/>
      <c r="D7" s="1"/>
      <c r="E7" s="1" t="s">
        <v>22</v>
      </c>
      <c r="F7" s="1"/>
      <c r="G7" s="2">
        <v>345422.93</v>
      </c>
      <c r="H7" s="3"/>
      <c r="I7" s="2">
        <v>364404.01</v>
      </c>
      <c r="J7" s="3"/>
      <c r="K7" s="2">
        <v>370934.9</v>
      </c>
      <c r="L7" s="3"/>
      <c r="M7" s="2">
        <v>354255.86</v>
      </c>
      <c r="N7" s="3"/>
      <c r="O7" s="2">
        <v>387613.94</v>
      </c>
      <c r="P7" s="3"/>
      <c r="Q7" s="2">
        <v>454613.04</v>
      </c>
      <c r="R7" s="3"/>
      <c r="S7" s="2">
        <v>444703.77</v>
      </c>
      <c r="T7" s="3"/>
      <c r="U7" s="2">
        <v>435603.42</v>
      </c>
      <c r="V7" s="3"/>
      <c r="W7" s="2">
        <v>503283.9</v>
      </c>
      <c r="X7" s="3"/>
      <c r="Y7" s="2">
        <v>480762.52</v>
      </c>
      <c r="Z7" s="3"/>
      <c r="AA7" s="2">
        <v>488346.25</v>
      </c>
      <c r="AB7" s="3"/>
      <c r="AC7" s="2">
        <v>525289.28</v>
      </c>
      <c r="AD7" s="3"/>
      <c r="AE7" s="2">
        <v>491282.36</v>
      </c>
      <c r="AF7" s="3"/>
      <c r="AG7" s="2">
        <v>504329.04</v>
      </c>
      <c r="AH7" s="3"/>
      <c r="AI7" s="2">
        <v>472258.2</v>
      </c>
      <c r="AJ7" s="3"/>
      <c r="AK7" s="2">
        <v>437759.16</v>
      </c>
      <c r="AL7" s="3"/>
      <c r="AM7" s="2">
        <f>ROUND(SUM(G7:AK7),5)</f>
        <v>7060862.5800000001</v>
      </c>
    </row>
    <row r="8" spans="1:39" x14ac:dyDescent="0.25">
      <c r="A8" s="1"/>
      <c r="B8" s="1"/>
      <c r="C8" s="1"/>
      <c r="D8" s="1"/>
      <c r="E8" s="1" t="s">
        <v>23</v>
      </c>
      <c r="F8" s="1"/>
      <c r="G8" s="2">
        <v>0</v>
      </c>
      <c r="H8" s="3"/>
      <c r="I8" s="2">
        <v>0</v>
      </c>
      <c r="J8" s="3"/>
      <c r="K8" s="2">
        <v>0</v>
      </c>
      <c r="L8" s="3"/>
      <c r="M8" s="2">
        <v>0</v>
      </c>
      <c r="N8" s="3"/>
      <c r="O8" s="2">
        <v>0</v>
      </c>
      <c r="P8" s="3"/>
      <c r="Q8" s="2">
        <v>0</v>
      </c>
      <c r="R8" s="3"/>
      <c r="S8" s="2">
        <v>0</v>
      </c>
      <c r="T8" s="3"/>
      <c r="U8" s="2">
        <v>0</v>
      </c>
      <c r="V8" s="3"/>
      <c r="W8" s="2">
        <v>0</v>
      </c>
      <c r="X8" s="3"/>
      <c r="Y8" s="2">
        <v>21372.33</v>
      </c>
      <c r="Z8" s="3"/>
      <c r="AA8" s="2">
        <v>20682.900000000001</v>
      </c>
      <c r="AB8" s="3"/>
      <c r="AC8" s="2">
        <v>28873.8</v>
      </c>
      <c r="AD8" s="3"/>
      <c r="AE8" s="2">
        <v>36787.360000000001</v>
      </c>
      <c r="AF8" s="3"/>
      <c r="AG8" s="2">
        <v>55822.68</v>
      </c>
      <c r="AH8" s="3"/>
      <c r="AI8" s="2">
        <v>75098.52</v>
      </c>
      <c r="AJ8" s="3"/>
      <c r="AK8" s="2">
        <v>26812.6</v>
      </c>
      <c r="AL8" s="3"/>
      <c r="AM8" s="2">
        <f>ROUND(SUM(G8:AK8),5)</f>
        <v>265450.19</v>
      </c>
    </row>
    <row r="9" spans="1:39" x14ac:dyDescent="0.25">
      <c r="A9" s="1"/>
      <c r="B9" s="1"/>
      <c r="C9" s="1"/>
      <c r="D9" s="1"/>
      <c r="E9" s="1" t="s">
        <v>24</v>
      </c>
      <c r="F9" s="1"/>
      <c r="G9" s="2">
        <v>36891</v>
      </c>
      <c r="H9" s="3"/>
      <c r="I9" s="2">
        <v>36891</v>
      </c>
      <c r="J9" s="3"/>
      <c r="K9" s="2">
        <v>36117.82</v>
      </c>
      <c r="L9" s="3"/>
      <c r="M9" s="2">
        <v>36117.82</v>
      </c>
      <c r="N9" s="3"/>
      <c r="O9" s="2">
        <v>36117.82</v>
      </c>
      <c r="P9" s="3"/>
      <c r="Q9" s="2">
        <v>39165.24</v>
      </c>
      <c r="R9" s="3"/>
      <c r="S9" s="2">
        <v>39165.24</v>
      </c>
      <c r="T9" s="3"/>
      <c r="U9" s="2">
        <v>39165.24</v>
      </c>
      <c r="V9" s="3"/>
      <c r="W9" s="2">
        <v>32840.879999999997</v>
      </c>
      <c r="X9" s="3"/>
      <c r="Y9" s="2">
        <v>32840.879999999997</v>
      </c>
      <c r="Z9" s="3"/>
      <c r="AA9" s="2">
        <v>32840.879999999997</v>
      </c>
      <c r="AB9" s="3"/>
      <c r="AC9" s="2">
        <v>24272.57</v>
      </c>
      <c r="AD9" s="3"/>
      <c r="AE9" s="2">
        <v>24272.57</v>
      </c>
      <c r="AF9" s="3"/>
      <c r="AG9" s="2">
        <v>24272.57</v>
      </c>
      <c r="AH9" s="3"/>
      <c r="AI9" s="2">
        <v>25327.42</v>
      </c>
      <c r="AJ9" s="3"/>
      <c r="AK9" s="2">
        <v>25327.42</v>
      </c>
      <c r="AL9" s="3"/>
      <c r="AM9" s="2">
        <f>ROUND(SUM(G9:AK9),5)</f>
        <v>521626.37</v>
      </c>
    </row>
    <row r="10" spans="1:39" x14ac:dyDescent="0.25">
      <c r="A10" s="1"/>
      <c r="B10" s="1"/>
      <c r="C10" s="1"/>
      <c r="D10" s="1"/>
      <c r="E10" s="1" t="s">
        <v>25</v>
      </c>
      <c r="F10" s="1"/>
      <c r="G10" s="2">
        <v>0</v>
      </c>
      <c r="H10" s="3"/>
      <c r="I10" s="2">
        <v>0</v>
      </c>
      <c r="J10" s="3"/>
      <c r="K10" s="2">
        <v>0</v>
      </c>
      <c r="L10" s="3"/>
      <c r="M10" s="2">
        <v>0</v>
      </c>
      <c r="N10" s="3"/>
      <c r="O10" s="2">
        <v>0</v>
      </c>
      <c r="P10" s="3"/>
      <c r="Q10" s="2">
        <v>0</v>
      </c>
      <c r="R10" s="3"/>
      <c r="S10" s="2">
        <v>0</v>
      </c>
      <c r="T10" s="3"/>
      <c r="U10" s="2">
        <v>0</v>
      </c>
      <c r="V10" s="3"/>
      <c r="W10" s="2">
        <v>0</v>
      </c>
      <c r="X10" s="3"/>
      <c r="Y10" s="2">
        <v>0</v>
      </c>
      <c r="Z10" s="3"/>
      <c r="AA10" s="2">
        <v>0</v>
      </c>
      <c r="AB10" s="3"/>
      <c r="AC10" s="2">
        <v>0</v>
      </c>
      <c r="AD10" s="3"/>
      <c r="AE10" s="2">
        <v>0</v>
      </c>
      <c r="AF10" s="3"/>
      <c r="AG10" s="2">
        <v>0</v>
      </c>
      <c r="AH10" s="3"/>
      <c r="AI10" s="2">
        <v>0</v>
      </c>
      <c r="AJ10" s="3"/>
      <c r="AK10" s="2">
        <v>-10977.68</v>
      </c>
      <c r="AL10" s="3"/>
      <c r="AM10" s="2">
        <f>ROUND(SUM(G10:AK10),5)</f>
        <v>-10977.68</v>
      </c>
    </row>
    <row r="11" spans="1:39" x14ac:dyDescent="0.25">
      <c r="A11" s="1"/>
      <c r="B11" s="1"/>
      <c r="C11" s="1"/>
      <c r="D11" s="1"/>
      <c r="E11" s="1" t="s">
        <v>26</v>
      </c>
      <c r="F11" s="1"/>
      <c r="G11" s="2">
        <v>0</v>
      </c>
      <c r="H11" s="3"/>
      <c r="I11" s="2">
        <v>0</v>
      </c>
      <c r="J11" s="3"/>
      <c r="K11" s="2">
        <v>0</v>
      </c>
      <c r="L11" s="3"/>
      <c r="M11" s="2">
        <v>0</v>
      </c>
      <c r="N11" s="3"/>
      <c r="O11" s="2">
        <v>0</v>
      </c>
      <c r="P11" s="3"/>
      <c r="Q11" s="2">
        <v>0</v>
      </c>
      <c r="R11" s="3"/>
      <c r="S11" s="2">
        <v>0</v>
      </c>
      <c r="T11" s="3"/>
      <c r="U11" s="2">
        <v>0</v>
      </c>
      <c r="V11" s="3"/>
      <c r="W11" s="2">
        <v>0</v>
      </c>
      <c r="X11" s="3"/>
      <c r="Y11" s="2">
        <v>0</v>
      </c>
      <c r="Z11" s="3"/>
      <c r="AA11" s="2">
        <v>80.5</v>
      </c>
      <c r="AB11" s="3"/>
      <c r="AC11" s="2">
        <v>0</v>
      </c>
      <c r="AD11" s="3"/>
      <c r="AE11" s="2">
        <v>0</v>
      </c>
      <c r="AF11" s="3"/>
      <c r="AG11" s="2">
        <v>0</v>
      </c>
      <c r="AH11" s="3"/>
      <c r="AI11" s="2">
        <v>0</v>
      </c>
      <c r="AJ11" s="3"/>
      <c r="AK11" s="2">
        <v>0</v>
      </c>
      <c r="AL11" s="3"/>
      <c r="AM11" s="2">
        <f>ROUND(SUM(G11:AK11),5)</f>
        <v>80.5</v>
      </c>
    </row>
    <row r="12" spans="1:39" x14ac:dyDescent="0.25">
      <c r="A12" s="1"/>
      <c r="B12" s="1"/>
      <c r="C12" s="1"/>
      <c r="D12" s="1"/>
      <c r="E12" s="1" t="s">
        <v>27</v>
      </c>
      <c r="F12" s="1"/>
      <c r="G12" s="2">
        <v>0</v>
      </c>
      <c r="H12" s="3"/>
      <c r="I12" s="2">
        <v>-544.32000000000005</v>
      </c>
      <c r="J12" s="3"/>
      <c r="K12" s="2">
        <v>-1521.42</v>
      </c>
      <c r="L12" s="3"/>
      <c r="M12" s="2">
        <v>-1999.27</v>
      </c>
      <c r="N12" s="3"/>
      <c r="O12" s="2">
        <v>0</v>
      </c>
      <c r="P12" s="3"/>
      <c r="Q12" s="2">
        <v>-1142.44</v>
      </c>
      <c r="R12" s="3"/>
      <c r="S12" s="2">
        <v>-571.22</v>
      </c>
      <c r="T12" s="3"/>
      <c r="U12" s="2">
        <v>0</v>
      </c>
      <c r="V12" s="3"/>
      <c r="W12" s="2">
        <v>-2284.88</v>
      </c>
      <c r="X12" s="3"/>
      <c r="Y12" s="2">
        <v>-285.61</v>
      </c>
      <c r="Z12" s="3"/>
      <c r="AA12" s="2">
        <v>-226.68</v>
      </c>
      <c r="AB12" s="3"/>
      <c r="AC12" s="2">
        <v>0</v>
      </c>
      <c r="AD12" s="3"/>
      <c r="AE12" s="2">
        <v>0</v>
      </c>
      <c r="AF12" s="3"/>
      <c r="AG12" s="2">
        <v>0</v>
      </c>
      <c r="AH12" s="3"/>
      <c r="AI12" s="2">
        <v>0</v>
      </c>
      <c r="AJ12" s="3"/>
      <c r="AK12" s="2">
        <v>0</v>
      </c>
      <c r="AL12" s="3"/>
      <c r="AM12" s="2">
        <f>ROUND(SUM(G12:AK12),5)</f>
        <v>-8575.84</v>
      </c>
    </row>
    <row r="13" spans="1:39" x14ac:dyDescent="0.25">
      <c r="A13" s="1"/>
      <c r="B13" s="1"/>
      <c r="C13" s="1"/>
      <c r="D13" s="1"/>
      <c r="E13" s="1" t="s">
        <v>28</v>
      </c>
      <c r="F13" s="1"/>
      <c r="G13" s="2">
        <v>0</v>
      </c>
      <c r="H13" s="3"/>
      <c r="I13" s="2">
        <v>0</v>
      </c>
      <c r="J13" s="3"/>
      <c r="K13" s="2">
        <v>0</v>
      </c>
      <c r="L13" s="3"/>
      <c r="M13" s="2">
        <v>0</v>
      </c>
      <c r="N13" s="3"/>
      <c r="O13" s="2">
        <v>0</v>
      </c>
      <c r="P13" s="3"/>
      <c r="Q13" s="2">
        <v>0</v>
      </c>
      <c r="R13" s="3"/>
      <c r="S13" s="2">
        <v>12538.26</v>
      </c>
      <c r="T13" s="3"/>
      <c r="U13" s="2">
        <v>9909.27</v>
      </c>
      <c r="V13" s="3"/>
      <c r="W13" s="2">
        <v>7124.11</v>
      </c>
      <c r="X13" s="3"/>
      <c r="Y13" s="2">
        <v>7124.11</v>
      </c>
      <c r="Z13" s="3"/>
      <c r="AA13" s="2">
        <v>6894.3</v>
      </c>
      <c r="AB13" s="3"/>
      <c r="AC13" s="2">
        <v>6630.28</v>
      </c>
      <c r="AD13" s="3"/>
      <c r="AE13" s="2">
        <v>6416.4</v>
      </c>
      <c r="AF13" s="3"/>
      <c r="AG13" s="2">
        <v>6630.28</v>
      </c>
      <c r="AH13" s="3"/>
      <c r="AI13" s="2">
        <v>13042.32</v>
      </c>
      <c r="AJ13" s="3"/>
      <c r="AK13" s="2">
        <v>13463.04</v>
      </c>
      <c r="AL13" s="3"/>
      <c r="AM13" s="2">
        <f>ROUND(SUM(G13:AK13),5)</f>
        <v>89772.37</v>
      </c>
    </row>
    <row r="14" spans="1:39" ht="15.75" thickBot="1" x14ac:dyDescent="0.3">
      <c r="A14" s="1"/>
      <c r="B14" s="1"/>
      <c r="C14" s="1"/>
      <c r="D14" s="1"/>
      <c r="E14" s="1" t="s">
        <v>29</v>
      </c>
      <c r="F14" s="1"/>
      <c r="G14" s="4">
        <v>0</v>
      </c>
      <c r="H14" s="3"/>
      <c r="I14" s="4">
        <v>0</v>
      </c>
      <c r="J14" s="3"/>
      <c r="K14" s="4">
        <v>0</v>
      </c>
      <c r="L14" s="3"/>
      <c r="M14" s="4">
        <v>0</v>
      </c>
      <c r="N14" s="3"/>
      <c r="O14" s="4">
        <v>0</v>
      </c>
      <c r="P14" s="3"/>
      <c r="Q14" s="4">
        <v>0</v>
      </c>
      <c r="R14" s="3"/>
      <c r="S14" s="4">
        <v>0</v>
      </c>
      <c r="T14" s="3"/>
      <c r="U14" s="4">
        <v>0</v>
      </c>
      <c r="V14" s="3"/>
      <c r="W14" s="4">
        <v>0</v>
      </c>
      <c r="X14" s="3"/>
      <c r="Y14" s="4">
        <v>0</v>
      </c>
      <c r="Z14" s="3"/>
      <c r="AA14" s="4">
        <v>0</v>
      </c>
      <c r="AB14" s="3"/>
      <c r="AC14" s="4">
        <v>0</v>
      </c>
      <c r="AD14" s="3"/>
      <c r="AE14" s="4">
        <v>0</v>
      </c>
      <c r="AF14" s="3"/>
      <c r="AG14" s="4">
        <v>0</v>
      </c>
      <c r="AH14" s="3"/>
      <c r="AI14" s="4">
        <v>0</v>
      </c>
      <c r="AJ14" s="3"/>
      <c r="AK14" s="4">
        <v>0</v>
      </c>
      <c r="AL14" s="3"/>
      <c r="AM14" s="4">
        <f>ROUND(SUM(G14:AK14),5)</f>
        <v>0</v>
      </c>
    </row>
    <row r="15" spans="1:39" ht="15.75" thickBot="1" x14ac:dyDescent="0.3">
      <c r="A15" s="1"/>
      <c r="B15" s="1"/>
      <c r="C15" s="1"/>
      <c r="D15" s="1" t="s">
        <v>30</v>
      </c>
      <c r="E15" s="1"/>
      <c r="F15" s="1"/>
      <c r="G15" s="5">
        <f>ROUND(SUM(G3:G14),5)</f>
        <v>490433.24</v>
      </c>
      <c r="H15" s="3"/>
      <c r="I15" s="5">
        <f>ROUND(SUM(I3:I14),5)</f>
        <v>522308.14</v>
      </c>
      <c r="J15" s="3"/>
      <c r="K15" s="5">
        <f>ROUND(SUM(K3:K14),5)</f>
        <v>527051.76</v>
      </c>
      <c r="L15" s="3"/>
      <c r="M15" s="5">
        <f>ROUND(SUM(M3:M14),5)</f>
        <v>485426.11</v>
      </c>
      <c r="N15" s="3"/>
      <c r="O15" s="5">
        <f>ROUND(SUM(O3:O14),5)</f>
        <v>521572.32</v>
      </c>
      <c r="P15" s="3"/>
      <c r="Q15" s="5">
        <f>ROUND(SUM(Q3:Q14),5)</f>
        <v>589252.37</v>
      </c>
      <c r="R15" s="3"/>
      <c r="S15" s="5">
        <f>ROUND(SUM(S3:S14),5)</f>
        <v>602170.80000000005</v>
      </c>
      <c r="T15" s="3"/>
      <c r="U15" s="5">
        <f>ROUND(SUM(U3:U14),5)</f>
        <v>583114.53</v>
      </c>
      <c r="V15" s="3"/>
      <c r="W15" s="5">
        <f>ROUND(SUM(W3:W14),5)</f>
        <v>681079.7</v>
      </c>
      <c r="X15" s="3"/>
      <c r="Y15" s="5">
        <f>ROUND(SUM(Y3:Y14),5)</f>
        <v>678584.99</v>
      </c>
      <c r="Z15" s="3"/>
      <c r="AA15" s="5">
        <f>ROUND(SUM(AA3:AA14),5)</f>
        <v>679740.07</v>
      </c>
      <c r="AB15" s="3"/>
      <c r="AC15" s="5">
        <f>ROUND(SUM(AC3:AC14),5)</f>
        <v>693272.09</v>
      </c>
      <c r="AD15" s="3"/>
      <c r="AE15" s="5">
        <f>ROUND(SUM(AE3:AE14),5)</f>
        <v>658664.37</v>
      </c>
      <c r="AF15" s="3"/>
      <c r="AG15" s="5">
        <f>ROUND(SUM(AG3:AG14),5)</f>
        <v>677913.36</v>
      </c>
      <c r="AH15" s="3"/>
      <c r="AI15" s="5">
        <f>ROUND(SUM(AI3:AI14),5)</f>
        <v>662909.65</v>
      </c>
      <c r="AJ15" s="3"/>
      <c r="AK15" s="5">
        <f>ROUND(SUM(AK3:AK14),5)</f>
        <v>606475.61</v>
      </c>
      <c r="AL15" s="3"/>
      <c r="AM15" s="5">
        <f>ROUND(SUM(G15:AK15),5)</f>
        <v>9659969.1099999994</v>
      </c>
    </row>
    <row r="16" spans="1:39" x14ac:dyDescent="0.25">
      <c r="A16" s="1"/>
      <c r="B16" s="1"/>
      <c r="C16" s="1" t="s">
        <v>31</v>
      </c>
      <c r="D16" s="1"/>
      <c r="E16" s="1"/>
      <c r="F16" s="1"/>
      <c r="G16" s="2">
        <f>G15</f>
        <v>490433.24</v>
      </c>
      <c r="H16" s="3"/>
      <c r="I16" s="2">
        <f>I15</f>
        <v>522308.14</v>
      </c>
      <c r="J16" s="3"/>
      <c r="K16" s="2">
        <f>K15</f>
        <v>527051.76</v>
      </c>
      <c r="L16" s="3"/>
      <c r="M16" s="2">
        <f>M15</f>
        <v>485426.11</v>
      </c>
      <c r="N16" s="3"/>
      <c r="O16" s="2">
        <f>O15</f>
        <v>521572.32</v>
      </c>
      <c r="P16" s="3"/>
      <c r="Q16" s="2">
        <f>Q15</f>
        <v>589252.37</v>
      </c>
      <c r="R16" s="3"/>
      <c r="S16" s="2">
        <f>S15</f>
        <v>602170.80000000005</v>
      </c>
      <c r="T16" s="3"/>
      <c r="U16" s="2">
        <f>U15</f>
        <v>583114.53</v>
      </c>
      <c r="V16" s="3"/>
      <c r="W16" s="2">
        <f>W15</f>
        <v>681079.7</v>
      </c>
      <c r="X16" s="3"/>
      <c r="Y16" s="2">
        <f>Y15</f>
        <v>678584.99</v>
      </c>
      <c r="Z16" s="3"/>
      <c r="AA16" s="2">
        <f>AA15</f>
        <v>679740.07</v>
      </c>
      <c r="AB16" s="3"/>
      <c r="AC16" s="2">
        <f>AC15</f>
        <v>693272.09</v>
      </c>
      <c r="AD16" s="3"/>
      <c r="AE16" s="2">
        <f>AE15</f>
        <v>658664.37</v>
      </c>
      <c r="AF16" s="3"/>
      <c r="AG16" s="2">
        <f>AG15</f>
        <v>677913.36</v>
      </c>
      <c r="AH16" s="3"/>
      <c r="AI16" s="2">
        <f>AI15</f>
        <v>662909.65</v>
      </c>
      <c r="AJ16" s="3"/>
      <c r="AK16" s="2">
        <f>AK15</f>
        <v>606475.61</v>
      </c>
      <c r="AL16" s="3"/>
      <c r="AM16" s="2">
        <f>ROUND(SUM(G16:AK16),5)</f>
        <v>9659969.1099999994</v>
      </c>
    </row>
    <row r="17" spans="1:39" x14ac:dyDescent="0.25">
      <c r="A17" s="1"/>
      <c r="B17" s="1"/>
      <c r="C17" s="1"/>
      <c r="D17" s="1" t="s">
        <v>32</v>
      </c>
      <c r="E17" s="1"/>
      <c r="F17" s="1"/>
      <c r="G17" s="2"/>
      <c r="H17" s="3"/>
      <c r="I17" s="2"/>
      <c r="J17" s="3"/>
      <c r="K17" s="2"/>
      <c r="L17" s="3"/>
      <c r="M17" s="2"/>
      <c r="N17" s="3"/>
      <c r="O17" s="2"/>
      <c r="P17" s="3"/>
      <c r="Q17" s="2"/>
      <c r="R17" s="3"/>
      <c r="S17" s="2"/>
      <c r="T17" s="3"/>
      <c r="U17" s="2"/>
      <c r="V17" s="3"/>
      <c r="W17" s="2"/>
      <c r="X17" s="3"/>
      <c r="Y17" s="2"/>
      <c r="Z17" s="3"/>
      <c r="AA17" s="2"/>
      <c r="AB17" s="3"/>
      <c r="AC17" s="2"/>
      <c r="AD17" s="3"/>
      <c r="AE17" s="2"/>
      <c r="AF17" s="3"/>
      <c r="AG17" s="2"/>
      <c r="AH17" s="3"/>
      <c r="AI17" s="2"/>
      <c r="AJ17" s="3"/>
      <c r="AK17" s="2"/>
      <c r="AL17" s="3"/>
      <c r="AM17" s="2"/>
    </row>
    <row r="18" spans="1:39" x14ac:dyDescent="0.25">
      <c r="A18" s="1"/>
      <c r="B18" s="1"/>
      <c r="C18" s="1"/>
      <c r="D18" s="1"/>
      <c r="E18" s="1" t="s">
        <v>33</v>
      </c>
      <c r="F18" s="1"/>
      <c r="G18" s="2"/>
      <c r="H18" s="3"/>
      <c r="I18" s="2"/>
      <c r="J18" s="3"/>
      <c r="K18" s="2"/>
      <c r="L18" s="3"/>
      <c r="M18" s="2"/>
      <c r="N18" s="3"/>
      <c r="O18" s="2"/>
      <c r="P18" s="3"/>
      <c r="Q18" s="2"/>
      <c r="R18" s="3"/>
      <c r="S18" s="2"/>
      <c r="T18" s="3"/>
      <c r="U18" s="2"/>
      <c r="V18" s="3"/>
      <c r="W18" s="2"/>
      <c r="X18" s="3"/>
      <c r="Y18" s="2"/>
      <c r="Z18" s="3"/>
      <c r="AA18" s="2"/>
      <c r="AB18" s="3"/>
      <c r="AC18" s="2"/>
      <c r="AD18" s="3"/>
      <c r="AE18" s="2"/>
      <c r="AF18" s="3"/>
      <c r="AG18" s="2"/>
      <c r="AH18" s="3"/>
      <c r="AI18" s="2"/>
      <c r="AJ18" s="3"/>
      <c r="AK18" s="2"/>
      <c r="AL18" s="3"/>
      <c r="AM18" s="2"/>
    </row>
    <row r="19" spans="1:39" x14ac:dyDescent="0.25">
      <c r="A19" s="1"/>
      <c r="B19" s="1"/>
      <c r="C19" s="1"/>
      <c r="D19" s="1"/>
      <c r="E19" s="1"/>
      <c r="F19" s="1" t="s">
        <v>34</v>
      </c>
      <c r="G19" s="2">
        <v>36080.81</v>
      </c>
      <c r="H19" s="3"/>
      <c r="I19" s="2">
        <v>34023.56</v>
      </c>
      <c r="J19" s="3"/>
      <c r="K19" s="2">
        <v>38279.51</v>
      </c>
      <c r="L19" s="3"/>
      <c r="M19" s="2">
        <v>46037.95</v>
      </c>
      <c r="N19" s="3"/>
      <c r="O19" s="2">
        <v>51686.33</v>
      </c>
      <c r="P19" s="3"/>
      <c r="Q19" s="2">
        <v>52702.91</v>
      </c>
      <c r="R19" s="3"/>
      <c r="S19" s="2">
        <v>57693.59</v>
      </c>
      <c r="T19" s="3"/>
      <c r="U19" s="2">
        <v>51622.9</v>
      </c>
      <c r="V19" s="3"/>
      <c r="W19" s="2">
        <v>55869.67</v>
      </c>
      <c r="X19" s="3"/>
      <c r="Y19" s="2">
        <v>57670.19</v>
      </c>
      <c r="Z19" s="3"/>
      <c r="AA19" s="2">
        <v>51305.74</v>
      </c>
      <c r="AB19" s="3"/>
      <c r="AC19" s="2">
        <v>52044.06</v>
      </c>
      <c r="AD19" s="3"/>
      <c r="AE19" s="2">
        <v>51175.63</v>
      </c>
      <c r="AF19" s="3"/>
      <c r="AG19" s="2">
        <v>52987.37</v>
      </c>
      <c r="AH19" s="3"/>
      <c r="AI19" s="2">
        <v>48153.56</v>
      </c>
      <c r="AJ19" s="3"/>
      <c r="AK19" s="2">
        <v>43897.96</v>
      </c>
      <c r="AL19" s="3"/>
      <c r="AM19" s="2">
        <f>ROUND(SUM(G19:AK19),5)</f>
        <v>781231.74</v>
      </c>
    </row>
    <row r="20" spans="1:39" x14ac:dyDescent="0.25">
      <c r="A20" s="1"/>
      <c r="B20" s="1"/>
      <c r="C20" s="1"/>
      <c r="D20" s="1"/>
      <c r="E20" s="1"/>
      <c r="F20" s="1" t="s">
        <v>35</v>
      </c>
      <c r="G20" s="2">
        <v>39955.599999999999</v>
      </c>
      <c r="H20" s="3"/>
      <c r="I20" s="2">
        <v>49533.120000000003</v>
      </c>
      <c r="J20" s="3"/>
      <c r="K20" s="2">
        <v>46755.88</v>
      </c>
      <c r="L20" s="3"/>
      <c r="M20" s="2">
        <v>29845.59</v>
      </c>
      <c r="N20" s="3"/>
      <c r="O20" s="2">
        <v>30878.16</v>
      </c>
      <c r="P20" s="3"/>
      <c r="Q20" s="2">
        <v>27976.54</v>
      </c>
      <c r="R20" s="3"/>
      <c r="S20" s="2">
        <v>24910.47</v>
      </c>
      <c r="T20" s="3"/>
      <c r="U20" s="2">
        <v>26798.19</v>
      </c>
      <c r="V20" s="3"/>
      <c r="W20" s="2">
        <v>25581.26</v>
      </c>
      <c r="X20" s="3"/>
      <c r="Y20" s="2">
        <v>25024.66</v>
      </c>
      <c r="Z20" s="3"/>
      <c r="AA20" s="2">
        <v>27554.32</v>
      </c>
      <c r="AB20" s="3"/>
      <c r="AC20" s="2">
        <v>28871.67</v>
      </c>
      <c r="AD20" s="3"/>
      <c r="AE20" s="2">
        <v>29945.9</v>
      </c>
      <c r="AF20" s="3"/>
      <c r="AG20" s="2">
        <v>29159.18</v>
      </c>
      <c r="AH20" s="3"/>
      <c r="AI20" s="2">
        <v>31307.09</v>
      </c>
      <c r="AJ20" s="3"/>
      <c r="AK20" s="2">
        <v>31236.77</v>
      </c>
      <c r="AL20" s="3"/>
      <c r="AM20" s="2">
        <f>ROUND(SUM(G20:AK20),5)</f>
        <v>505334.4</v>
      </c>
    </row>
    <row r="21" spans="1:39" x14ac:dyDescent="0.25">
      <c r="A21" s="1"/>
      <c r="B21" s="1"/>
      <c r="C21" s="1"/>
      <c r="D21" s="1"/>
      <c r="E21" s="1"/>
      <c r="F21" s="1" t="s">
        <v>36</v>
      </c>
      <c r="G21" s="2">
        <v>70132.34</v>
      </c>
      <c r="H21" s="3"/>
      <c r="I21" s="2">
        <v>69083.55</v>
      </c>
      <c r="J21" s="3"/>
      <c r="K21" s="2">
        <v>74233.14</v>
      </c>
      <c r="L21" s="3"/>
      <c r="M21" s="2">
        <v>64881.71</v>
      </c>
      <c r="N21" s="3"/>
      <c r="O21" s="2">
        <v>70922.44</v>
      </c>
      <c r="P21" s="3"/>
      <c r="Q21" s="2">
        <v>71514.02</v>
      </c>
      <c r="R21" s="3"/>
      <c r="S21" s="2">
        <v>76993.63</v>
      </c>
      <c r="T21" s="3"/>
      <c r="U21" s="2">
        <v>73306.22</v>
      </c>
      <c r="V21" s="3"/>
      <c r="W21" s="2">
        <v>76793.81</v>
      </c>
      <c r="X21" s="3"/>
      <c r="Y21" s="2">
        <v>77171.360000000001</v>
      </c>
      <c r="Z21" s="3"/>
      <c r="AA21" s="2">
        <v>72695.460000000006</v>
      </c>
      <c r="AB21" s="3"/>
      <c r="AC21" s="2">
        <v>78926.94</v>
      </c>
      <c r="AD21" s="3"/>
      <c r="AE21" s="2">
        <v>74418.399999999994</v>
      </c>
      <c r="AF21" s="3"/>
      <c r="AG21" s="2">
        <v>74597.61</v>
      </c>
      <c r="AH21" s="3"/>
      <c r="AI21" s="2">
        <v>76055.63</v>
      </c>
      <c r="AJ21" s="3"/>
      <c r="AK21" s="2">
        <v>69970.09</v>
      </c>
      <c r="AL21" s="3"/>
      <c r="AM21" s="2">
        <f>ROUND(SUM(G21:AK21),5)</f>
        <v>1171696.3500000001</v>
      </c>
    </row>
    <row r="22" spans="1:39" x14ac:dyDescent="0.25">
      <c r="A22" s="1"/>
      <c r="B22" s="1"/>
      <c r="C22" s="1"/>
      <c r="D22" s="1"/>
      <c r="E22" s="1"/>
      <c r="F22" s="1" t="s">
        <v>37</v>
      </c>
      <c r="G22" s="2">
        <v>9942.2999999999993</v>
      </c>
      <c r="H22" s="3"/>
      <c r="I22" s="2">
        <v>12942.28</v>
      </c>
      <c r="J22" s="3"/>
      <c r="K22" s="2">
        <v>17884.599999999999</v>
      </c>
      <c r="L22" s="3"/>
      <c r="M22" s="2">
        <v>12939.53</v>
      </c>
      <c r="N22" s="3"/>
      <c r="O22" s="2">
        <v>15906.58</v>
      </c>
      <c r="P22" s="3"/>
      <c r="Q22" s="2">
        <v>16862.62</v>
      </c>
      <c r="R22" s="3"/>
      <c r="S22" s="2">
        <v>17983.509999999998</v>
      </c>
      <c r="T22" s="3"/>
      <c r="U22" s="2">
        <v>17307.650000000001</v>
      </c>
      <c r="V22" s="3"/>
      <c r="W22" s="2">
        <v>17884.59</v>
      </c>
      <c r="X22" s="3"/>
      <c r="Y22" s="2">
        <v>15519.23</v>
      </c>
      <c r="Z22" s="3"/>
      <c r="AA22" s="2">
        <v>17557.669999999998</v>
      </c>
      <c r="AB22" s="3"/>
      <c r="AC22" s="2">
        <v>18409.849999999999</v>
      </c>
      <c r="AD22" s="3"/>
      <c r="AE22" s="2">
        <v>17365.900000000001</v>
      </c>
      <c r="AF22" s="3"/>
      <c r="AG22" s="2">
        <v>16317.54</v>
      </c>
      <c r="AH22" s="3"/>
      <c r="AI22" s="2">
        <v>17079.63</v>
      </c>
      <c r="AJ22" s="3"/>
      <c r="AK22" s="2">
        <v>16769.189999999999</v>
      </c>
      <c r="AL22" s="3"/>
      <c r="AM22" s="2">
        <f>ROUND(SUM(G22:AK22),5)</f>
        <v>258672.67</v>
      </c>
    </row>
    <row r="23" spans="1:39" x14ac:dyDescent="0.25">
      <c r="A23" s="1"/>
      <c r="B23" s="1"/>
      <c r="C23" s="1"/>
      <c r="D23" s="1"/>
      <c r="E23" s="1"/>
      <c r="F23" s="1" t="s">
        <v>38</v>
      </c>
      <c r="G23" s="2">
        <v>559.82000000000005</v>
      </c>
      <c r="H23" s="3"/>
      <c r="I23" s="2">
        <v>69.349999999999994</v>
      </c>
      <c r="J23" s="3"/>
      <c r="K23" s="2">
        <v>854.26</v>
      </c>
      <c r="L23" s="3"/>
      <c r="M23" s="2">
        <v>460.47</v>
      </c>
      <c r="N23" s="3"/>
      <c r="O23" s="2">
        <v>401.3</v>
      </c>
      <c r="P23" s="3"/>
      <c r="Q23" s="2">
        <v>1308.58</v>
      </c>
      <c r="R23" s="3"/>
      <c r="S23" s="2">
        <v>1154.3</v>
      </c>
      <c r="T23" s="3"/>
      <c r="U23" s="2">
        <v>712.29</v>
      </c>
      <c r="V23" s="3"/>
      <c r="W23" s="2">
        <v>972.21</v>
      </c>
      <c r="X23" s="3"/>
      <c r="Y23" s="2">
        <v>1669.44</v>
      </c>
      <c r="Z23" s="3"/>
      <c r="AA23" s="2">
        <v>625.67999999999995</v>
      </c>
      <c r="AB23" s="3"/>
      <c r="AC23" s="2">
        <v>1627.47</v>
      </c>
      <c r="AD23" s="3"/>
      <c r="AE23" s="2">
        <v>502.69</v>
      </c>
      <c r="AF23" s="3"/>
      <c r="AG23" s="2">
        <v>343.13</v>
      </c>
      <c r="AH23" s="3"/>
      <c r="AI23" s="2">
        <v>1014.44</v>
      </c>
      <c r="AJ23" s="3"/>
      <c r="AK23" s="2">
        <v>423.33</v>
      </c>
      <c r="AL23" s="3"/>
      <c r="AM23" s="2">
        <f>ROUND(SUM(G23:AK23),5)</f>
        <v>12698.76</v>
      </c>
    </row>
    <row r="24" spans="1:39" x14ac:dyDescent="0.25">
      <c r="A24" s="1"/>
      <c r="B24" s="1"/>
      <c r="C24" s="1"/>
      <c r="D24" s="1"/>
      <c r="E24" s="1"/>
      <c r="F24" s="1" t="s">
        <v>39</v>
      </c>
      <c r="G24" s="2">
        <v>43.85</v>
      </c>
      <c r="H24" s="3"/>
      <c r="I24" s="2">
        <v>0</v>
      </c>
      <c r="J24" s="3"/>
      <c r="K24" s="2">
        <v>0</v>
      </c>
      <c r="L24" s="3"/>
      <c r="M24" s="2">
        <v>27.49</v>
      </c>
      <c r="N24" s="3"/>
      <c r="O24" s="2">
        <v>89.85</v>
      </c>
      <c r="P24" s="3"/>
      <c r="Q24" s="2">
        <v>1216.6600000000001</v>
      </c>
      <c r="R24" s="3"/>
      <c r="S24" s="2">
        <v>160.07</v>
      </c>
      <c r="T24" s="3"/>
      <c r="U24" s="2">
        <v>249.02</v>
      </c>
      <c r="V24" s="3"/>
      <c r="W24" s="2">
        <v>257.14999999999998</v>
      </c>
      <c r="X24" s="3"/>
      <c r="Y24" s="2">
        <v>0</v>
      </c>
      <c r="Z24" s="3"/>
      <c r="AA24" s="2">
        <v>16.04</v>
      </c>
      <c r="AB24" s="3"/>
      <c r="AC24" s="2">
        <v>86.41</v>
      </c>
      <c r="AD24" s="3"/>
      <c r="AE24" s="2">
        <v>267.68</v>
      </c>
      <c r="AF24" s="3"/>
      <c r="AG24" s="2">
        <v>0</v>
      </c>
      <c r="AH24" s="3"/>
      <c r="AI24" s="2">
        <v>480.04</v>
      </c>
      <c r="AJ24" s="3"/>
      <c r="AK24" s="2">
        <v>158.43</v>
      </c>
      <c r="AL24" s="3"/>
      <c r="AM24" s="2">
        <f>ROUND(SUM(G24:AK24),5)</f>
        <v>3052.69</v>
      </c>
    </row>
    <row r="25" spans="1:39" x14ac:dyDescent="0.25">
      <c r="A25" s="1"/>
      <c r="B25" s="1"/>
      <c r="C25" s="1"/>
      <c r="D25" s="1"/>
      <c r="E25" s="1"/>
      <c r="F25" s="1" t="s">
        <v>40</v>
      </c>
      <c r="G25" s="2">
        <v>1163.27</v>
      </c>
      <c r="H25" s="3"/>
      <c r="I25" s="2">
        <v>4985.7700000000004</v>
      </c>
      <c r="J25" s="3"/>
      <c r="K25" s="2">
        <v>1704.93</v>
      </c>
      <c r="L25" s="3"/>
      <c r="M25" s="2">
        <v>5112.1899999999996</v>
      </c>
      <c r="N25" s="3"/>
      <c r="O25" s="2">
        <v>10143.27</v>
      </c>
      <c r="P25" s="3"/>
      <c r="Q25" s="2">
        <v>1008.07</v>
      </c>
      <c r="R25" s="3"/>
      <c r="S25" s="2">
        <v>1063.08</v>
      </c>
      <c r="T25" s="3"/>
      <c r="U25" s="2">
        <v>3286.49</v>
      </c>
      <c r="V25" s="3"/>
      <c r="W25" s="2">
        <v>1316.29</v>
      </c>
      <c r="X25" s="3"/>
      <c r="Y25" s="2">
        <v>2517.0700000000002</v>
      </c>
      <c r="Z25" s="3"/>
      <c r="AA25" s="2">
        <v>2936.04</v>
      </c>
      <c r="AB25" s="3"/>
      <c r="AC25" s="2">
        <v>4244.62</v>
      </c>
      <c r="AD25" s="3"/>
      <c r="AE25" s="2">
        <v>2039.22</v>
      </c>
      <c r="AF25" s="3"/>
      <c r="AG25" s="2">
        <v>2448.36</v>
      </c>
      <c r="AH25" s="3"/>
      <c r="AI25" s="2">
        <v>2494.77</v>
      </c>
      <c r="AJ25" s="3"/>
      <c r="AK25" s="2">
        <v>1292.71</v>
      </c>
      <c r="AL25" s="3"/>
      <c r="AM25" s="2">
        <f>ROUND(SUM(G25:AK25),5)</f>
        <v>47756.15</v>
      </c>
    </row>
    <row r="26" spans="1:39" x14ac:dyDescent="0.25">
      <c r="A26" s="1"/>
      <c r="B26" s="1"/>
      <c r="C26" s="1"/>
      <c r="D26" s="1"/>
      <c r="E26" s="1"/>
      <c r="F26" s="1" t="s">
        <v>41</v>
      </c>
      <c r="G26" s="2">
        <v>0</v>
      </c>
      <c r="H26" s="3"/>
      <c r="I26" s="2">
        <v>0</v>
      </c>
      <c r="J26" s="3"/>
      <c r="K26" s="2">
        <v>0</v>
      </c>
      <c r="L26" s="3"/>
      <c r="M26" s="2">
        <v>0</v>
      </c>
      <c r="N26" s="3"/>
      <c r="O26" s="2">
        <v>0</v>
      </c>
      <c r="P26" s="3"/>
      <c r="Q26" s="2">
        <v>0</v>
      </c>
      <c r="R26" s="3"/>
      <c r="S26" s="2">
        <v>0</v>
      </c>
      <c r="T26" s="3"/>
      <c r="U26" s="2">
        <v>0</v>
      </c>
      <c r="V26" s="3"/>
      <c r="W26" s="2">
        <v>0</v>
      </c>
      <c r="X26" s="3"/>
      <c r="Y26" s="2">
        <v>0</v>
      </c>
      <c r="Z26" s="3"/>
      <c r="AA26" s="2">
        <v>0</v>
      </c>
      <c r="AB26" s="3"/>
      <c r="AC26" s="2">
        <v>0</v>
      </c>
      <c r="AD26" s="3"/>
      <c r="AE26" s="2">
        <v>100</v>
      </c>
      <c r="AF26" s="3"/>
      <c r="AG26" s="2">
        <v>0</v>
      </c>
      <c r="AH26" s="3"/>
      <c r="AI26" s="2">
        <v>0</v>
      </c>
      <c r="AJ26" s="3"/>
      <c r="AK26" s="2">
        <v>0</v>
      </c>
      <c r="AL26" s="3"/>
      <c r="AM26" s="2">
        <f>ROUND(SUM(G26:AK26),5)</f>
        <v>100</v>
      </c>
    </row>
    <row r="27" spans="1:39" x14ac:dyDescent="0.25">
      <c r="A27" s="1"/>
      <c r="B27" s="1"/>
      <c r="C27" s="1"/>
      <c r="D27" s="1"/>
      <c r="E27" s="1"/>
      <c r="F27" s="1" t="s">
        <v>42</v>
      </c>
      <c r="G27" s="2">
        <v>2068.83</v>
      </c>
      <c r="H27" s="3"/>
      <c r="I27" s="2">
        <v>4483.5</v>
      </c>
      <c r="J27" s="3"/>
      <c r="K27" s="2">
        <v>5115.7299999999996</v>
      </c>
      <c r="L27" s="3"/>
      <c r="M27" s="2">
        <v>-1152.3399999999999</v>
      </c>
      <c r="N27" s="3"/>
      <c r="O27" s="2">
        <v>1063.21</v>
      </c>
      <c r="P27" s="3"/>
      <c r="Q27" s="2">
        <v>2614.16</v>
      </c>
      <c r="R27" s="3"/>
      <c r="S27" s="2">
        <v>1362.98</v>
      </c>
      <c r="T27" s="3"/>
      <c r="U27" s="2">
        <v>316.61</v>
      </c>
      <c r="V27" s="3"/>
      <c r="W27" s="2">
        <v>2005.87</v>
      </c>
      <c r="X27" s="3"/>
      <c r="Y27" s="2">
        <v>1613.31</v>
      </c>
      <c r="Z27" s="3"/>
      <c r="AA27" s="2">
        <v>1371.22</v>
      </c>
      <c r="AB27" s="3"/>
      <c r="AC27" s="2">
        <v>925.36</v>
      </c>
      <c r="AD27" s="3"/>
      <c r="AE27" s="2">
        <v>1258.93</v>
      </c>
      <c r="AF27" s="3"/>
      <c r="AG27" s="2">
        <v>1426.38</v>
      </c>
      <c r="AH27" s="3"/>
      <c r="AI27" s="2">
        <v>516.36</v>
      </c>
      <c r="AJ27" s="3"/>
      <c r="AK27" s="2">
        <v>541.91999999999996</v>
      </c>
      <c r="AL27" s="3"/>
      <c r="AM27" s="2">
        <f>ROUND(SUM(G27:AK27),5)</f>
        <v>25532.03</v>
      </c>
    </row>
    <row r="28" spans="1:39" x14ac:dyDescent="0.25">
      <c r="A28" s="1"/>
      <c r="B28" s="1"/>
      <c r="C28" s="1"/>
      <c r="D28" s="1"/>
      <c r="E28" s="1"/>
      <c r="F28" s="1" t="s">
        <v>43</v>
      </c>
      <c r="G28" s="2">
        <v>0</v>
      </c>
      <c r="H28" s="3"/>
      <c r="I28" s="2">
        <v>908</v>
      </c>
      <c r="J28" s="3"/>
      <c r="K28" s="2">
        <v>1694</v>
      </c>
      <c r="L28" s="3"/>
      <c r="M28" s="2">
        <v>820</v>
      </c>
      <c r="N28" s="3"/>
      <c r="O28" s="2">
        <v>0</v>
      </c>
      <c r="P28" s="3"/>
      <c r="Q28" s="2">
        <v>1604</v>
      </c>
      <c r="R28" s="3"/>
      <c r="S28" s="2">
        <v>786</v>
      </c>
      <c r="T28" s="3"/>
      <c r="U28" s="2">
        <v>834</v>
      </c>
      <c r="V28" s="3"/>
      <c r="W28" s="2">
        <v>892</v>
      </c>
      <c r="X28" s="3"/>
      <c r="Y28" s="2">
        <v>800</v>
      </c>
      <c r="Z28" s="3"/>
      <c r="AA28" s="2">
        <v>942</v>
      </c>
      <c r="AB28" s="3"/>
      <c r="AC28" s="2">
        <v>980</v>
      </c>
      <c r="AD28" s="3"/>
      <c r="AE28" s="2">
        <v>934</v>
      </c>
      <c r="AF28" s="3"/>
      <c r="AG28" s="2">
        <v>868</v>
      </c>
      <c r="AH28" s="3"/>
      <c r="AI28" s="2">
        <v>884</v>
      </c>
      <c r="AJ28" s="3"/>
      <c r="AK28" s="2">
        <v>904</v>
      </c>
      <c r="AL28" s="3"/>
      <c r="AM28" s="2">
        <f>ROUND(SUM(G28:AK28),5)</f>
        <v>13850</v>
      </c>
    </row>
    <row r="29" spans="1:39" x14ac:dyDescent="0.25">
      <c r="A29" s="1"/>
      <c r="B29" s="1"/>
      <c r="C29" s="1"/>
      <c r="D29" s="1"/>
      <c r="E29" s="1"/>
      <c r="F29" s="1" t="s">
        <v>44</v>
      </c>
      <c r="G29" s="2">
        <v>1000</v>
      </c>
      <c r="H29" s="3"/>
      <c r="I29" s="2">
        <v>1000</v>
      </c>
      <c r="J29" s="3"/>
      <c r="K29" s="2">
        <v>1000</v>
      </c>
      <c r="L29" s="3"/>
      <c r="M29" s="2">
        <v>1000</v>
      </c>
      <c r="N29" s="3"/>
      <c r="O29" s="2">
        <v>1000</v>
      </c>
      <c r="P29" s="3"/>
      <c r="Q29" s="2">
        <v>1000</v>
      </c>
      <c r="R29" s="3"/>
      <c r="S29" s="2">
        <v>1000</v>
      </c>
      <c r="T29" s="3"/>
      <c r="U29" s="2">
        <v>1000</v>
      </c>
      <c r="V29" s="3"/>
      <c r="W29" s="2">
        <v>1000</v>
      </c>
      <c r="X29" s="3"/>
      <c r="Y29" s="2">
        <v>1000</v>
      </c>
      <c r="Z29" s="3"/>
      <c r="AA29" s="2">
        <v>1000</v>
      </c>
      <c r="AB29" s="3"/>
      <c r="AC29" s="2">
        <v>1000</v>
      </c>
      <c r="AD29" s="3"/>
      <c r="AE29" s="2">
        <v>1000</v>
      </c>
      <c r="AF29" s="3"/>
      <c r="AG29" s="2">
        <v>1000</v>
      </c>
      <c r="AH29" s="3"/>
      <c r="AI29" s="2">
        <v>1000</v>
      </c>
      <c r="AJ29" s="3"/>
      <c r="AK29" s="2">
        <v>1000</v>
      </c>
      <c r="AL29" s="3"/>
      <c r="AM29" s="2">
        <f>ROUND(SUM(G29:AK29),5)</f>
        <v>16000</v>
      </c>
    </row>
    <row r="30" spans="1:39" x14ac:dyDescent="0.25">
      <c r="A30" s="1"/>
      <c r="B30" s="1"/>
      <c r="C30" s="1"/>
      <c r="D30" s="1"/>
      <c r="E30" s="1"/>
      <c r="F30" s="1" t="s">
        <v>45</v>
      </c>
      <c r="G30" s="2">
        <v>0</v>
      </c>
      <c r="H30" s="3"/>
      <c r="I30" s="2">
        <v>0</v>
      </c>
      <c r="J30" s="3"/>
      <c r="K30" s="2">
        <v>0</v>
      </c>
      <c r="L30" s="3"/>
      <c r="M30" s="2">
        <v>0</v>
      </c>
      <c r="N30" s="3"/>
      <c r="O30" s="2">
        <v>0</v>
      </c>
      <c r="P30" s="3"/>
      <c r="Q30" s="2">
        <v>0</v>
      </c>
      <c r="R30" s="3"/>
      <c r="S30" s="2">
        <v>0</v>
      </c>
      <c r="T30" s="3"/>
      <c r="U30" s="2">
        <v>0</v>
      </c>
      <c r="V30" s="3"/>
      <c r="W30" s="2">
        <v>0</v>
      </c>
      <c r="X30" s="3"/>
      <c r="Y30" s="2">
        <v>320</v>
      </c>
      <c r="Z30" s="3"/>
      <c r="AA30" s="2">
        <v>0</v>
      </c>
      <c r="AB30" s="3"/>
      <c r="AC30" s="2">
        <v>60</v>
      </c>
      <c r="AD30" s="3"/>
      <c r="AE30" s="2">
        <v>60</v>
      </c>
      <c r="AF30" s="3"/>
      <c r="AG30" s="2">
        <v>0</v>
      </c>
      <c r="AH30" s="3"/>
      <c r="AI30" s="2">
        <v>0</v>
      </c>
      <c r="AJ30" s="3"/>
      <c r="AK30" s="2">
        <v>0</v>
      </c>
      <c r="AL30" s="3"/>
      <c r="AM30" s="2">
        <f>ROUND(SUM(G30:AK30),5)</f>
        <v>440</v>
      </c>
    </row>
    <row r="31" spans="1:39" x14ac:dyDescent="0.25">
      <c r="A31" s="1"/>
      <c r="B31" s="1"/>
      <c r="C31" s="1"/>
      <c r="D31" s="1"/>
      <c r="E31" s="1"/>
      <c r="F31" s="1" t="s">
        <v>46</v>
      </c>
      <c r="G31" s="2">
        <v>0</v>
      </c>
      <c r="H31" s="3"/>
      <c r="I31" s="2">
        <v>0</v>
      </c>
      <c r="J31" s="3"/>
      <c r="K31" s="2">
        <v>0</v>
      </c>
      <c r="L31" s="3"/>
      <c r="M31" s="2">
        <v>0</v>
      </c>
      <c r="N31" s="3"/>
      <c r="O31" s="2">
        <v>0</v>
      </c>
      <c r="P31" s="3"/>
      <c r="Q31" s="2">
        <v>0</v>
      </c>
      <c r="R31" s="3"/>
      <c r="S31" s="2">
        <v>0</v>
      </c>
      <c r="T31" s="3"/>
      <c r="U31" s="2">
        <v>0</v>
      </c>
      <c r="V31" s="3"/>
      <c r="W31" s="2">
        <v>0</v>
      </c>
      <c r="X31" s="3"/>
      <c r="Y31" s="2">
        <v>0</v>
      </c>
      <c r="Z31" s="3"/>
      <c r="AA31" s="2">
        <v>0</v>
      </c>
      <c r="AB31" s="3"/>
      <c r="AC31" s="2">
        <v>0</v>
      </c>
      <c r="AD31" s="3"/>
      <c r="AE31" s="2">
        <v>0</v>
      </c>
      <c r="AF31" s="3"/>
      <c r="AG31" s="2">
        <v>0</v>
      </c>
      <c r="AH31" s="3"/>
      <c r="AI31" s="2">
        <v>0</v>
      </c>
      <c r="AJ31" s="3"/>
      <c r="AK31" s="2">
        <v>90</v>
      </c>
      <c r="AL31" s="3"/>
      <c r="AM31" s="2">
        <f>ROUND(SUM(G31:AK31),5)</f>
        <v>90</v>
      </c>
    </row>
    <row r="32" spans="1:39" x14ac:dyDescent="0.25">
      <c r="A32" s="1"/>
      <c r="B32" s="1"/>
      <c r="C32" s="1"/>
      <c r="D32" s="1"/>
      <c r="E32" s="1"/>
      <c r="F32" s="1" t="s">
        <v>47</v>
      </c>
      <c r="G32" s="2">
        <v>0</v>
      </c>
      <c r="H32" s="3"/>
      <c r="I32" s="2">
        <v>0</v>
      </c>
      <c r="J32" s="3"/>
      <c r="K32" s="2">
        <v>0</v>
      </c>
      <c r="L32" s="3"/>
      <c r="M32" s="2">
        <v>0</v>
      </c>
      <c r="N32" s="3"/>
      <c r="O32" s="2">
        <v>0</v>
      </c>
      <c r="P32" s="3"/>
      <c r="Q32" s="2">
        <v>0</v>
      </c>
      <c r="R32" s="3"/>
      <c r="S32" s="2">
        <v>0</v>
      </c>
      <c r="T32" s="3"/>
      <c r="U32" s="2">
        <v>0</v>
      </c>
      <c r="V32" s="3"/>
      <c r="W32" s="2">
        <v>0</v>
      </c>
      <c r="X32" s="3"/>
      <c r="Y32" s="2">
        <v>0</v>
      </c>
      <c r="Z32" s="3"/>
      <c r="AA32" s="2">
        <v>0</v>
      </c>
      <c r="AB32" s="3"/>
      <c r="AC32" s="2">
        <v>0</v>
      </c>
      <c r="AD32" s="3"/>
      <c r="AE32" s="2">
        <v>0</v>
      </c>
      <c r="AF32" s="3"/>
      <c r="AG32" s="2">
        <v>0</v>
      </c>
      <c r="AH32" s="3"/>
      <c r="AI32" s="2">
        <v>80</v>
      </c>
      <c r="AJ32" s="3"/>
      <c r="AK32" s="2">
        <v>120</v>
      </c>
      <c r="AL32" s="3"/>
      <c r="AM32" s="2">
        <f>ROUND(SUM(G32:AK32),5)</f>
        <v>200</v>
      </c>
    </row>
    <row r="33" spans="1:39" x14ac:dyDescent="0.25">
      <c r="A33" s="1"/>
      <c r="B33" s="1"/>
      <c r="C33" s="1"/>
      <c r="D33" s="1"/>
      <c r="E33" s="1"/>
      <c r="F33" s="1" t="s">
        <v>48</v>
      </c>
      <c r="G33" s="2">
        <v>0</v>
      </c>
      <c r="H33" s="3"/>
      <c r="I33" s="2">
        <v>476</v>
      </c>
      <c r="J33" s="3"/>
      <c r="K33" s="2">
        <v>336</v>
      </c>
      <c r="L33" s="3"/>
      <c r="M33" s="2">
        <v>1120</v>
      </c>
      <c r="N33" s="3"/>
      <c r="O33" s="2">
        <v>0</v>
      </c>
      <c r="P33" s="3"/>
      <c r="Q33" s="2">
        <v>0</v>
      </c>
      <c r="R33" s="3"/>
      <c r="S33" s="2">
        <v>0</v>
      </c>
      <c r="T33" s="3"/>
      <c r="U33" s="2">
        <v>0</v>
      </c>
      <c r="V33" s="3"/>
      <c r="W33" s="2">
        <v>0</v>
      </c>
      <c r="X33" s="3"/>
      <c r="Y33" s="2">
        <v>0</v>
      </c>
      <c r="Z33" s="3"/>
      <c r="AA33" s="2">
        <v>456</v>
      </c>
      <c r="AB33" s="3"/>
      <c r="AC33" s="2">
        <v>0</v>
      </c>
      <c r="AD33" s="3"/>
      <c r="AE33" s="2">
        <v>0</v>
      </c>
      <c r="AF33" s="3"/>
      <c r="AG33" s="2">
        <v>0</v>
      </c>
      <c r="AH33" s="3"/>
      <c r="AI33" s="2">
        <v>0</v>
      </c>
      <c r="AJ33" s="3"/>
      <c r="AK33" s="2">
        <v>0</v>
      </c>
      <c r="AL33" s="3"/>
      <c r="AM33" s="2">
        <f>ROUND(SUM(G33:AK33),5)</f>
        <v>2388</v>
      </c>
    </row>
    <row r="34" spans="1:39" x14ac:dyDescent="0.25">
      <c r="A34" s="1"/>
      <c r="B34" s="1"/>
      <c r="C34" s="1"/>
      <c r="D34" s="1"/>
      <c r="E34" s="1"/>
      <c r="F34" s="1" t="s">
        <v>49</v>
      </c>
      <c r="G34" s="2">
        <v>900</v>
      </c>
      <c r="H34" s="3"/>
      <c r="I34" s="2">
        <v>900</v>
      </c>
      <c r="J34" s="3"/>
      <c r="K34" s="2">
        <v>900</v>
      </c>
      <c r="L34" s="3"/>
      <c r="M34" s="2">
        <v>900</v>
      </c>
      <c r="N34" s="3"/>
      <c r="O34" s="2">
        <v>900</v>
      </c>
      <c r="P34" s="3"/>
      <c r="Q34" s="2">
        <v>900</v>
      </c>
      <c r="R34" s="3"/>
      <c r="S34" s="2">
        <v>900</v>
      </c>
      <c r="T34" s="3"/>
      <c r="U34" s="2">
        <v>900</v>
      </c>
      <c r="V34" s="3"/>
      <c r="W34" s="2">
        <v>900</v>
      </c>
      <c r="X34" s="3"/>
      <c r="Y34" s="2">
        <v>900</v>
      </c>
      <c r="Z34" s="3"/>
      <c r="AA34" s="2">
        <v>900</v>
      </c>
      <c r="AB34" s="3"/>
      <c r="AC34" s="2">
        <v>900</v>
      </c>
      <c r="AD34" s="3"/>
      <c r="AE34" s="2">
        <v>900</v>
      </c>
      <c r="AF34" s="3"/>
      <c r="AG34" s="2">
        <v>900</v>
      </c>
      <c r="AH34" s="3"/>
      <c r="AI34" s="2">
        <v>900</v>
      </c>
      <c r="AJ34" s="3"/>
      <c r="AK34" s="2">
        <v>900</v>
      </c>
      <c r="AL34" s="3"/>
      <c r="AM34" s="2">
        <f>ROUND(SUM(G34:AK34),5)</f>
        <v>14400</v>
      </c>
    </row>
    <row r="35" spans="1:39" ht="15.75" thickBot="1" x14ac:dyDescent="0.3">
      <c r="A35" s="1"/>
      <c r="B35" s="1"/>
      <c r="C35" s="1"/>
      <c r="D35" s="1"/>
      <c r="E35" s="1"/>
      <c r="F35" s="1" t="s">
        <v>50</v>
      </c>
      <c r="G35" s="6">
        <v>0</v>
      </c>
      <c r="H35" s="3"/>
      <c r="I35" s="6">
        <v>0</v>
      </c>
      <c r="J35" s="3"/>
      <c r="K35" s="6">
        <v>0</v>
      </c>
      <c r="L35" s="3"/>
      <c r="M35" s="6">
        <v>0</v>
      </c>
      <c r="N35" s="3"/>
      <c r="O35" s="6">
        <v>0</v>
      </c>
      <c r="P35" s="3"/>
      <c r="Q35" s="6">
        <v>0</v>
      </c>
      <c r="R35" s="3"/>
      <c r="S35" s="6">
        <v>0</v>
      </c>
      <c r="T35" s="3"/>
      <c r="U35" s="6">
        <v>0</v>
      </c>
      <c r="V35" s="3"/>
      <c r="W35" s="6">
        <v>0</v>
      </c>
      <c r="X35" s="3"/>
      <c r="Y35" s="6">
        <v>0</v>
      </c>
      <c r="Z35" s="3"/>
      <c r="AA35" s="6">
        <v>0</v>
      </c>
      <c r="AB35" s="3"/>
      <c r="AC35" s="6">
        <v>750</v>
      </c>
      <c r="AD35" s="3"/>
      <c r="AE35" s="6">
        <v>0</v>
      </c>
      <c r="AF35" s="3"/>
      <c r="AG35" s="6">
        <v>0</v>
      </c>
      <c r="AH35" s="3"/>
      <c r="AI35" s="6">
        <v>210</v>
      </c>
      <c r="AJ35" s="3"/>
      <c r="AK35" s="6">
        <v>180</v>
      </c>
      <c r="AL35" s="3"/>
      <c r="AM35" s="6">
        <f>ROUND(SUM(G35:AK35),5)</f>
        <v>1140</v>
      </c>
    </row>
    <row r="36" spans="1:39" x14ac:dyDescent="0.25">
      <c r="A36" s="1"/>
      <c r="B36" s="1"/>
      <c r="C36" s="1"/>
      <c r="D36" s="1"/>
      <c r="E36" s="1" t="s">
        <v>51</v>
      </c>
      <c r="F36" s="1"/>
      <c r="G36" s="2">
        <f>ROUND(SUM(G18:G35),5)</f>
        <v>161846.82</v>
      </c>
      <c r="H36" s="3"/>
      <c r="I36" s="2">
        <f>ROUND(SUM(I18:I35),5)</f>
        <v>178405.13</v>
      </c>
      <c r="J36" s="3"/>
      <c r="K36" s="2">
        <f>ROUND(SUM(K18:K35),5)</f>
        <v>188758.05</v>
      </c>
      <c r="L36" s="3"/>
      <c r="M36" s="2">
        <f>ROUND(SUM(M18:M35),5)</f>
        <v>161992.59</v>
      </c>
      <c r="N36" s="3"/>
      <c r="O36" s="2">
        <f>ROUND(SUM(O18:O35),5)</f>
        <v>182991.14</v>
      </c>
      <c r="P36" s="3"/>
      <c r="Q36" s="2">
        <f>ROUND(SUM(Q18:Q35),5)</f>
        <v>178707.56</v>
      </c>
      <c r="R36" s="3"/>
      <c r="S36" s="2">
        <f>ROUND(SUM(S18:S35),5)</f>
        <v>184007.63</v>
      </c>
      <c r="T36" s="3"/>
      <c r="U36" s="2">
        <f>ROUND(SUM(U18:U35),5)</f>
        <v>176333.37</v>
      </c>
      <c r="V36" s="3"/>
      <c r="W36" s="2">
        <f>ROUND(SUM(W18:W35),5)</f>
        <v>183472.85</v>
      </c>
      <c r="X36" s="3"/>
      <c r="Y36" s="2">
        <f>ROUND(SUM(Y18:Y35),5)</f>
        <v>184205.26</v>
      </c>
      <c r="Z36" s="3"/>
      <c r="AA36" s="2">
        <f>ROUND(SUM(AA18:AA35),5)</f>
        <v>177360.17</v>
      </c>
      <c r="AB36" s="3"/>
      <c r="AC36" s="2">
        <f>ROUND(SUM(AC18:AC35),5)</f>
        <v>188826.38</v>
      </c>
      <c r="AD36" s="3"/>
      <c r="AE36" s="2">
        <f>ROUND(SUM(AE18:AE35),5)</f>
        <v>179968.35</v>
      </c>
      <c r="AF36" s="3"/>
      <c r="AG36" s="2">
        <f>ROUND(SUM(AG18:AG35),5)</f>
        <v>180047.57</v>
      </c>
      <c r="AH36" s="3"/>
      <c r="AI36" s="2">
        <f>ROUND(SUM(AI18:AI35),5)</f>
        <v>180175.52</v>
      </c>
      <c r="AJ36" s="3"/>
      <c r="AK36" s="2">
        <f>ROUND(SUM(AK18:AK35),5)</f>
        <v>167484.4</v>
      </c>
      <c r="AL36" s="3"/>
      <c r="AM36" s="2">
        <f>ROUND(SUM(G36:AK36),5)</f>
        <v>2854582.79</v>
      </c>
    </row>
    <row r="37" spans="1:39" x14ac:dyDescent="0.25">
      <c r="A37" s="1"/>
      <c r="B37" s="1"/>
      <c r="C37" s="1"/>
      <c r="D37" s="1"/>
      <c r="E37" s="1" t="s">
        <v>52</v>
      </c>
      <c r="F37" s="1"/>
      <c r="G37" s="2"/>
      <c r="H37" s="3"/>
      <c r="I37" s="2"/>
      <c r="J37" s="3"/>
      <c r="K37" s="2"/>
      <c r="L37" s="3"/>
      <c r="M37" s="2"/>
      <c r="N37" s="3"/>
      <c r="O37" s="2"/>
      <c r="P37" s="3"/>
      <c r="Q37" s="2"/>
      <c r="R37" s="3"/>
      <c r="S37" s="2"/>
      <c r="T37" s="3"/>
      <c r="U37" s="2"/>
      <c r="V37" s="3"/>
      <c r="W37" s="2"/>
      <c r="X37" s="3"/>
      <c r="Y37" s="2"/>
      <c r="Z37" s="3"/>
      <c r="AA37" s="2"/>
      <c r="AB37" s="3"/>
      <c r="AC37" s="2"/>
      <c r="AD37" s="3"/>
      <c r="AE37" s="2"/>
      <c r="AF37" s="3"/>
      <c r="AG37" s="2"/>
      <c r="AH37" s="3"/>
      <c r="AI37" s="2"/>
      <c r="AJ37" s="3"/>
      <c r="AK37" s="2"/>
      <c r="AL37" s="3"/>
      <c r="AM37" s="2"/>
    </row>
    <row r="38" spans="1:39" x14ac:dyDescent="0.25">
      <c r="A38" s="1"/>
      <c r="B38" s="1"/>
      <c r="C38" s="1"/>
      <c r="D38" s="1"/>
      <c r="E38" s="1"/>
      <c r="F38" s="1" t="s">
        <v>53</v>
      </c>
      <c r="G38" s="2">
        <v>1113.96</v>
      </c>
      <c r="H38" s="3"/>
      <c r="I38" s="2">
        <v>1449.03</v>
      </c>
      <c r="J38" s="3"/>
      <c r="K38" s="2">
        <v>1337.46</v>
      </c>
      <c r="L38" s="3"/>
      <c r="M38" s="2">
        <v>598.89</v>
      </c>
      <c r="N38" s="3"/>
      <c r="O38" s="2">
        <v>252.06</v>
      </c>
      <c r="P38" s="3"/>
      <c r="Q38" s="2">
        <v>81.45</v>
      </c>
      <c r="R38" s="3"/>
      <c r="S38" s="2">
        <v>60.41</v>
      </c>
      <c r="T38" s="3"/>
      <c r="U38" s="2">
        <v>61.44</v>
      </c>
      <c r="V38" s="3"/>
      <c r="W38" s="2">
        <v>43.27</v>
      </c>
      <c r="X38" s="3"/>
      <c r="Y38" s="2">
        <v>70.78</v>
      </c>
      <c r="Z38" s="3"/>
      <c r="AA38" s="2">
        <v>79.790000000000006</v>
      </c>
      <c r="AB38" s="3"/>
      <c r="AC38" s="2">
        <v>40.54</v>
      </c>
      <c r="AD38" s="3"/>
      <c r="AE38" s="2">
        <v>33.15</v>
      </c>
      <c r="AF38" s="3"/>
      <c r="AG38" s="2">
        <v>652.25</v>
      </c>
      <c r="AH38" s="3"/>
      <c r="AI38" s="2">
        <v>1336.96</v>
      </c>
      <c r="AJ38" s="3"/>
      <c r="AK38" s="2">
        <v>506.71</v>
      </c>
      <c r="AL38" s="3"/>
      <c r="AM38" s="2">
        <f>ROUND(SUM(G38:AK38),5)</f>
        <v>7718.15</v>
      </c>
    </row>
    <row r="39" spans="1:39" x14ac:dyDescent="0.25">
      <c r="A39" s="1"/>
      <c r="B39" s="1"/>
      <c r="C39" s="1"/>
      <c r="D39" s="1"/>
      <c r="E39" s="1"/>
      <c r="F39" s="1" t="s">
        <v>54</v>
      </c>
      <c r="G39" s="2">
        <v>10053.99</v>
      </c>
      <c r="H39" s="3"/>
      <c r="I39" s="2">
        <v>9365.5300000000007</v>
      </c>
      <c r="J39" s="3"/>
      <c r="K39" s="2">
        <v>9934.0400000000009</v>
      </c>
      <c r="L39" s="3"/>
      <c r="M39" s="2">
        <v>7177.5</v>
      </c>
      <c r="N39" s="3"/>
      <c r="O39" s="2">
        <v>5333.03</v>
      </c>
      <c r="P39" s="3"/>
      <c r="Q39" s="2">
        <v>3267.36</v>
      </c>
      <c r="R39" s="3"/>
      <c r="S39" s="2">
        <v>2217.0100000000002</v>
      </c>
      <c r="T39" s="3"/>
      <c r="U39" s="2">
        <v>1033.77</v>
      </c>
      <c r="V39" s="3"/>
      <c r="W39" s="2">
        <v>658.56</v>
      </c>
      <c r="X39" s="3"/>
      <c r="Y39" s="2">
        <v>816.64</v>
      </c>
      <c r="Z39" s="3"/>
      <c r="AA39" s="2">
        <v>643.83000000000004</v>
      </c>
      <c r="AB39" s="3"/>
      <c r="AC39" s="2">
        <v>627.83000000000004</v>
      </c>
      <c r="AD39" s="3"/>
      <c r="AE39" s="2">
        <v>608.54</v>
      </c>
      <c r="AF39" s="3"/>
      <c r="AG39" s="2">
        <v>3925.67</v>
      </c>
      <c r="AH39" s="3"/>
      <c r="AI39" s="2">
        <v>9500.1200000000008</v>
      </c>
      <c r="AJ39" s="3"/>
      <c r="AK39" s="2">
        <v>6276.3</v>
      </c>
      <c r="AL39" s="3"/>
      <c r="AM39" s="2">
        <f>ROUND(SUM(G39:AK39),5)</f>
        <v>71439.72</v>
      </c>
    </row>
    <row r="40" spans="1:39" x14ac:dyDescent="0.25">
      <c r="A40" s="1"/>
      <c r="B40" s="1"/>
      <c r="C40" s="1"/>
      <c r="D40" s="1"/>
      <c r="E40" s="1"/>
      <c r="F40" s="1" t="s">
        <v>55</v>
      </c>
      <c r="G40" s="2">
        <v>18942.72</v>
      </c>
      <c r="H40" s="3"/>
      <c r="I40" s="2">
        <v>20071.47</v>
      </c>
      <c r="J40" s="3"/>
      <c r="K40" s="2">
        <v>20920.740000000002</v>
      </c>
      <c r="L40" s="3"/>
      <c r="M40" s="2">
        <v>18960.259999999998</v>
      </c>
      <c r="N40" s="3"/>
      <c r="O40" s="2">
        <v>20795.64</v>
      </c>
      <c r="P40" s="3"/>
      <c r="Q40" s="2">
        <v>19900.25</v>
      </c>
      <c r="R40" s="3"/>
      <c r="S40" s="2">
        <v>21631.53</v>
      </c>
      <c r="T40" s="3"/>
      <c r="U40" s="2">
        <v>21287.26</v>
      </c>
      <c r="V40" s="3"/>
      <c r="W40" s="2">
        <v>21494.84</v>
      </c>
      <c r="X40" s="3"/>
      <c r="Y40" s="2">
        <v>21701.53</v>
      </c>
      <c r="Z40" s="3"/>
      <c r="AA40" s="2">
        <v>21464.03</v>
      </c>
      <c r="AB40" s="3"/>
      <c r="AC40" s="2">
        <v>21808.19</v>
      </c>
      <c r="AD40" s="3"/>
      <c r="AE40" s="2">
        <v>21161.41</v>
      </c>
      <c r="AF40" s="3"/>
      <c r="AG40" s="2">
        <v>22135.32</v>
      </c>
      <c r="AH40" s="3"/>
      <c r="AI40" s="2">
        <v>21752.33</v>
      </c>
      <c r="AJ40" s="3"/>
      <c r="AK40" s="2">
        <v>19700.93</v>
      </c>
      <c r="AL40" s="3"/>
      <c r="AM40" s="2">
        <f>ROUND(SUM(G40:AK40),5)</f>
        <v>333728.45</v>
      </c>
    </row>
    <row r="41" spans="1:39" x14ac:dyDescent="0.25">
      <c r="A41" s="1"/>
      <c r="B41" s="1"/>
      <c r="C41" s="1"/>
      <c r="D41" s="1"/>
      <c r="E41" s="1"/>
      <c r="F41" s="1" t="s">
        <v>56</v>
      </c>
      <c r="G41" s="2">
        <v>-1249.6400000000001</v>
      </c>
      <c r="H41" s="3"/>
      <c r="I41" s="2">
        <v>-3748.92</v>
      </c>
      <c r="J41" s="3"/>
      <c r="K41" s="2">
        <v>15691.04</v>
      </c>
      <c r="L41" s="3"/>
      <c r="M41" s="2">
        <v>3564.16</v>
      </c>
      <c r="N41" s="3"/>
      <c r="O41" s="2">
        <v>2977.76</v>
      </c>
      <c r="P41" s="3"/>
      <c r="Q41" s="2">
        <v>1360.77</v>
      </c>
      <c r="R41" s="3"/>
      <c r="S41" s="2">
        <v>3124.47</v>
      </c>
      <c r="T41" s="3"/>
      <c r="U41" s="2">
        <v>4919.41</v>
      </c>
      <c r="V41" s="3"/>
      <c r="W41" s="2">
        <v>3334.92</v>
      </c>
      <c r="X41" s="3"/>
      <c r="Y41" s="2">
        <v>3424.84</v>
      </c>
      <c r="Z41" s="3"/>
      <c r="AA41" s="2">
        <v>3519.34</v>
      </c>
      <c r="AB41" s="3"/>
      <c r="AC41" s="2">
        <v>578.65</v>
      </c>
      <c r="AD41" s="3"/>
      <c r="AE41" s="2">
        <v>2936.53</v>
      </c>
      <c r="AF41" s="3"/>
      <c r="AG41" s="2">
        <v>3109.03</v>
      </c>
      <c r="AH41" s="3"/>
      <c r="AI41" s="2">
        <v>3281.53</v>
      </c>
      <c r="AJ41" s="3"/>
      <c r="AK41" s="2">
        <v>3281.53</v>
      </c>
      <c r="AL41" s="3"/>
      <c r="AM41" s="2">
        <f>ROUND(SUM(G41:AK41),5)</f>
        <v>50105.42</v>
      </c>
    </row>
    <row r="42" spans="1:39" x14ac:dyDescent="0.25">
      <c r="A42" s="1"/>
      <c r="B42" s="1"/>
      <c r="C42" s="1"/>
      <c r="D42" s="1"/>
      <c r="E42" s="1"/>
      <c r="F42" s="1" t="s">
        <v>57</v>
      </c>
      <c r="G42" s="2">
        <v>0</v>
      </c>
      <c r="H42" s="3"/>
      <c r="I42" s="2">
        <v>0</v>
      </c>
      <c r="J42" s="3"/>
      <c r="K42" s="2">
        <v>0</v>
      </c>
      <c r="L42" s="3"/>
      <c r="M42" s="2">
        <v>0</v>
      </c>
      <c r="N42" s="3"/>
      <c r="O42" s="2">
        <v>0</v>
      </c>
      <c r="P42" s="3"/>
      <c r="Q42" s="2">
        <v>112.63</v>
      </c>
      <c r="R42" s="3"/>
      <c r="S42" s="2">
        <v>222.86</v>
      </c>
      <c r="T42" s="3"/>
      <c r="U42" s="2">
        <v>222.86</v>
      </c>
      <c r="V42" s="3"/>
      <c r="W42" s="2">
        <v>0</v>
      </c>
      <c r="X42" s="3"/>
      <c r="Y42" s="2">
        <v>233.88</v>
      </c>
      <c r="Z42" s="3"/>
      <c r="AA42" s="2">
        <v>0</v>
      </c>
      <c r="AB42" s="3"/>
      <c r="AC42" s="2">
        <v>233.88</v>
      </c>
      <c r="AD42" s="3"/>
      <c r="AE42" s="2">
        <v>0</v>
      </c>
      <c r="AF42" s="3"/>
      <c r="AG42" s="2">
        <v>0</v>
      </c>
      <c r="AH42" s="3"/>
      <c r="AI42" s="2">
        <v>0</v>
      </c>
      <c r="AJ42" s="3"/>
      <c r="AK42" s="2">
        <v>254.72</v>
      </c>
      <c r="AL42" s="3"/>
      <c r="AM42" s="2">
        <f>ROUND(SUM(G42:AK42),5)</f>
        <v>1280.83</v>
      </c>
    </row>
    <row r="43" spans="1:39" x14ac:dyDescent="0.25">
      <c r="A43" s="1"/>
      <c r="B43" s="1"/>
      <c r="C43" s="1"/>
      <c r="D43" s="1"/>
      <c r="E43" s="1"/>
      <c r="F43" s="1" t="s">
        <v>58</v>
      </c>
      <c r="G43" s="2">
        <v>6434.61</v>
      </c>
      <c r="H43" s="3"/>
      <c r="I43" s="2">
        <v>6289.16</v>
      </c>
      <c r="J43" s="3"/>
      <c r="K43" s="2">
        <v>8582.2099999999991</v>
      </c>
      <c r="L43" s="3"/>
      <c r="M43" s="2">
        <v>10399.09</v>
      </c>
      <c r="N43" s="3"/>
      <c r="O43" s="2">
        <v>8274.17</v>
      </c>
      <c r="P43" s="3"/>
      <c r="Q43" s="2">
        <v>5084.2700000000004</v>
      </c>
      <c r="R43" s="3"/>
      <c r="S43" s="2">
        <v>9664.83</v>
      </c>
      <c r="T43" s="3"/>
      <c r="U43" s="2">
        <v>9968.32</v>
      </c>
      <c r="V43" s="3"/>
      <c r="W43" s="2">
        <v>8640.36</v>
      </c>
      <c r="X43" s="3"/>
      <c r="Y43" s="2">
        <v>10828.78</v>
      </c>
      <c r="Z43" s="3"/>
      <c r="AA43" s="2">
        <v>9958.5400000000009</v>
      </c>
      <c r="AB43" s="3"/>
      <c r="AC43" s="2">
        <v>10078.040000000001</v>
      </c>
      <c r="AD43" s="3"/>
      <c r="AE43" s="2">
        <v>7592.98</v>
      </c>
      <c r="AF43" s="3"/>
      <c r="AG43" s="2">
        <v>12185.58</v>
      </c>
      <c r="AH43" s="3"/>
      <c r="AI43" s="2">
        <v>13148.34</v>
      </c>
      <c r="AJ43" s="3"/>
      <c r="AK43" s="2">
        <v>6392.52</v>
      </c>
      <c r="AL43" s="3"/>
      <c r="AM43" s="2">
        <f>ROUND(SUM(G43:AK43),5)</f>
        <v>143521.79999999999</v>
      </c>
    </row>
    <row r="44" spans="1:39" ht="15.75" thickBot="1" x14ac:dyDescent="0.3">
      <c r="A44" s="1"/>
      <c r="B44" s="1"/>
      <c r="C44" s="1"/>
      <c r="D44" s="1"/>
      <c r="E44" s="1"/>
      <c r="F44" s="1" t="s">
        <v>59</v>
      </c>
      <c r="G44" s="6">
        <v>0</v>
      </c>
      <c r="H44" s="3"/>
      <c r="I44" s="6">
        <v>0</v>
      </c>
      <c r="J44" s="3"/>
      <c r="K44" s="6">
        <v>16246.73</v>
      </c>
      <c r="L44" s="3"/>
      <c r="M44" s="6">
        <v>0</v>
      </c>
      <c r="N44" s="3"/>
      <c r="O44" s="6">
        <v>0</v>
      </c>
      <c r="P44" s="3"/>
      <c r="Q44" s="6">
        <v>0</v>
      </c>
      <c r="R44" s="3"/>
      <c r="S44" s="6">
        <v>4994.72</v>
      </c>
      <c r="T44" s="3"/>
      <c r="U44" s="6">
        <v>10715.69</v>
      </c>
      <c r="V44" s="3"/>
      <c r="W44" s="6">
        <v>3178.36</v>
      </c>
      <c r="X44" s="3"/>
      <c r="Y44" s="6">
        <v>719.85</v>
      </c>
      <c r="Z44" s="3"/>
      <c r="AA44" s="6">
        <v>9358.0300000000007</v>
      </c>
      <c r="AB44" s="3"/>
      <c r="AC44" s="6">
        <v>0</v>
      </c>
      <c r="AD44" s="3"/>
      <c r="AE44" s="6">
        <v>6167.93</v>
      </c>
      <c r="AF44" s="3"/>
      <c r="AG44" s="6">
        <v>17924.87</v>
      </c>
      <c r="AH44" s="3"/>
      <c r="AI44" s="6">
        <v>3626.95</v>
      </c>
      <c r="AJ44" s="3"/>
      <c r="AK44" s="6">
        <v>0</v>
      </c>
      <c r="AL44" s="3"/>
      <c r="AM44" s="6">
        <f>ROUND(SUM(G44:AK44),5)</f>
        <v>72933.13</v>
      </c>
    </row>
    <row r="45" spans="1:39" x14ac:dyDescent="0.25">
      <c r="A45" s="1"/>
      <c r="B45" s="1"/>
      <c r="C45" s="1"/>
      <c r="D45" s="1"/>
      <c r="E45" s="1" t="s">
        <v>60</v>
      </c>
      <c r="F45" s="1"/>
      <c r="G45" s="2">
        <f>ROUND(SUM(G37:G44),5)</f>
        <v>35295.64</v>
      </c>
      <c r="H45" s="3"/>
      <c r="I45" s="2">
        <f>ROUND(SUM(I37:I44),5)</f>
        <v>33426.269999999997</v>
      </c>
      <c r="J45" s="3"/>
      <c r="K45" s="2">
        <f>ROUND(SUM(K37:K44),5)</f>
        <v>72712.22</v>
      </c>
      <c r="L45" s="3"/>
      <c r="M45" s="2">
        <f>ROUND(SUM(M37:M44),5)</f>
        <v>40699.9</v>
      </c>
      <c r="N45" s="3"/>
      <c r="O45" s="2">
        <f>ROUND(SUM(O37:O44),5)</f>
        <v>37632.660000000003</v>
      </c>
      <c r="P45" s="3"/>
      <c r="Q45" s="2">
        <f>ROUND(SUM(Q37:Q44),5)</f>
        <v>29806.73</v>
      </c>
      <c r="R45" s="3"/>
      <c r="S45" s="2">
        <f>ROUND(SUM(S37:S44),5)</f>
        <v>41915.83</v>
      </c>
      <c r="T45" s="3"/>
      <c r="U45" s="2">
        <f>ROUND(SUM(U37:U44),5)</f>
        <v>48208.75</v>
      </c>
      <c r="V45" s="3"/>
      <c r="W45" s="2">
        <f>ROUND(SUM(W37:W44),5)</f>
        <v>37350.31</v>
      </c>
      <c r="X45" s="3"/>
      <c r="Y45" s="2">
        <f>ROUND(SUM(Y37:Y44),5)</f>
        <v>37796.300000000003</v>
      </c>
      <c r="Z45" s="3"/>
      <c r="AA45" s="2">
        <f>ROUND(SUM(AA37:AA44),5)</f>
        <v>45023.56</v>
      </c>
      <c r="AB45" s="3"/>
      <c r="AC45" s="2">
        <f>ROUND(SUM(AC37:AC44),5)</f>
        <v>33367.129999999997</v>
      </c>
      <c r="AD45" s="3"/>
      <c r="AE45" s="2">
        <f>ROUND(SUM(AE37:AE44),5)</f>
        <v>38500.54</v>
      </c>
      <c r="AF45" s="3"/>
      <c r="AG45" s="2">
        <f>ROUND(SUM(AG37:AG44),5)</f>
        <v>59932.72</v>
      </c>
      <c r="AH45" s="3"/>
      <c r="AI45" s="2">
        <f>ROUND(SUM(AI37:AI44),5)</f>
        <v>52646.23</v>
      </c>
      <c r="AJ45" s="3"/>
      <c r="AK45" s="2">
        <f>ROUND(SUM(AK37:AK44),5)</f>
        <v>36412.71</v>
      </c>
      <c r="AL45" s="3"/>
      <c r="AM45" s="2">
        <f>ROUND(SUM(G45:AK45),5)</f>
        <v>680727.5</v>
      </c>
    </row>
    <row r="46" spans="1:39" x14ac:dyDescent="0.25">
      <c r="A46" s="1"/>
      <c r="B46" s="1"/>
      <c r="C46" s="1"/>
      <c r="D46" s="1"/>
      <c r="E46" s="1" t="s">
        <v>61</v>
      </c>
      <c r="F46" s="1"/>
      <c r="G46" s="2"/>
      <c r="H46" s="3"/>
      <c r="I46" s="2"/>
      <c r="J46" s="3"/>
      <c r="K46" s="2"/>
      <c r="L46" s="3"/>
      <c r="M46" s="2"/>
      <c r="N46" s="3"/>
      <c r="O46" s="2"/>
      <c r="P46" s="3"/>
      <c r="Q46" s="2"/>
      <c r="R46" s="3"/>
      <c r="S46" s="2"/>
      <c r="T46" s="3"/>
      <c r="U46" s="2"/>
      <c r="V46" s="3"/>
      <c r="W46" s="2"/>
      <c r="X46" s="3"/>
      <c r="Y46" s="2"/>
      <c r="Z46" s="3"/>
      <c r="AA46" s="2"/>
      <c r="AB46" s="3"/>
      <c r="AC46" s="2"/>
      <c r="AD46" s="3"/>
      <c r="AE46" s="2"/>
      <c r="AF46" s="3"/>
      <c r="AG46" s="2"/>
      <c r="AH46" s="3"/>
      <c r="AI46" s="2"/>
      <c r="AJ46" s="3"/>
      <c r="AK46" s="2"/>
      <c r="AL46" s="3"/>
      <c r="AM46" s="2"/>
    </row>
    <row r="47" spans="1:39" x14ac:dyDescent="0.25">
      <c r="A47" s="1"/>
      <c r="B47" s="1"/>
      <c r="C47" s="1"/>
      <c r="D47" s="1"/>
      <c r="E47" s="1"/>
      <c r="F47" s="1" t="s">
        <v>62</v>
      </c>
      <c r="G47" s="2">
        <v>19644.55</v>
      </c>
      <c r="H47" s="3"/>
      <c r="I47" s="2">
        <v>17757.43</v>
      </c>
      <c r="J47" s="3"/>
      <c r="K47" s="2">
        <v>16395.13</v>
      </c>
      <c r="L47" s="3"/>
      <c r="M47" s="2">
        <v>16481.22</v>
      </c>
      <c r="N47" s="3"/>
      <c r="O47" s="2">
        <v>18510.59</v>
      </c>
      <c r="P47" s="3"/>
      <c r="Q47" s="2">
        <v>17131.650000000001</v>
      </c>
      <c r="R47" s="3"/>
      <c r="S47" s="2">
        <v>18257.5</v>
      </c>
      <c r="T47" s="3"/>
      <c r="U47" s="2">
        <v>17240.07</v>
      </c>
      <c r="V47" s="3"/>
      <c r="W47" s="2">
        <v>18045.189999999999</v>
      </c>
      <c r="X47" s="3"/>
      <c r="Y47" s="2">
        <v>19119.66</v>
      </c>
      <c r="Z47" s="3"/>
      <c r="AA47" s="2">
        <v>16364.15</v>
      </c>
      <c r="AB47" s="3"/>
      <c r="AC47" s="2">
        <v>17392.45</v>
      </c>
      <c r="AD47" s="3"/>
      <c r="AE47" s="2">
        <v>17750.11</v>
      </c>
      <c r="AF47" s="3"/>
      <c r="AG47" s="2">
        <v>17704.53</v>
      </c>
      <c r="AH47" s="3"/>
      <c r="AI47" s="2">
        <v>17099.439999999999</v>
      </c>
      <c r="AJ47" s="3"/>
      <c r="AK47" s="2">
        <v>16575.18</v>
      </c>
      <c r="AL47" s="3"/>
      <c r="AM47" s="2">
        <f>ROUND(SUM(G47:AK47),5)</f>
        <v>281468.84999999998</v>
      </c>
    </row>
    <row r="48" spans="1:39" x14ac:dyDescent="0.25">
      <c r="A48" s="1"/>
      <c r="B48" s="1"/>
      <c r="C48" s="1"/>
      <c r="D48" s="1"/>
      <c r="E48" s="1"/>
      <c r="F48" s="1" t="s">
        <v>63</v>
      </c>
      <c r="G48" s="2">
        <v>0</v>
      </c>
      <c r="H48" s="3"/>
      <c r="I48" s="2">
        <v>107.77</v>
      </c>
      <c r="J48" s="3"/>
      <c r="K48" s="2">
        <v>2148.37</v>
      </c>
      <c r="L48" s="3"/>
      <c r="M48" s="2">
        <v>2677.45</v>
      </c>
      <c r="N48" s="3"/>
      <c r="O48" s="2">
        <v>2893.34</v>
      </c>
      <c r="P48" s="3"/>
      <c r="Q48" s="2">
        <v>2441.02</v>
      </c>
      <c r="R48" s="3"/>
      <c r="S48" s="2">
        <v>2446.09</v>
      </c>
      <c r="T48" s="3"/>
      <c r="U48" s="2">
        <v>2329.21</v>
      </c>
      <c r="V48" s="3"/>
      <c r="W48" s="2">
        <v>2811.15</v>
      </c>
      <c r="X48" s="3"/>
      <c r="Y48" s="2">
        <v>2799.03</v>
      </c>
      <c r="Z48" s="3"/>
      <c r="AA48" s="2">
        <v>2886.1</v>
      </c>
      <c r="AB48" s="3"/>
      <c r="AC48" s="2">
        <v>2897.87</v>
      </c>
      <c r="AD48" s="3"/>
      <c r="AE48" s="2">
        <v>2752.22</v>
      </c>
      <c r="AF48" s="3"/>
      <c r="AG48" s="2">
        <v>2984.93</v>
      </c>
      <c r="AH48" s="3"/>
      <c r="AI48" s="2">
        <v>2655.22</v>
      </c>
      <c r="AJ48" s="3"/>
      <c r="AK48" s="2">
        <v>2788.92</v>
      </c>
      <c r="AL48" s="3"/>
      <c r="AM48" s="2">
        <f>ROUND(SUM(G48:AK48),5)</f>
        <v>37618.69</v>
      </c>
    </row>
    <row r="49" spans="1:39" x14ac:dyDescent="0.25">
      <c r="A49" s="1"/>
      <c r="B49" s="1"/>
      <c r="C49" s="1"/>
      <c r="D49" s="1"/>
      <c r="E49" s="1"/>
      <c r="F49" s="1" t="s">
        <v>64</v>
      </c>
      <c r="G49" s="2">
        <v>9406.56</v>
      </c>
      <c r="H49" s="3"/>
      <c r="I49" s="2">
        <v>24990.03</v>
      </c>
      <c r="J49" s="3"/>
      <c r="K49" s="2">
        <v>41564.65</v>
      </c>
      <c r="L49" s="3"/>
      <c r="M49" s="2">
        <v>21013.39</v>
      </c>
      <c r="N49" s="3"/>
      <c r="O49" s="2">
        <v>21471.43</v>
      </c>
      <c r="P49" s="3"/>
      <c r="Q49" s="2">
        <v>21099.55</v>
      </c>
      <c r="R49" s="3"/>
      <c r="S49" s="2">
        <v>23538.19</v>
      </c>
      <c r="T49" s="3"/>
      <c r="U49" s="2">
        <v>17862.18</v>
      </c>
      <c r="V49" s="3"/>
      <c r="W49" s="2">
        <v>21643.72</v>
      </c>
      <c r="X49" s="3"/>
      <c r="Y49" s="2">
        <v>24774.87</v>
      </c>
      <c r="Z49" s="3"/>
      <c r="AA49" s="2">
        <v>22061.32</v>
      </c>
      <c r="AB49" s="3"/>
      <c r="AC49" s="2">
        <v>23905.119999999999</v>
      </c>
      <c r="AD49" s="3"/>
      <c r="AE49" s="2">
        <v>21605.9</v>
      </c>
      <c r="AF49" s="3"/>
      <c r="AG49" s="2">
        <v>22674.95</v>
      </c>
      <c r="AH49" s="3"/>
      <c r="AI49" s="2">
        <v>21863.88</v>
      </c>
      <c r="AJ49" s="3"/>
      <c r="AK49" s="2">
        <v>18782.23</v>
      </c>
      <c r="AL49" s="3"/>
      <c r="AM49" s="2">
        <f>ROUND(SUM(G49:AK49),5)</f>
        <v>358257.97</v>
      </c>
    </row>
    <row r="50" spans="1:39" x14ac:dyDescent="0.25">
      <c r="A50" s="1"/>
      <c r="B50" s="1"/>
      <c r="C50" s="1"/>
      <c r="D50" s="1"/>
      <c r="E50" s="1"/>
      <c r="F50" s="1" t="s">
        <v>65</v>
      </c>
      <c r="G50" s="2">
        <v>167.02</v>
      </c>
      <c r="H50" s="3"/>
      <c r="I50" s="2">
        <v>730.9</v>
      </c>
      <c r="J50" s="3"/>
      <c r="K50" s="2">
        <v>742.28</v>
      </c>
      <c r="L50" s="3"/>
      <c r="M50" s="2">
        <v>718.52</v>
      </c>
      <c r="N50" s="3"/>
      <c r="O50" s="2">
        <v>710.11</v>
      </c>
      <c r="P50" s="3"/>
      <c r="Q50" s="2">
        <v>0</v>
      </c>
      <c r="R50" s="3"/>
      <c r="S50" s="2">
        <v>805.86</v>
      </c>
      <c r="T50" s="3"/>
      <c r="U50" s="2">
        <v>864</v>
      </c>
      <c r="V50" s="3"/>
      <c r="W50" s="2">
        <v>881.54</v>
      </c>
      <c r="X50" s="3"/>
      <c r="Y50" s="2">
        <v>989.26</v>
      </c>
      <c r="Z50" s="3"/>
      <c r="AA50" s="2">
        <v>778.23</v>
      </c>
      <c r="AB50" s="3"/>
      <c r="AC50" s="2">
        <v>935.74</v>
      </c>
      <c r="AD50" s="3"/>
      <c r="AE50" s="2">
        <v>926.55</v>
      </c>
      <c r="AF50" s="3"/>
      <c r="AG50" s="2">
        <v>836.07</v>
      </c>
      <c r="AH50" s="3"/>
      <c r="AI50" s="2">
        <v>691.33</v>
      </c>
      <c r="AJ50" s="3"/>
      <c r="AK50" s="2">
        <v>386.64</v>
      </c>
      <c r="AL50" s="3"/>
      <c r="AM50" s="2">
        <f>ROUND(SUM(G50:AK50),5)</f>
        <v>11164.05</v>
      </c>
    </row>
    <row r="51" spans="1:39" x14ac:dyDescent="0.25">
      <c r="A51" s="1"/>
      <c r="B51" s="1"/>
      <c r="C51" s="1"/>
      <c r="D51" s="1"/>
      <c r="E51" s="1"/>
      <c r="F51" s="1" t="s">
        <v>66</v>
      </c>
      <c r="G51" s="2">
        <v>253.57</v>
      </c>
      <c r="H51" s="3"/>
      <c r="I51" s="2">
        <v>34.26</v>
      </c>
      <c r="J51" s="3"/>
      <c r="K51" s="2">
        <v>0</v>
      </c>
      <c r="L51" s="3"/>
      <c r="M51" s="2">
        <v>0</v>
      </c>
      <c r="N51" s="3"/>
      <c r="O51" s="2">
        <v>0</v>
      </c>
      <c r="P51" s="3"/>
      <c r="Q51" s="2">
        <v>679.03</v>
      </c>
      <c r="R51" s="3"/>
      <c r="S51" s="2">
        <v>0</v>
      </c>
      <c r="T51" s="3"/>
      <c r="U51" s="2">
        <v>78.91</v>
      </c>
      <c r="V51" s="3"/>
      <c r="W51" s="2">
        <v>0</v>
      </c>
      <c r="X51" s="3"/>
      <c r="Y51" s="2">
        <v>0</v>
      </c>
      <c r="Z51" s="3"/>
      <c r="AA51" s="2">
        <v>0</v>
      </c>
      <c r="AB51" s="3"/>
      <c r="AC51" s="2">
        <v>0</v>
      </c>
      <c r="AD51" s="3"/>
      <c r="AE51" s="2">
        <v>174.31</v>
      </c>
      <c r="AF51" s="3"/>
      <c r="AG51" s="2">
        <v>0</v>
      </c>
      <c r="AH51" s="3"/>
      <c r="AI51" s="2">
        <v>238.89</v>
      </c>
      <c r="AJ51" s="3"/>
      <c r="AK51" s="2">
        <v>322.95</v>
      </c>
      <c r="AL51" s="3"/>
      <c r="AM51" s="2">
        <f>ROUND(SUM(G51:AK51),5)</f>
        <v>1781.92</v>
      </c>
    </row>
    <row r="52" spans="1:39" x14ac:dyDescent="0.25">
      <c r="A52" s="1"/>
      <c r="B52" s="1"/>
      <c r="C52" s="1"/>
      <c r="D52" s="1"/>
      <c r="E52" s="1"/>
      <c r="F52" s="1" t="s">
        <v>67</v>
      </c>
      <c r="G52" s="2">
        <v>872.06</v>
      </c>
      <c r="H52" s="3"/>
      <c r="I52" s="2">
        <v>2616.27</v>
      </c>
      <c r="J52" s="3"/>
      <c r="K52" s="2">
        <v>2103.71</v>
      </c>
      <c r="L52" s="3"/>
      <c r="M52" s="2">
        <v>2099.96</v>
      </c>
      <c r="N52" s="3"/>
      <c r="O52" s="2">
        <v>1937.75</v>
      </c>
      <c r="P52" s="3"/>
      <c r="Q52" s="2">
        <v>1664.15</v>
      </c>
      <c r="R52" s="3"/>
      <c r="S52" s="2">
        <v>2588.84</v>
      </c>
      <c r="T52" s="3"/>
      <c r="U52" s="2">
        <v>1591.02</v>
      </c>
      <c r="V52" s="3"/>
      <c r="W52" s="2">
        <v>2631.83</v>
      </c>
      <c r="X52" s="3"/>
      <c r="Y52" s="2">
        <v>2944.87</v>
      </c>
      <c r="Z52" s="3"/>
      <c r="AA52" s="2">
        <v>1257.06</v>
      </c>
      <c r="AB52" s="3"/>
      <c r="AC52" s="2">
        <v>4007.32</v>
      </c>
      <c r="AD52" s="3"/>
      <c r="AE52" s="2">
        <v>2254.21</v>
      </c>
      <c r="AF52" s="3"/>
      <c r="AG52" s="2">
        <v>3798.67</v>
      </c>
      <c r="AH52" s="3"/>
      <c r="AI52" s="2">
        <v>3780</v>
      </c>
      <c r="AJ52" s="3"/>
      <c r="AK52" s="2">
        <v>2556.2399999999998</v>
      </c>
      <c r="AL52" s="3"/>
      <c r="AM52" s="2">
        <f>ROUND(SUM(G52:AK52),5)</f>
        <v>38703.96</v>
      </c>
    </row>
    <row r="53" spans="1:39" x14ac:dyDescent="0.25">
      <c r="A53" s="1"/>
      <c r="B53" s="1"/>
      <c r="C53" s="1"/>
      <c r="D53" s="1"/>
      <c r="E53" s="1"/>
      <c r="F53" s="1" t="s">
        <v>68</v>
      </c>
      <c r="G53" s="2">
        <v>175.27</v>
      </c>
      <c r="H53" s="3"/>
      <c r="I53" s="2">
        <v>0</v>
      </c>
      <c r="J53" s="3"/>
      <c r="K53" s="2">
        <v>420.3</v>
      </c>
      <c r="L53" s="3"/>
      <c r="M53" s="2">
        <v>53.91</v>
      </c>
      <c r="N53" s="3"/>
      <c r="O53" s="2">
        <v>112.29</v>
      </c>
      <c r="P53" s="3"/>
      <c r="Q53" s="2">
        <v>315.08</v>
      </c>
      <c r="R53" s="3"/>
      <c r="S53" s="2">
        <v>442.46</v>
      </c>
      <c r="T53" s="3"/>
      <c r="U53" s="2">
        <v>910.52</v>
      </c>
      <c r="V53" s="3"/>
      <c r="W53" s="2">
        <v>339.09</v>
      </c>
      <c r="X53" s="3"/>
      <c r="Y53" s="2">
        <v>1518.78</v>
      </c>
      <c r="Z53" s="3"/>
      <c r="AA53" s="2">
        <v>670.04</v>
      </c>
      <c r="AB53" s="3"/>
      <c r="AC53" s="2">
        <v>66.64</v>
      </c>
      <c r="AD53" s="3"/>
      <c r="AE53" s="2">
        <v>0</v>
      </c>
      <c r="AF53" s="3"/>
      <c r="AG53" s="2">
        <v>252.25</v>
      </c>
      <c r="AH53" s="3"/>
      <c r="AI53" s="2">
        <v>463.67</v>
      </c>
      <c r="AJ53" s="3"/>
      <c r="AK53" s="2">
        <v>436.17</v>
      </c>
      <c r="AL53" s="3"/>
      <c r="AM53" s="2">
        <f>ROUND(SUM(G53:AK53),5)</f>
        <v>6176.47</v>
      </c>
    </row>
    <row r="54" spans="1:39" ht="15.75" thickBot="1" x14ac:dyDescent="0.3">
      <c r="A54" s="1"/>
      <c r="B54" s="1"/>
      <c r="C54" s="1"/>
      <c r="D54" s="1"/>
      <c r="E54" s="1"/>
      <c r="F54" s="1" t="s">
        <v>69</v>
      </c>
      <c r="G54" s="6">
        <v>435</v>
      </c>
      <c r="H54" s="3"/>
      <c r="I54" s="6">
        <v>638</v>
      </c>
      <c r="J54" s="3"/>
      <c r="K54" s="6">
        <v>0</v>
      </c>
      <c r="L54" s="3"/>
      <c r="M54" s="6">
        <v>696</v>
      </c>
      <c r="N54" s="3"/>
      <c r="O54" s="6">
        <v>696</v>
      </c>
      <c r="P54" s="3"/>
      <c r="Q54" s="6">
        <v>696</v>
      </c>
      <c r="R54" s="3"/>
      <c r="S54" s="6">
        <v>696</v>
      </c>
      <c r="T54" s="3"/>
      <c r="U54" s="6">
        <v>754</v>
      </c>
      <c r="V54" s="3"/>
      <c r="W54" s="6">
        <v>1466.5</v>
      </c>
      <c r="X54" s="3"/>
      <c r="Y54" s="6">
        <v>870</v>
      </c>
      <c r="Z54" s="3"/>
      <c r="AA54" s="6">
        <v>1178</v>
      </c>
      <c r="AB54" s="3"/>
      <c r="AC54" s="6">
        <v>860</v>
      </c>
      <c r="AD54" s="3"/>
      <c r="AE54" s="6">
        <v>754</v>
      </c>
      <c r="AF54" s="3"/>
      <c r="AG54" s="6">
        <v>754</v>
      </c>
      <c r="AH54" s="3"/>
      <c r="AI54" s="6">
        <v>754</v>
      </c>
      <c r="AJ54" s="3"/>
      <c r="AK54" s="6">
        <v>754</v>
      </c>
      <c r="AL54" s="3"/>
      <c r="AM54" s="6">
        <f>ROUND(SUM(G54:AK54),5)</f>
        <v>12001.5</v>
      </c>
    </row>
    <row r="55" spans="1:39" x14ac:dyDescent="0.25">
      <c r="A55" s="1"/>
      <c r="B55" s="1"/>
      <c r="C55" s="1"/>
      <c r="D55" s="1"/>
      <c r="E55" s="1" t="s">
        <v>70</v>
      </c>
      <c r="F55" s="1"/>
      <c r="G55" s="2">
        <f>ROUND(SUM(G46:G54),5)</f>
        <v>30954.03</v>
      </c>
      <c r="H55" s="3"/>
      <c r="I55" s="2">
        <f>ROUND(SUM(I46:I54),5)</f>
        <v>46874.66</v>
      </c>
      <c r="J55" s="3"/>
      <c r="K55" s="2">
        <f>ROUND(SUM(K46:K54),5)</f>
        <v>63374.44</v>
      </c>
      <c r="L55" s="3"/>
      <c r="M55" s="2">
        <f>ROUND(SUM(M46:M54),5)</f>
        <v>43740.45</v>
      </c>
      <c r="N55" s="3"/>
      <c r="O55" s="2">
        <f>ROUND(SUM(O46:O54),5)</f>
        <v>46331.51</v>
      </c>
      <c r="P55" s="3"/>
      <c r="Q55" s="2">
        <f>ROUND(SUM(Q46:Q54),5)</f>
        <v>44026.48</v>
      </c>
      <c r="R55" s="3"/>
      <c r="S55" s="2">
        <f>ROUND(SUM(S46:S54),5)</f>
        <v>48774.94</v>
      </c>
      <c r="T55" s="3"/>
      <c r="U55" s="2">
        <f>ROUND(SUM(U46:U54),5)</f>
        <v>41629.910000000003</v>
      </c>
      <c r="V55" s="3"/>
      <c r="W55" s="2">
        <f>ROUND(SUM(W46:W54),5)</f>
        <v>47819.02</v>
      </c>
      <c r="X55" s="3"/>
      <c r="Y55" s="2">
        <f>ROUND(SUM(Y46:Y54),5)</f>
        <v>53016.47</v>
      </c>
      <c r="Z55" s="3"/>
      <c r="AA55" s="2">
        <f>ROUND(SUM(AA46:AA54),5)</f>
        <v>45194.9</v>
      </c>
      <c r="AB55" s="3"/>
      <c r="AC55" s="2">
        <f>ROUND(SUM(AC46:AC54),5)</f>
        <v>50065.14</v>
      </c>
      <c r="AD55" s="3"/>
      <c r="AE55" s="2">
        <f>ROUND(SUM(AE46:AE54),5)</f>
        <v>46217.3</v>
      </c>
      <c r="AF55" s="3"/>
      <c r="AG55" s="2">
        <f>ROUND(SUM(AG46:AG54),5)</f>
        <v>49005.4</v>
      </c>
      <c r="AH55" s="3"/>
      <c r="AI55" s="2">
        <f>ROUND(SUM(AI46:AI54),5)</f>
        <v>47546.43</v>
      </c>
      <c r="AJ55" s="3"/>
      <c r="AK55" s="2">
        <f>ROUND(SUM(AK46:AK54),5)</f>
        <v>42602.33</v>
      </c>
      <c r="AL55" s="3"/>
      <c r="AM55" s="2">
        <f>ROUND(SUM(G55:AK55),5)</f>
        <v>747173.41</v>
      </c>
    </row>
    <row r="56" spans="1:39" x14ac:dyDescent="0.25">
      <c r="A56" s="1"/>
      <c r="B56" s="1"/>
      <c r="C56" s="1"/>
      <c r="D56" s="1"/>
      <c r="E56" s="1" t="s">
        <v>71</v>
      </c>
      <c r="F56" s="1"/>
      <c r="G56" s="2"/>
      <c r="H56" s="3"/>
      <c r="I56" s="2"/>
      <c r="J56" s="3"/>
      <c r="K56" s="2"/>
      <c r="L56" s="3"/>
      <c r="M56" s="2"/>
      <c r="N56" s="3"/>
      <c r="O56" s="2"/>
      <c r="P56" s="3"/>
      <c r="Q56" s="2"/>
      <c r="R56" s="3"/>
      <c r="S56" s="2"/>
      <c r="T56" s="3"/>
      <c r="U56" s="2"/>
      <c r="V56" s="3"/>
      <c r="W56" s="2"/>
      <c r="X56" s="3"/>
      <c r="Y56" s="2"/>
      <c r="Z56" s="3"/>
      <c r="AA56" s="2"/>
      <c r="AB56" s="3"/>
      <c r="AC56" s="2"/>
      <c r="AD56" s="3"/>
      <c r="AE56" s="2"/>
      <c r="AF56" s="3"/>
      <c r="AG56" s="2"/>
      <c r="AH56" s="3"/>
      <c r="AI56" s="2"/>
      <c r="AJ56" s="3"/>
      <c r="AK56" s="2"/>
      <c r="AL56" s="3"/>
      <c r="AM56" s="2"/>
    </row>
    <row r="57" spans="1:39" x14ac:dyDescent="0.25">
      <c r="A57" s="1"/>
      <c r="B57" s="1"/>
      <c r="C57" s="1"/>
      <c r="D57" s="1"/>
      <c r="E57" s="1"/>
      <c r="F57" s="1" t="s">
        <v>72</v>
      </c>
      <c r="G57" s="2">
        <v>3885</v>
      </c>
      <c r="H57" s="3"/>
      <c r="I57" s="2">
        <v>3521.79</v>
      </c>
      <c r="J57" s="3"/>
      <c r="K57" s="2">
        <v>3903.64</v>
      </c>
      <c r="L57" s="3"/>
      <c r="M57" s="2">
        <v>3894.32</v>
      </c>
      <c r="N57" s="3"/>
      <c r="O57" s="2">
        <v>3984.32</v>
      </c>
      <c r="P57" s="3"/>
      <c r="Q57" s="2">
        <v>3698.57</v>
      </c>
      <c r="R57" s="3"/>
      <c r="S57" s="2">
        <v>3783.11</v>
      </c>
      <c r="T57" s="3"/>
      <c r="U57" s="2">
        <v>6592.14</v>
      </c>
      <c r="V57" s="3"/>
      <c r="W57" s="2">
        <v>8228.64</v>
      </c>
      <c r="X57" s="3"/>
      <c r="Y57" s="2">
        <v>7489.65</v>
      </c>
      <c r="Z57" s="3"/>
      <c r="AA57" s="2">
        <v>5079.75</v>
      </c>
      <c r="AB57" s="3"/>
      <c r="AC57" s="2">
        <v>8059.41</v>
      </c>
      <c r="AD57" s="3"/>
      <c r="AE57" s="2">
        <v>7765.56</v>
      </c>
      <c r="AF57" s="3"/>
      <c r="AG57" s="2">
        <v>7458.37</v>
      </c>
      <c r="AH57" s="3"/>
      <c r="AI57" s="2">
        <v>7640.03</v>
      </c>
      <c r="AJ57" s="3"/>
      <c r="AK57" s="2">
        <v>6529.7</v>
      </c>
      <c r="AL57" s="3"/>
      <c r="AM57" s="2">
        <f>ROUND(SUM(G57:AK57),5)</f>
        <v>91514</v>
      </c>
    </row>
    <row r="58" spans="1:39" x14ac:dyDescent="0.25">
      <c r="A58" s="1"/>
      <c r="B58" s="1"/>
      <c r="C58" s="1"/>
      <c r="D58" s="1"/>
      <c r="E58" s="1"/>
      <c r="F58" s="1" t="s">
        <v>73</v>
      </c>
      <c r="G58" s="2">
        <v>15169.2</v>
      </c>
      <c r="H58" s="3"/>
      <c r="I58" s="2">
        <v>15328.65</v>
      </c>
      <c r="J58" s="3"/>
      <c r="K58" s="2">
        <v>14298.24</v>
      </c>
      <c r="L58" s="3"/>
      <c r="M58" s="2">
        <v>15439.93</v>
      </c>
      <c r="N58" s="3"/>
      <c r="O58" s="2">
        <v>15291.64</v>
      </c>
      <c r="P58" s="3"/>
      <c r="Q58" s="2">
        <v>13994.59</v>
      </c>
      <c r="R58" s="3"/>
      <c r="S58" s="2">
        <v>14904.19</v>
      </c>
      <c r="T58" s="3"/>
      <c r="U58" s="2">
        <v>10617.97</v>
      </c>
      <c r="V58" s="3"/>
      <c r="W58" s="2">
        <v>9480.2199999999993</v>
      </c>
      <c r="X58" s="3"/>
      <c r="Y58" s="2">
        <v>12948.74</v>
      </c>
      <c r="Z58" s="3"/>
      <c r="AA58" s="2">
        <v>14693.05</v>
      </c>
      <c r="AB58" s="3"/>
      <c r="AC58" s="2">
        <v>14686.38</v>
      </c>
      <c r="AD58" s="3"/>
      <c r="AE58" s="2">
        <v>13152.43</v>
      </c>
      <c r="AF58" s="3"/>
      <c r="AG58" s="2">
        <v>11632.43</v>
      </c>
      <c r="AH58" s="3"/>
      <c r="AI58" s="2">
        <v>13406.64</v>
      </c>
      <c r="AJ58" s="3"/>
      <c r="AK58" s="2">
        <v>13259.44</v>
      </c>
      <c r="AL58" s="3"/>
      <c r="AM58" s="2">
        <f>ROUND(SUM(G58:AK58),5)</f>
        <v>218303.74</v>
      </c>
    </row>
    <row r="59" spans="1:39" x14ac:dyDescent="0.25">
      <c r="A59" s="1"/>
      <c r="B59" s="1"/>
      <c r="C59" s="1"/>
      <c r="D59" s="1"/>
      <c r="E59" s="1"/>
      <c r="F59" s="1" t="s">
        <v>74</v>
      </c>
      <c r="G59" s="2">
        <v>0</v>
      </c>
      <c r="H59" s="3"/>
      <c r="I59" s="2">
        <v>0</v>
      </c>
      <c r="J59" s="3"/>
      <c r="K59" s="2">
        <v>2573.5500000000002</v>
      </c>
      <c r="L59" s="3"/>
      <c r="M59" s="2">
        <v>6998.08</v>
      </c>
      <c r="N59" s="3"/>
      <c r="O59" s="2">
        <v>0</v>
      </c>
      <c r="P59" s="3"/>
      <c r="Q59" s="2">
        <v>10882.44</v>
      </c>
      <c r="R59" s="3"/>
      <c r="S59" s="2">
        <v>4037.31</v>
      </c>
      <c r="T59" s="3"/>
      <c r="U59" s="2">
        <v>2229.75</v>
      </c>
      <c r="V59" s="3"/>
      <c r="W59" s="2">
        <v>0</v>
      </c>
      <c r="X59" s="3"/>
      <c r="Y59" s="2">
        <v>0</v>
      </c>
      <c r="Z59" s="3"/>
      <c r="AA59" s="2">
        <v>4022.62</v>
      </c>
      <c r="AB59" s="3"/>
      <c r="AC59" s="2">
        <v>3063.15</v>
      </c>
      <c r="AD59" s="3"/>
      <c r="AE59" s="2">
        <v>4130</v>
      </c>
      <c r="AF59" s="3"/>
      <c r="AG59" s="2">
        <v>3124.15</v>
      </c>
      <c r="AH59" s="3"/>
      <c r="AI59" s="2">
        <v>4212.6000000000004</v>
      </c>
      <c r="AJ59" s="3"/>
      <c r="AK59" s="2">
        <v>3185.15</v>
      </c>
      <c r="AL59" s="3"/>
      <c r="AM59" s="2">
        <f>ROUND(SUM(G59:AK59),5)</f>
        <v>48458.8</v>
      </c>
    </row>
    <row r="60" spans="1:39" x14ac:dyDescent="0.25">
      <c r="A60" s="1"/>
      <c r="B60" s="1"/>
      <c r="C60" s="1"/>
      <c r="D60" s="1"/>
      <c r="E60" s="1"/>
      <c r="F60" s="1" t="s">
        <v>75</v>
      </c>
      <c r="G60" s="2">
        <v>0</v>
      </c>
      <c r="H60" s="3"/>
      <c r="I60" s="2">
        <v>0</v>
      </c>
      <c r="J60" s="3"/>
      <c r="K60" s="2">
        <v>8709.35</v>
      </c>
      <c r="L60" s="3"/>
      <c r="M60" s="2">
        <v>0</v>
      </c>
      <c r="N60" s="3"/>
      <c r="O60" s="2">
        <v>28208.34</v>
      </c>
      <c r="P60" s="3"/>
      <c r="Q60" s="2">
        <v>22656.34</v>
      </c>
      <c r="R60" s="3"/>
      <c r="S60" s="2">
        <v>4108</v>
      </c>
      <c r="T60" s="3"/>
      <c r="U60" s="2">
        <v>628.73</v>
      </c>
      <c r="V60" s="3"/>
      <c r="W60" s="2">
        <v>6389.18</v>
      </c>
      <c r="X60" s="3"/>
      <c r="Y60" s="2">
        <v>3787.07</v>
      </c>
      <c r="Z60" s="3"/>
      <c r="AA60" s="2">
        <v>2952.91</v>
      </c>
      <c r="AB60" s="3"/>
      <c r="AC60" s="2">
        <v>3722.42</v>
      </c>
      <c r="AD60" s="3"/>
      <c r="AE60" s="2">
        <v>2782.42</v>
      </c>
      <c r="AF60" s="3"/>
      <c r="AG60" s="2">
        <v>6214.43</v>
      </c>
      <c r="AH60" s="3"/>
      <c r="AI60" s="2">
        <v>668.11</v>
      </c>
      <c r="AJ60" s="3"/>
      <c r="AK60" s="2">
        <v>646.86</v>
      </c>
      <c r="AL60" s="3"/>
      <c r="AM60" s="2">
        <f>ROUND(SUM(G60:AK60),5)</f>
        <v>91474.16</v>
      </c>
    </row>
    <row r="61" spans="1:39" x14ac:dyDescent="0.25">
      <c r="A61" s="1"/>
      <c r="B61" s="1"/>
      <c r="C61" s="1"/>
      <c r="D61" s="1"/>
      <c r="E61" s="1"/>
      <c r="F61" s="1" t="s">
        <v>76</v>
      </c>
      <c r="G61" s="2">
        <v>561.29999999999995</v>
      </c>
      <c r="H61" s="3"/>
      <c r="I61" s="2">
        <v>3448.99</v>
      </c>
      <c r="J61" s="3"/>
      <c r="K61" s="2">
        <v>3833.92</v>
      </c>
      <c r="L61" s="3"/>
      <c r="M61" s="2">
        <v>3176.09</v>
      </c>
      <c r="N61" s="3"/>
      <c r="O61" s="2">
        <v>5651.45</v>
      </c>
      <c r="P61" s="3"/>
      <c r="Q61" s="2">
        <v>2461.63</v>
      </c>
      <c r="R61" s="3"/>
      <c r="S61" s="2">
        <v>2180.36</v>
      </c>
      <c r="T61" s="3"/>
      <c r="U61" s="2">
        <v>3752.56</v>
      </c>
      <c r="V61" s="3"/>
      <c r="W61" s="2">
        <v>1407.6</v>
      </c>
      <c r="X61" s="3"/>
      <c r="Y61" s="2">
        <v>4734.22</v>
      </c>
      <c r="Z61" s="3"/>
      <c r="AA61" s="2">
        <v>6224.73</v>
      </c>
      <c r="AB61" s="3"/>
      <c r="AC61" s="2">
        <v>1398.06</v>
      </c>
      <c r="AD61" s="3"/>
      <c r="AE61" s="2">
        <v>2894.33</v>
      </c>
      <c r="AF61" s="3"/>
      <c r="AG61" s="2">
        <v>3006.63</v>
      </c>
      <c r="AH61" s="3"/>
      <c r="AI61" s="2">
        <v>4711.74</v>
      </c>
      <c r="AJ61" s="3"/>
      <c r="AK61" s="2">
        <v>4069.03</v>
      </c>
      <c r="AL61" s="3"/>
      <c r="AM61" s="2">
        <f>ROUND(SUM(G61:AK61),5)</f>
        <v>53512.639999999999</v>
      </c>
    </row>
    <row r="62" spans="1:39" x14ac:dyDescent="0.25">
      <c r="A62" s="1"/>
      <c r="B62" s="1"/>
      <c r="C62" s="1"/>
      <c r="D62" s="1"/>
      <c r="E62" s="1"/>
      <c r="F62" s="1" t="s">
        <v>77</v>
      </c>
      <c r="G62" s="2">
        <v>0</v>
      </c>
      <c r="H62" s="3"/>
      <c r="I62" s="2">
        <v>6719.86</v>
      </c>
      <c r="J62" s="3"/>
      <c r="K62" s="2">
        <v>372.67</v>
      </c>
      <c r="L62" s="3"/>
      <c r="M62" s="2">
        <v>5485.6</v>
      </c>
      <c r="N62" s="3"/>
      <c r="O62" s="2">
        <v>4637.07</v>
      </c>
      <c r="P62" s="3"/>
      <c r="Q62" s="2">
        <v>18059.72</v>
      </c>
      <c r="R62" s="3"/>
      <c r="S62" s="2">
        <v>6806.91</v>
      </c>
      <c r="T62" s="3"/>
      <c r="U62" s="2">
        <v>4419.09</v>
      </c>
      <c r="V62" s="3"/>
      <c r="W62" s="2">
        <v>1060.76</v>
      </c>
      <c r="X62" s="3"/>
      <c r="Y62" s="2">
        <v>8685.67</v>
      </c>
      <c r="Z62" s="3"/>
      <c r="AA62" s="2">
        <v>7903.55</v>
      </c>
      <c r="AB62" s="3"/>
      <c r="AC62" s="2">
        <v>6173.22</v>
      </c>
      <c r="AD62" s="3"/>
      <c r="AE62" s="2">
        <v>9485.4</v>
      </c>
      <c r="AF62" s="3"/>
      <c r="AG62" s="2">
        <v>7431.68</v>
      </c>
      <c r="AH62" s="3"/>
      <c r="AI62" s="2">
        <v>18400.73</v>
      </c>
      <c r="AJ62" s="3"/>
      <c r="AK62" s="2">
        <v>1554.3</v>
      </c>
      <c r="AL62" s="3"/>
      <c r="AM62" s="2">
        <f>ROUND(SUM(G62:AK62),5)</f>
        <v>107196.23</v>
      </c>
    </row>
    <row r="63" spans="1:39" x14ac:dyDescent="0.25">
      <c r="A63" s="1"/>
      <c r="B63" s="1"/>
      <c r="C63" s="1"/>
      <c r="D63" s="1"/>
      <c r="E63" s="1"/>
      <c r="F63" s="1" t="s">
        <v>78</v>
      </c>
      <c r="G63" s="2">
        <v>0</v>
      </c>
      <c r="H63" s="3"/>
      <c r="I63" s="2">
        <v>0</v>
      </c>
      <c r="J63" s="3"/>
      <c r="K63" s="2">
        <v>1327.39</v>
      </c>
      <c r="L63" s="3"/>
      <c r="M63" s="2">
        <v>5249.52</v>
      </c>
      <c r="N63" s="3"/>
      <c r="O63" s="2">
        <v>3492.88</v>
      </c>
      <c r="P63" s="3"/>
      <c r="Q63" s="2">
        <v>897.26</v>
      </c>
      <c r="R63" s="3"/>
      <c r="S63" s="2">
        <v>0</v>
      </c>
      <c r="T63" s="3"/>
      <c r="U63" s="2">
        <v>1354.12</v>
      </c>
      <c r="V63" s="3"/>
      <c r="W63" s="2">
        <v>70</v>
      </c>
      <c r="X63" s="3"/>
      <c r="Y63" s="2">
        <v>3040.17</v>
      </c>
      <c r="Z63" s="3"/>
      <c r="AA63" s="2">
        <v>199.52</v>
      </c>
      <c r="AB63" s="3"/>
      <c r="AC63" s="2">
        <v>208.94</v>
      </c>
      <c r="AD63" s="3"/>
      <c r="AE63" s="2">
        <v>314.31</v>
      </c>
      <c r="AF63" s="3"/>
      <c r="AG63" s="2">
        <v>909.09</v>
      </c>
      <c r="AH63" s="3"/>
      <c r="AI63" s="2">
        <v>4259.13</v>
      </c>
      <c r="AJ63" s="3"/>
      <c r="AK63" s="2">
        <v>1987.43</v>
      </c>
      <c r="AL63" s="3"/>
      <c r="AM63" s="2">
        <f>ROUND(SUM(G63:AK63),5)</f>
        <v>23309.759999999998</v>
      </c>
    </row>
    <row r="64" spans="1:39" ht="15.75" thickBot="1" x14ac:dyDescent="0.3">
      <c r="A64" s="1"/>
      <c r="B64" s="1"/>
      <c r="C64" s="1"/>
      <c r="D64" s="1"/>
      <c r="E64" s="1"/>
      <c r="F64" s="1" t="s">
        <v>79</v>
      </c>
      <c r="G64" s="6">
        <v>304</v>
      </c>
      <c r="H64" s="3"/>
      <c r="I64" s="6">
        <v>152</v>
      </c>
      <c r="J64" s="3"/>
      <c r="K64" s="6">
        <v>868.7</v>
      </c>
      <c r="L64" s="3"/>
      <c r="M64" s="6">
        <v>1632</v>
      </c>
      <c r="N64" s="3"/>
      <c r="O64" s="6">
        <v>2866.85</v>
      </c>
      <c r="P64" s="3"/>
      <c r="Q64" s="6">
        <v>1868.81</v>
      </c>
      <c r="R64" s="3"/>
      <c r="S64" s="6">
        <v>1581</v>
      </c>
      <c r="T64" s="3"/>
      <c r="U64" s="6">
        <v>1332.22</v>
      </c>
      <c r="V64" s="3"/>
      <c r="W64" s="6">
        <v>1346.44</v>
      </c>
      <c r="X64" s="3"/>
      <c r="Y64" s="6">
        <v>1030</v>
      </c>
      <c r="Z64" s="3"/>
      <c r="AA64" s="6">
        <v>1236.22</v>
      </c>
      <c r="AB64" s="3"/>
      <c r="AC64" s="6">
        <v>1140.22</v>
      </c>
      <c r="AD64" s="3"/>
      <c r="AE64" s="6">
        <v>1838.46</v>
      </c>
      <c r="AF64" s="3"/>
      <c r="AG64" s="6">
        <v>1236.22</v>
      </c>
      <c r="AH64" s="3"/>
      <c r="AI64" s="6">
        <v>1105</v>
      </c>
      <c r="AJ64" s="3"/>
      <c r="AK64" s="6">
        <v>1108</v>
      </c>
      <c r="AL64" s="3"/>
      <c r="AM64" s="6">
        <f>ROUND(SUM(G64:AK64),5)</f>
        <v>20646.14</v>
      </c>
    </row>
    <row r="65" spans="1:39" x14ac:dyDescent="0.25">
      <c r="A65" s="1"/>
      <c r="B65" s="1"/>
      <c r="C65" s="1"/>
      <c r="D65" s="1"/>
      <c r="E65" s="1" t="s">
        <v>80</v>
      </c>
      <c r="F65" s="1"/>
      <c r="G65" s="2">
        <f>ROUND(SUM(G56:G64),5)</f>
        <v>19919.5</v>
      </c>
      <c r="H65" s="3"/>
      <c r="I65" s="2">
        <f>ROUND(SUM(I56:I64),5)</f>
        <v>29171.29</v>
      </c>
      <c r="J65" s="3"/>
      <c r="K65" s="2">
        <f>ROUND(SUM(K56:K64),5)</f>
        <v>35887.46</v>
      </c>
      <c r="L65" s="3"/>
      <c r="M65" s="2">
        <f>ROUND(SUM(M56:M64),5)</f>
        <v>41875.54</v>
      </c>
      <c r="N65" s="3"/>
      <c r="O65" s="2">
        <f>ROUND(SUM(O56:O64),5)</f>
        <v>64132.55</v>
      </c>
      <c r="P65" s="3"/>
      <c r="Q65" s="2">
        <f>ROUND(SUM(Q56:Q64),5)</f>
        <v>74519.360000000001</v>
      </c>
      <c r="R65" s="3"/>
      <c r="S65" s="2">
        <f>ROUND(SUM(S56:S64),5)</f>
        <v>37400.879999999997</v>
      </c>
      <c r="T65" s="3"/>
      <c r="U65" s="2">
        <f>ROUND(SUM(U56:U64),5)</f>
        <v>30926.58</v>
      </c>
      <c r="V65" s="3"/>
      <c r="W65" s="2">
        <f>ROUND(SUM(W56:W64),5)</f>
        <v>27982.84</v>
      </c>
      <c r="X65" s="3"/>
      <c r="Y65" s="2">
        <f>ROUND(SUM(Y56:Y64),5)</f>
        <v>41715.519999999997</v>
      </c>
      <c r="Z65" s="3"/>
      <c r="AA65" s="2">
        <f>ROUND(SUM(AA56:AA64),5)</f>
        <v>42312.35</v>
      </c>
      <c r="AB65" s="3"/>
      <c r="AC65" s="2">
        <f>ROUND(SUM(AC56:AC64),5)</f>
        <v>38451.800000000003</v>
      </c>
      <c r="AD65" s="3"/>
      <c r="AE65" s="2">
        <f>ROUND(SUM(AE56:AE64),5)</f>
        <v>42362.91</v>
      </c>
      <c r="AF65" s="3"/>
      <c r="AG65" s="2">
        <f>ROUND(SUM(AG56:AG64),5)</f>
        <v>41013</v>
      </c>
      <c r="AH65" s="3"/>
      <c r="AI65" s="2">
        <f>ROUND(SUM(AI56:AI64),5)</f>
        <v>54403.98</v>
      </c>
      <c r="AJ65" s="3"/>
      <c r="AK65" s="2">
        <f>ROUND(SUM(AK56:AK64),5)</f>
        <v>32339.91</v>
      </c>
      <c r="AL65" s="3"/>
      <c r="AM65" s="2">
        <f>ROUND(SUM(G65:AK65),5)</f>
        <v>654415.47</v>
      </c>
    </row>
    <row r="66" spans="1:39" x14ac:dyDescent="0.25">
      <c r="A66" s="1"/>
      <c r="B66" s="1"/>
      <c r="C66" s="1"/>
      <c r="D66" s="1"/>
      <c r="E66" s="1" t="s">
        <v>81</v>
      </c>
      <c r="F66" s="1"/>
      <c r="G66" s="2"/>
      <c r="H66" s="3"/>
      <c r="I66" s="2"/>
      <c r="J66" s="3"/>
      <c r="K66" s="2"/>
      <c r="L66" s="3"/>
      <c r="M66" s="2"/>
      <c r="N66" s="3"/>
      <c r="O66" s="2"/>
      <c r="P66" s="3"/>
      <c r="Q66" s="2"/>
      <c r="R66" s="3"/>
      <c r="S66" s="2"/>
      <c r="T66" s="3"/>
      <c r="U66" s="2"/>
      <c r="V66" s="3"/>
      <c r="W66" s="2"/>
      <c r="X66" s="3"/>
      <c r="Y66" s="2"/>
      <c r="Z66" s="3"/>
      <c r="AA66" s="2"/>
      <c r="AB66" s="3"/>
      <c r="AC66" s="2"/>
      <c r="AD66" s="3"/>
      <c r="AE66" s="2"/>
      <c r="AF66" s="3"/>
      <c r="AG66" s="2"/>
      <c r="AH66" s="3"/>
      <c r="AI66" s="2"/>
      <c r="AJ66" s="3"/>
      <c r="AK66" s="2"/>
      <c r="AL66" s="3"/>
      <c r="AM66" s="2"/>
    </row>
    <row r="67" spans="1:39" x14ac:dyDescent="0.25">
      <c r="A67" s="1"/>
      <c r="B67" s="1"/>
      <c r="C67" s="1"/>
      <c r="D67" s="1"/>
      <c r="E67" s="1"/>
      <c r="F67" s="1" t="s">
        <v>82</v>
      </c>
      <c r="G67" s="2">
        <v>3339.04</v>
      </c>
      <c r="H67" s="3"/>
      <c r="I67" s="2">
        <v>3165.62</v>
      </c>
      <c r="J67" s="3"/>
      <c r="K67" s="2">
        <v>1100.77</v>
      </c>
      <c r="L67" s="3"/>
      <c r="M67" s="2">
        <v>810.27</v>
      </c>
      <c r="N67" s="3"/>
      <c r="O67" s="2">
        <v>754.82</v>
      </c>
      <c r="P67" s="3"/>
      <c r="Q67" s="2">
        <v>851.78</v>
      </c>
      <c r="R67" s="3"/>
      <c r="S67" s="2">
        <v>2979.91</v>
      </c>
      <c r="T67" s="3"/>
      <c r="U67" s="2">
        <v>3147.33</v>
      </c>
      <c r="V67" s="3"/>
      <c r="W67" s="2">
        <v>2500.7199999999998</v>
      </c>
      <c r="X67" s="3"/>
      <c r="Y67" s="2">
        <v>967.76</v>
      </c>
      <c r="Z67" s="3"/>
      <c r="AA67" s="2">
        <v>712.24</v>
      </c>
      <c r="AB67" s="3"/>
      <c r="AC67" s="2">
        <v>860.89</v>
      </c>
      <c r="AD67" s="3"/>
      <c r="AE67" s="2">
        <v>803.57</v>
      </c>
      <c r="AF67" s="3"/>
      <c r="AG67" s="2">
        <v>857.41</v>
      </c>
      <c r="AH67" s="3"/>
      <c r="AI67" s="2">
        <v>845.09</v>
      </c>
      <c r="AJ67" s="3"/>
      <c r="AK67" s="2">
        <v>828.13</v>
      </c>
      <c r="AL67" s="3"/>
      <c r="AM67" s="2">
        <f>ROUND(SUM(G67:AK67),5)</f>
        <v>24525.35</v>
      </c>
    </row>
    <row r="68" spans="1:39" x14ac:dyDescent="0.25">
      <c r="A68" s="1"/>
      <c r="B68" s="1"/>
      <c r="C68" s="1"/>
      <c r="D68" s="1"/>
      <c r="E68" s="1"/>
      <c r="F68" s="1" t="s">
        <v>83</v>
      </c>
      <c r="G68" s="2">
        <v>0</v>
      </c>
      <c r="H68" s="3"/>
      <c r="I68" s="2">
        <v>231.43</v>
      </c>
      <c r="J68" s="3"/>
      <c r="K68" s="2">
        <v>3579.42</v>
      </c>
      <c r="L68" s="3"/>
      <c r="M68" s="2">
        <v>3339.49</v>
      </c>
      <c r="N68" s="3"/>
      <c r="O68" s="2">
        <v>3831.26</v>
      </c>
      <c r="P68" s="3"/>
      <c r="Q68" s="2">
        <v>3826.29</v>
      </c>
      <c r="R68" s="3"/>
      <c r="S68" s="2">
        <v>4069.61</v>
      </c>
      <c r="T68" s="3"/>
      <c r="U68" s="2">
        <v>2109.4499999999998</v>
      </c>
      <c r="V68" s="3"/>
      <c r="W68" s="2">
        <v>3441.55</v>
      </c>
      <c r="X68" s="3"/>
      <c r="Y68" s="2">
        <v>3855.31</v>
      </c>
      <c r="Z68" s="3"/>
      <c r="AA68" s="2">
        <v>3539.09</v>
      </c>
      <c r="AB68" s="3"/>
      <c r="AC68" s="2">
        <v>3870.58</v>
      </c>
      <c r="AD68" s="3"/>
      <c r="AE68" s="2">
        <v>3609.32</v>
      </c>
      <c r="AF68" s="3"/>
      <c r="AG68" s="2">
        <v>3203.21</v>
      </c>
      <c r="AH68" s="3"/>
      <c r="AI68" s="2">
        <v>2821.17</v>
      </c>
      <c r="AJ68" s="3"/>
      <c r="AK68" s="2">
        <v>3574.38</v>
      </c>
      <c r="AL68" s="3"/>
      <c r="AM68" s="2">
        <f>ROUND(SUM(G68:AK68),5)</f>
        <v>48901.56</v>
      </c>
    </row>
    <row r="69" spans="1:39" x14ac:dyDescent="0.25">
      <c r="A69" s="1"/>
      <c r="B69" s="1"/>
      <c r="C69" s="1"/>
      <c r="D69" s="1"/>
      <c r="E69" s="1"/>
      <c r="F69" s="1" t="s">
        <v>84</v>
      </c>
      <c r="G69" s="2">
        <v>0</v>
      </c>
      <c r="H69" s="3"/>
      <c r="I69" s="2">
        <v>0</v>
      </c>
      <c r="J69" s="3"/>
      <c r="K69" s="2">
        <v>28.91</v>
      </c>
      <c r="L69" s="3"/>
      <c r="M69" s="2">
        <v>32.25</v>
      </c>
      <c r="N69" s="3"/>
      <c r="O69" s="2">
        <v>37.43</v>
      </c>
      <c r="P69" s="3"/>
      <c r="Q69" s="2">
        <v>287.95999999999998</v>
      </c>
      <c r="R69" s="3"/>
      <c r="S69" s="2">
        <v>80</v>
      </c>
      <c r="T69" s="3"/>
      <c r="U69" s="2">
        <v>31.59</v>
      </c>
      <c r="V69" s="3"/>
      <c r="W69" s="2">
        <v>0</v>
      </c>
      <c r="X69" s="3"/>
      <c r="Y69" s="2">
        <v>82.87</v>
      </c>
      <c r="Z69" s="3"/>
      <c r="AA69" s="2">
        <v>185.74</v>
      </c>
      <c r="AB69" s="3"/>
      <c r="AC69" s="2">
        <v>0</v>
      </c>
      <c r="AD69" s="3"/>
      <c r="AE69" s="2">
        <v>0</v>
      </c>
      <c r="AF69" s="3"/>
      <c r="AG69" s="2">
        <v>160.29</v>
      </c>
      <c r="AH69" s="3"/>
      <c r="AI69" s="2">
        <v>0</v>
      </c>
      <c r="AJ69" s="3"/>
      <c r="AK69" s="2">
        <v>0</v>
      </c>
      <c r="AL69" s="3"/>
      <c r="AM69" s="2">
        <f>ROUND(SUM(G69:AK69),5)</f>
        <v>927.04</v>
      </c>
    </row>
    <row r="70" spans="1:39" x14ac:dyDescent="0.25">
      <c r="A70" s="1"/>
      <c r="B70" s="1"/>
      <c r="C70" s="1"/>
      <c r="D70" s="1"/>
      <c r="E70" s="1"/>
      <c r="F70" s="1" t="s">
        <v>85</v>
      </c>
      <c r="G70" s="2">
        <v>0</v>
      </c>
      <c r="H70" s="3"/>
      <c r="I70" s="2">
        <v>0</v>
      </c>
      <c r="J70" s="3"/>
      <c r="K70" s="2">
        <v>0</v>
      </c>
      <c r="L70" s="3"/>
      <c r="M70" s="2">
        <v>0</v>
      </c>
      <c r="N70" s="3"/>
      <c r="O70" s="2">
        <v>245</v>
      </c>
      <c r="P70" s="3"/>
      <c r="Q70" s="2">
        <v>0</v>
      </c>
      <c r="R70" s="3"/>
      <c r="S70" s="2">
        <v>0</v>
      </c>
      <c r="T70" s="3"/>
      <c r="U70" s="2">
        <v>385</v>
      </c>
      <c r="V70" s="3"/>
      <c r="W70" s="2">
        <v>0</v>
      </c>
      <c r="X70" s="3"/>
      <c r="Y70" s="2">
        <v>0</v>
      </c>
      <c r="Z70" s="3"/>
      <c r="AA70" s="2">
        <v>0</v>
      </c>
      <c r="AB70" s="3"/>
      <c r="AC70" s="2">
        <v>0</v>
      </c>
      <c r="AD70" s="3"/>
      <c r="AE70" s="2">
        <v>0</v>
      </c>
      <c r="AF70" s="3"/>
      <c r="AG70" s="2">
        <v>0</v>
      </c>
      <c r="AH70" s="3"/>
      <c r="AI70" s="2">
        <v>0</v>
      </c>
      <c r="AJ70" s="3"/>
      <c r="AK70" s="2">
        <v>0</v>
      </c>
      <c r="AL70" s="3"/>
      <c r="AM70" s="2">
        <f>ROUND(SUM(G70:AK70),5)</f>
        <v>630</v>
      </c>
    </row>
    <row r="71" spans="1:39" x14ac:dyDescent="0.25">
      <c r="A71" s="1"/>
      <c r="B71" s="1"/>
      <c r="C71" s="1"/>
      <c r="D71" s="1"/>
      <c r="E71" s="1"/>
      <c r="F71" s="1" t="s">
        <v>86</v>
      </c>
      <c r="G71" s="2">
        <v>10516.05</v>
      </c>
      <c r="H71" s="3"/>
      <c r="I71" s="2">
        <v>10454.41</v>
      </c>
      <c r="J71" s="3"/>
      <c r="K71" s="2">
        <v>7272.86</v>
      </c>
      <c r="L71" s="3"/>
      <c r="M71" s="2">
        <v>7063.26</v>
      </c>
      <c r="N71" s="3"/>
      <c r="O71" s="2">
        <v>6965.19</v>
      </c>
      <c r="P71" s="3"/>
      <c r="Q71" s="2">
        <v>7641.5</v>
      </c>
      <c r="R71" s="3"/>
      <c r="S71" s="2">
        <v>7742.09</v>
      </c>
      <c r="T71" s="3"/>
      <c r="U71" s="2">
        <v>7184.12</v>
      </c>
      <c r="V71" s="3"/>
      <c r="W71" s="2">
        <v>7769.88</v>
      </c>
      <c r="X71" s="3"/>
      <c r="Y71" s="2">
        <v>7588.4</v>
      </c>
      <c r="Z71" s="3"/>
      <c r="AA71" s="2">
        <v>7544.01</v>
      </c>
      <c r="AB71" s="3"/>
      <c r="AC71" s="2">
        <v>8142.84</v>
      </c>
      <c r="AD71" s="3"/>
      <c r="AE71" s="2">
        <v>8050.18</v>
      </c>
      <c r="AF71" s="3"/>
      <c r="AG71" s="2">
        <v>8122.93</v>
      </c>
      <c r="AH71" s="3"/>
      <c r="AI71" s="2">
        <v>8481.6</v>
      </c>
      <c r="AJ71" s="3"/>
      <c r="AK71" s="2">
        <v>7908.31</v>
      </c>
      <c r="AL71" s="3"/>
      <c r="AM71" s="2">
        <f>ROUND(SUM(G71:AK71),5)</f>
        <v>128447.63</v>
      </c>
    </row>
    <row r="72" spans="1:39" x14ac:dyDescent="0.25">
      <c r="A72" s="1"/>
      <c r="B72" s="1"/>
      <c r="C72" s="1"/>
      <c r="D72" s="1"/>
      <c r="E72" s="1"/>
      <c r="F72" s="1" t="s">
        <v>87</v>
      </c>
      <c r="G72" s="2">
        <v>0</v>
      </c>
      <c r="H72" s="3"/>
      <c r="I72" s="2">
        <v>1593.41</v>
      </c>
      <c r="J72" s="3"/>
      <c r="K72" s="2">
        <v>4939.5600000000004</v>
      </c>
      <c r="L72" s="3"/>
      <c r="M72" s="2">
        <v>4461.54</v>
      </c>
      <c r="N72" s="3"/>
      <c r="O72" s="2">
        <v>4875.83</v>
      </c>
      <c r="P72" s="3"/>
      <c r="Q72" s="2">
        <v>4397.8</v>
      </c>
      <c r="R72" s="3"/>
      <c r="S72" s="2">
        <v>4939.55</v>
      </c>
      <c r="T72" s="3"/>
      <c r="U72" s="2">
        <v>4926.82</v>
      </c>
      <c r="V72" s="3"/>
      <c r="W72" s="2">
        <v>5137.1400000000003</v>
      </c>
      <c r="X72" s="3"/>
      <c r="Y72" s="2">
        <v>5137.1400000000003</v>
      </c>
      <c r="Z72" s="3"/>
      <c r="AA72" s="2">
        <v>4689.72</v>
      </c>
      <c r="AB72" s="3"/>
      <c r="AC72" s="2">
        <v>4954.8599999999997</v>
      </c>
      <c r="AD72" s="3"/>
      <c r="AE72" s="2">
        <v>5103.99</v>
      </c>
      <c r="AF72" s="3"/>
      <c r="AG72" s="2">
        <v>5468.58</v>
      </c>
      <c r="AH72" s="3"/>
      <c r="AI72" s="2">
        <v>5137.1400000000003</v>
      </c>
      <c r="AJ72" s="3"/>
      <c r="AK72" s="2">
        <v>4640</v>
      </c>
      <c r="AL72" s="3"/>
      <c r="AM72" s="2">
        <f>ROUND(SUM(G72:AK72),5)</f>
        <v>70403.08</v>
      </c>
    </row>
    <row r="73" spans="1:39" x14ac:dyDescent="0.25">
      <c r="A73" s="1"/>
      <c r="B73" s="1"/>
      <c r="C73" s="1"/>
      <c r="D73" s="1"/>
      <c r="E73" s="1"/>
      <c r="F73" s="1" t="s">
        <v>88</v>
      </c>
      <c r="G73" s="2">
        <v>0</v>
      </c>
      <c r="H73" s="3"/>
      <c r="I73" s="2">
        <v>0</v>
      </c>
      <c r="J73" s="3"/>
      <c r="K73" s="2">
        <v>0</v>
      </c>
      <c r="L73" s="3"/>
      <c r="M73" s="2">
        <v>717.5</v>
      </c>
      <c r="N73" s="3"/>
      <c r="O73" s="2">
        <v>87.5</v>
      </c>
      <c r="P73" s="3"/>
      <c r="Q73" s="2">
        <v>0</v>
      </c>
      <c r="R73" s="3"/>
      <c r="S73" s="2">
        <v>0</v>
      </c>
      <c r="T73" s="3"/>
      <c r="U73" s="2">
        <v>280</v>
      </c>
      <c r="V73" s="3"/>
      <c r="W73" s="2">
        <v>0</v>
      </c>
      <c r="X73" s="3"/>
      <c r="Y73" s="2">
        <v>0</v>
      </c>
      <c r="Z73" s="3"/>
      <c r="AA73" s="2">
        <v>0</v>
      </c>
      <c r="AB73" s="3"/>
      <c r="AC73" s="2">
        <v>0</v>
      </c>
      <c r="AD73" s="3"/>
      <c r="AE73" s="2">
        <v>0</v>
      </c>
      <c r="AF73" s="3"/>
      <c r="AG73" s="2">
        <v>0</v>
      </c>
      <c r="AH73" s="3"/>
      <c r="AI73" s="2">
        <v>0</v>
      </c>
      <c r="AJ73" s="3"/>
      <c r="AK73" s="2">
        <v>0</v>
      </c>
      <c r="AL73" s="3"/>
      <c r="AM73" s="2">
        <f>ROUND(SUM(G73:AK73),5)</f>
        <v>1085</v>
      </c>
    </row>
    <row r="74" spans="1:39" ht="15.75" thickBot="1" x14ac:dyDescent="0.3">
      <c r="A74" s="1"/>
      <c r="B74" s="1"/>
      <c r="C74" s="1"/>
      <c r="D74" s="1"/>
      <c r="E74" s="1"/>
      <c r="F74" s="1" t="s">
        <v>89</v>
      </c>
      <c r="G74" s="6">
        <v>0</v>
      </c>
      <c r="H74" s="3"/>
      <c r="I74" s="6">
        <v>0</v>
      </c>
      <c r="J74" s="3"/>
      <c r="K74" s="6">
        <v>0</v>
      </c>
      <c r="L74" s="3"/>
      <c r="M74" s="6">
        <v>0</v>
      </c>
      <c r="N74" s="3"/>
      <c r="O74" s="6">
        <v>0</v>
      </c>
      <c r="P74" s="3"/>
      <c r="Q74" s="6">
        <v>0</v>
      </c>
      <c r="R74" s="3"/>
      <c r="S74" s="6">
        <v>0</v>
      </c>
      <c r="T74" s="3"/>
      <c r="U74" s="6">
        <v>0</v>
      </c>
      <c r="V74" s="3"/>
      <c r="W74" s="6">
        <v>0</v>
      </c>
      <c r="X74" s="3"/>
      <c r="Y74" s="6">
        <v>0</v>
      </c>
      <c r="Z74" s="3"/>
      <c r="AA74" s="6">
        <v>0</v>
      </c>
      <c r="AB74" s="3"/>
      <c r="AC74" s="6">
        <v>0</v>
      </c>
      <c r="AD74" s="3"/>
      <c r="AE74" s="6">
        <v>0</v>
      </c>
      <c r="AF74" s="3"/>
      <c r="AG74" s="6">
        <v>0</v>
      </c>
      <c r="AH74" s="3"/>
      <c r="AI74" s="6">
        <v>0</v>
      </c>
      <c r="AJ74" s="3"/>
      <c r="AK74" s="6">
        <v>172.67</v>
      </c>
      <c r="AL74" s="3"/>
      <c r="AM74" s="6">
        <f>ROUND(SUM(G74:AK74),5)</f>
        <v>172.67</v>
      </c>
    </row>
    <row r="75" spans="1:39" x14ac:dyDescent="0.25">
      <c r="A75" s="1"/>
      <c r="B75" s="1"/>
      <c r="C75" s="1"/>
      <c r="D75" s="1"/>
      <c r="E75" s="1" t="s">
        <v>90</v>
      </c>
      <c r="F75" s="1"/>
      <c r="G75" s="2">
        <f>ROUND(SUM(G66:G74),5)</f>
        <v>13855.09</v>
      </c>
      <c r="H75" s="3"/>
      <c r="I75" s="2">
        <f>ROUND(SUM(I66:I74),5)</f>
        <v>15444.87</v>
      </c>
      <c r="J75" s="3"/>
      <c r="K75" s="2">
        <f>ROUND(SUM(K66:K74),5)</f>
        <v>16921.52</v>
      </c>
      <c r="L75" s="3"/>
      <c r="M75" s="2">
        <f>ROUND(SUM(M66:M74),5)</f>
        <v>16424.310000000001</v>
      </c>
      <c r="N75" s="3"/>
      <c r="O75" s="2">
        <f>ROUND(SUM(O66:O74),5)</f>
        <v>16797.03</v>
      </c>
      <c r="P75" s="3"/>
      <c r="Q75" s="2">
        <f>ROUND(SUM(Q66:Q74),5)</f>
        <v>17005.330000000002</v>
      </c>
      <c r="R75" s="3"/>
      <c r="S75" s="2">
        <f>ROUND(SUM(S66:S74),5)</f>
        <v>19811.16</v>
      </c>
      <c r="T75" s="3"/>
      <c r="U75" s="2">
        <f>ROUND(SUM(U66:U74),5)</f>
        <v>18064.310000000001</v>
      </c>
      <c r="V75" s="3"/>
      <c r="W75" s="2">
        <f>ROUND(SUM(W66:W74),5)</f>
        <v>18849.29</v>
      </c>
      <c r="X75" s="3"/>
      <c r="Y75" s="2">
        <f>ROUND(SUM(Y66:Y74),5)</f>
        <v>17631.48</v>
      </c>
      <c r="Z75" s="3"/>
      <c r="AA75" s="2">
        <f>ROUND(SUM(AA66:AA74),5)</f>
        <v>16670.8</v>
      </c>
      <c r="AB75" s="3"/>
      <c r="AC75" s="2">
        <f>ROUND(SUM(AC66:AC74),5)</f>
        <v>17829.169999999998</v>
      </c>
      <c r="AD75" s="3"/>
      <c r="AE75" s="2">
        <f>ROUND(SUM(AE66:AE74),5)</f>
        <v>17567.060000000001</v>
      </c>
      <c r="AF75" s="3"/>
      <c r="AG75" s="2">
        <f>ROUND(SUM(AG66:AG74),5)</f>
        <v>17812.419999999998</v>
      </c>
      <c r="AH75" s="3"/>
      <c r="AI75" s="2">
        <f>ROUND(SUM(AI66:AI74),5)</f>
        <v>17285</v>
      </c>
      <c r="AJ75" s="3"/>
      <c r="AK75" s="2">
        <f>ROUND(SUM(AK66:AK74),5)</f>
        <v>17123.490000000002</v>
      </c>
      <c r="AL75" s="3"/>
      <c r="AM75" s="2">
        <f>ROUND(SUM(G75:AK75),5)</f>
        <v>275092.33</v>
      </c>
    </row>
    <row r="76" spans="1:39" x14ac:dyDescent="0.25">
      <c r="A76" s="1"/>
      <c r="B76" s="1"/>
      <c r="C76" s="1"/>
      <c r="D76" s="1"/>
      <c r="E76" s="1" t="s">
        <v>91</v>
      </c>
      <c r="F76" s="1"/>
      <c r="G76" s="2"/>
      <c r="H76" s="3"/>
      <c r="I76" s="2"/>
      <c r="J76" s="3"/>
      <c r="K76" s="2"/>
      <c r="L76" s="3"/>
      <c r="M76" s="2"/>
      <c r="N76" s="3"/>
      <c r="O76" s="2"/>
      <c r="P76" s="3"/>
      <c r="Q76" s="2"/>
      <c r="R76" s="3"/>
      <c r="S76" s="2"/>
      <c r="T76" s="3"/>
      <c r="U76" s="2"/>
      <c r="V76" s="3"/>
      <c r="W76" s="2"/>
      <c r="X76" s="3"/>
      <c r="Y76" s="2"/>
      <c r="Z76" s="3"/>
      <c r="AA76" s="2"/>
      <c r="AB76" s="3"/>
      <c r="AC76" s="2"/>
      <c r="AD76" s="3"/>
      <c r="AE76" s="2"/>
      <c r="AF76" s="3"/>
      <c r="AG76" s="2"/>
      <c r="AH76" s="3"/>
      <c r="AI76" s="2"/>
      <c r="AJ76" s="3"/>
      <c r="AK76" s="2"/>
      <c r="AL76" s="3"/>
      <c r="AM76" s="2"/>
    </row>
    <row r="77" spans="1:39" x14ac:dyDescent="0.25">
      <c r="A77" s="1"/>
      <c r="B77" s="1"/>
      <c r="C77" s="1"/>
      <c r="D77" s="1"/>
      <c r="E77" s="1"/>
      <c r="F77" s="1" t="s">
        <v>92</v>
      </c>
      <c r="G77" s="2">
        <v>8344.26</v>
      </c>
      <c r="H77" s="3"/>
      <c r="I77" s="2">
        <v>7883.63</v>
      </c>
      <c r="J77" s="3"/>
      <c r="K77" s="2">
        <v>8683.6299999999992</v>
      </c>
      <c r="L77" s="3"/>
      <c r="M77" s="2">
        <v>8756.39</v>
      </c>
      <c r="N77" s="3"/>
      <c r="O77" s="2">
        <v>9394.83</v>
      </c>
      <c r="P77" s="3"/>
      <c r="Q77" s="2">
        <v>9455.6299999999992</v>
      </c>
      <c r="R77" s="3"/>
      <c r="S77" s="2">
        <v>9025.4699999999993</v>
      </c>
      <c r="T77" s="3"/>
      <c r="U77" s="2">
        <v>9024.52</v>
      </c>
      <c r="V77" s="3"/>
      <c r="W77" s="2">
        <v>9420.1299999999992</v>
      </c>
      <c r="X77" s="3"/>
      <c r="Y77" s="2">
        <v>10270.61</v>
      </c>
      <c r="Z77" s="3"/>
      <c r="AA77" s="2">
        <v>8091.03</v>
      </c>
      <c r="AB77" s="3"/>
      <c r="AC77" s="2">
        <v>7821.45</v>
      </c>
      <c r="AD77" s="3"/>
      <c r="AE77" s="2">
        <v>5928.48</v>
      </c>
      <c r="AF77" s="3"/>
      <c r="AG77" s="2">
        <v>5815.34</v>
      </c>
      <c r="AH77" s="3"/>
      <c r="AI77" s="2">
        <v>8580.91</v>
      </c>
      <c r="AJ77" s="3"/>
      <c r="AK77" s="2">
        <v>6505.26</v>
      </c>
      <c r="AL77" s="3"/>
      <c r="AM77" s="2">
        <f>ROUND(SUM(G77:AK77),5)</f>
        <v>133001.57</v>
      </c>
    </row>
    <row r="78" spans="1:39" x14ac:dyDescent="0.25">
      <c r="A78" s="1"/>
      <c r="B78" s="1"/>
      <c r="C78" s="1"/>
      <c r="D78" s="1"/>
      <c r="E78" s="1"/>
      <c r="F78" s="1" t="s">
        <v>93</v>
      </c>
      <c r="G78" s="2">
        <v>0</v>
      </c>
      <c r="H78" s="3"/>
      <c r="I78" s="2">
        <v>892.47</v>
      </c>
      <c r="J78" s="3"/>
      <c r="K78" s="2">
        <v>0</v>
      </c>
      <c r="L78" s="3"/>
      <c r="M78" s="2">
        <v>0</v>
      </c>
      <c r="N78" s="3"/>
      <c r="O78" s="2">
        <v>0</v>
      </c>
      <c r="P78" s="3"/>
      <c r="Q78" s="2">
        <v>0</v>
      </c>
      <c r="R78" s="3"/>
      <c r="S78" s="2">
        <v>0</v>
      </c>
      <c r="T78" s="3"/>
      <c r="U78" s="2">
        <v>1079.74</v>
      </c>
      <c r="V78" s="3"/>
      <c r="W78" s="2">
        <v>963.88</v>
      </c>
      <c r="X78" s="3"/>
      <c r="Y78" s="2">
        <v>347.28</v>
      </c>
      <c r="Z78" s="3"/>
      <c r="AA78" s="2">
        <v>460.68</v>
      </c>
      <c r="AB78" s="3"/>
      <c r="AC78" s="2">
        <v>694.45</v>
      </c>
      <c r="AD78" s="3"/>
      <c r="AE78" s="2">
        <v>323.39</v>
      </c>
      <c r="AF78" s="3"/>
      <c r="AG78" s="2">
        <v>1438.63</v>
      </c>
      <c r="AH78" s="3"/>
      <c r="AI78" s="2">
        <v>0</v>
      </c>
      <c r="AJ78" s="3"/>
      <c r="AK78" s="2">
        <v>412.24</v>
      </c>
      <c r="AL78" s="3"/>
      <c r="AM78" s="2">
        <f>ROUND(SUM(G78:AK78),5)</f>
        <v>6612.76</v>
      </c>
    </row>
    <row r="79" spans="1:39" x14ac:dyDescent="0.25">
      <c r="A79" s="1"/>
      <c r="B79" s="1"/>
      <c r="C79" s="1"/>
      <c r="D79" s="1"/>
      <c r="E79" s="1"/>
      <c r="F79" s="1" t="s">
        <v>94</v>
      </c>
      <c r="G79" s="2">
        <v>75</v>
      </c>
      <c r="H79" s="3"/>
      <c r="I79" s="2">
        <v>75</v>
      </c>
      <c r="J79" s="3"/>
      <c r="K79" s="2">
        <v>150</v>
      </c>
      <c r="L79" s="3"/>
      <c r="M79" s="2">
        <v>1257.97</v>
      </c>
      <c r="N79" s="3"/>
      <c r="O79" s="2">
        <v>75</v>
      </c>
      <c r="P79" s="3"/>
      <c r="Q79" s="2">
        <v>1866.8</v>
      </c>
      <c r="R79" s="3"/>
      <c r="S79" s="2">
        <v>75</v>
      </c>
      <c r="T79" s="3"/>
      <c r="U79" s="2">
        <v>75</v>
      </c>
      <c r="V79" s="3"/>
      <c r="W79" s="2">
        <v>75</v>
      </c>
      <c r="X79" s="3"/>
      <c r="Y79" s="2">
        <v>75</v>
      </c>
      <c r="Z79" s="3"/>
      <c r="AA79" s="2">
        <v>75</v>
      </c>
      <c r="AB79" s="3"/>
      <c r="AC79" s="2">
        <v>75</v>
      </c>
      <c r="AD79" s="3"/>
      <c r="AE79" s="2">
        <v>0</v>
      </c>
      <c r="AF79" s="3"/>
      <c r="AG79" s="2">
        <v>0</v>
      </c>
      <c r="AH79" s="3"/>
      <c r="AI79" s="2">
        <v>150</v>
      </c>
      <c r="AJ79" s="3"/>
      <c r="AK79" s="2">
        <v>0</v>
      </c>
      <c r="AL79" s="3"/>
      <c r="AM79" s="2">
        <f>ROUND(SUM(G79:AK79),5)</f>
        <v>4099.7700000000004</v>
      </c>
    </row>
    <row r="80" spans="1:39" x14ac:dyDescent="0.25">
      <c r="A80" s="1"/>
      <c r="B80" s="1"/>
      <c r="C80" s="1"/>
      <c r="D80" s="1"/>
      <c r="E80" s="1"/>
      <c r="F80" s="1" t="s">
        <v>95</v>
      </c>
      <c r="G80" s="2">
        <v>0</v>
      </c>
      <c r="H80" s="3"/>
      <c r="I80" s="2">
        <v>215.02</v>
      </c>
      <c r="J80" s="3"/>
      <c r="K80" s="2">
        <v>747.71</v>
      </c>
      <c r="L80" s="3"/>
      <c r="M80" s="2">
        <v>0</v>
      </c>
      <c r="N80" s="3"/>
      <c r="O80" s="2">
        <v>0</v>
      </c>
      <c r="P80" s="3"/>
      <c r="Q80" s="2">
        <v>0</v>
      </c>
      <c r="R80" s="3"/>
      <c r="S80" s="2">
        <v>204.74</v>
      </c>
      <c r="T80" s="3"/>
      <c r="U80" s="2">
        <v>0</v>
      </c>
      <c r="V80" s="3"/>
      <c r="W80" s="2">
        <v>0</v>
      </c>
      <c r="X80" s="3"/>
      <c r="Y80" s="2">
        <v>1920.99</v>
      </c>
      <c r="Z80" s="3"/>
      <c r="AA80" s="2">
        <v>990</v>
      </c>
      <c r="AB80" s="3"/>
      <c r="AC80" s="2">
        <v>0</v>
      </c>
      <c r="AD80" s="3"/>
      <c r="AE80" s="2">
        <v>1643.9</v>
      </c>
      <c r="AF80" s="3"/>
      <c r="AG80" s="2">
        <v>0</v>
      </c>
      <c r="AH80" s="3"/>
      <c r="AI80" s="2">
        <v>990</v>
      </c>
      <c r="AJ80" s="3"/>
      <c r="AK80" s="2">
        <v>0</v>
      </c>
      <c r="AL80" s="3"/>
      <c r="AM80" s="2">
        <f>ROUND(SUM(G80:AK80),5)</f>
        <v>6712.36</v>
      </c>
    </row>
    <row r="81" spans="1:39" x14ac:dyDescent="0.25">
      <c r="A81" s="1"/>
      <c r="B81" s="1"/>
      <c r="C81" s="1"/>
      <c r="D81" s="1"/>
      <c r="E81" s="1"/>
      <c r="F81" s="1" t="s">
        <v>96</v>
      </c>
      <c r="G81" s="2">
        <v>261.45999999999998</v>
      </c>
      <c r="H81" s="3"/>
      <c r="I81" s="2">
        <v>0</v>
      </c>
      <c r="J81" s="3"/>
      <c r="K81" s="2">
        <v>0</v>
      </c>
      <c r="L81" s="3"/>
      <c r="M81" s="2">
        <v>0</v>
      </c>
      <c r="N81" s="3"/>
      <c r="O81" s="2">
        <v>0</v>
      </c>
      <c r="P81" s="3"/>
      <c r="Q81" s="2">
        <v>0</v>
      </c>
      <c r="R81" s="3"/>
      <c r="S81" s="2">
        <v>0</v>
      </c>
      <c r="T81" s="3"/>
      <c r="U81" s="2">
        <v>0</v>
      </c>
      <c r="V81" s="3"/>
      <c r="W81" s="2">
        <v>0</v>
      </c>
      <c r="X81" s="3"/>
      <c r="Y81" s="2">
        <v>0</v>
      </c>
      <c r="Z81" s="3"/>
      <c r="AA81" s="2">
        <v>0</v>
      </c>
      <c r="AB81" s="3"/>
      <c r="AC81" s="2">
        <v>0</v>
      </c>
      <c r="AD81" s="3"/>
      <c r="AE81" s="2">
        <v>0</v>
      </c>
      <c r="AF81" s="3"/>
      <c r="AG81" s="2">
        <v>0</v>
      </c>
      <c r="AH81" s="3"/>
      <c r="AI81" s="2">
        <v>0</v>
      </c>
      <c r="AJ81" s="3"/>
      <c r="AK81" s="2">
        <v>0</v>
      </c>
      <c r="AL81" s="3"/>
      <c r="AM81" s="2">
        <f>ROUND(SUM(G81:AK81),5)</f>
        <v>261.45999999999998</v>
      </c>
    </row>
    <row r="82" spans="1:39" ht="15.75" thickBot="1" x14ac:dyDescent="0.3">
      <c r="A82" s="1"/>
      <c r="B82" s="1"/>
      <c r="C82" s="1"/>
      <c r="D82" s="1"/>
      <c r="E82" s="1"/>
      <c r="F82" s="1" t="s">
        <v>97</v>
      </c>
      <c r="G82" s="6">
        <v>1429.15</v>
      </c>
      <c r="H82" s="3"/>
      <c r="I82" s="6">
        <v>934.26</v>
      </c>
      <c r="J82" s="3"/>
      <c r="K82" s="6">
        <v>1035.83</v>
      </c>
      <c r="L82" s="3"/>
      <c r="M82" s="6">
        <v>2244.2199999999998</v>
      </c>
      <c r="N82" s="3"/>
      <c r="O82" s="6">
        <v>936.39</v>
      </c>
      <c r="P82" s="3"/>
      <c r="Q82" s="6">
        <v>1260.22</v>
      </c>
      <c r="R82" s="3"/>
      <c r="S82" s="6">
        <v>1358.75</v>
      </c>
      <c r="T82" s="3"/>
      <c r="U82" s="6">
        <v>1455.05</v>
      </c>
      <c r="V82" s="3"/>
      <c r="W82" s="6">
        <v>1191.71</v>
      </c>
      <c r="X82" s="3"/>
      <c r="Y82" s="6">
        <v>973.07</v>
      </c>
      <c r="Z82" s="3"/>
      <c r="AA82" s="6">
        <v>923.62</v>
      </c>
      <c r="AB82" s="3"/>
      <c r="AC82" s="6">
        <v>1903.04</v>
      </c>
      <c r="AD82" s="3"/>
      <c r="AE82" s="6">
        <v>1362.5</v>
      </c>
      <c r="AF82" s="3"/>
      <c r="AG82" s="6">
        <v>1098.5899999999999</v>
      </c>
      <c r="AH82" s="3"/>
      <c r="AI82" s="6">
        <v>1520.87</v>
      </c>
      <c r="AJ82" s="3"/>
      <c r="AK82" s="6">
        <v>774.24</v>
      </c>
      <c r="AL82" s="3"/>
      <c r="AM82" s="6">
        <f>ROUND(SUM(G82:AK82),5)</f>
        <v>20401.509999999998</v>
      </c>
    </row>
    <row r="83" spans="1:39" x14ac:dyDescent="0.25">
      <c r="A83" s="1"/>
      <c r="B83" s="1"/>
      <c r="C83" s="1"/>
      <c r="D83" s="1"/>
      <c r="E83" s="1" t="s">
        <v>98</v>
      </c>
      <c r="F83" s="1"/>
      <c r="G83" s="2">
        <f>ROUND(SUM(G76:G82),5)</f>
        <v>10109.870000000001</v>
      </c>
      <c r="H83" s="3"/>
      <c r="I83" s="2">
        <f>ROUND(SUM(I76:I82),5)</f>
        <v>10000.379999999999</v>
      </c>
      <c r="J83" s="3"/>
      <c r="K83" s="2">
        <f>ROUND(SUM(K76:K82),5)</f>
        <v>10617.17</v>
      </c>
      <c r="L83" s="3"/>
      <c r="M83" s="2">
        <f>ROUND(SUM(M76:M82),5)</f>
        <v>12258.58</v>
      </c>
      <c r="N83" s="3"/>
      <c r="O83" s="2">
        <f>ROUND(SUM(O76:O82),5)</f>
        <v>10406.219999999999</v>
      </c>
      <c r="P83" s="3"/>
      <c r="Q83" s="2">
        <f>ROUND(SUM(Q76:Q82),5)</f>
        <v>12582.65</v>
      </c>
      <c r="R83" s="3"/>
      <c r="S83" s="2">
        <f>ROUND(SUM(S76:S82),5)</f>
        <v>10663.96</v>
      </c>
      <c r="T83" s="3"/>
      <c r="U83" s="2">
        <f>ROUND(SUM(U76:U82),5)</f>
        <v>11634.31</v>
      </c>
      <c r="V83" s="3"/>
      <c r="W83" s="2">
        <f>ROUND(SUM(W76:W82),5)</f>
        <v>11650.72</v>
      </c>
      <c r="X83" s="3"/>
      <c r="Y83" s="2">
        <f>ROUND(SUM(Y76:Y82),5)</f>
        <v>13586.95</v>
      </c>
      <c r="Z83" s="3"/>
      <c r="AA83" s="2">
        <f>ROUND(SUM(AA76:AA82),5)</f>
        <v>10540.33</v>
      </c>
      <c r="AB83" s="3"/>
      <c r="AC83" s="2">
        <f>ROUND(SUM(AC76:AC82),5)</f>
        <v>10493.94</v>
      </c>
      <c r="AD83" s="3"/>
      <c r="AE83" s="2">
        <f>ROUND(SUM(AE76:AE82),5)</f>
        <v>9258.27</v>
      </c>
      <c r="AF83" s="3"/>
      <c r="AG83" s="2">
        <f>ROUND(SUM(AG76:AG82),5)</f>
        <v>8352.56</v>
      </c>
      <c r="AH83" s="3"/>
      <c r="AI83" s="2">
        <f>ROUND(SUM(AI76:AI82),5)</f>
        <v>11241.78</v>
      </c>
      <c r="AJ83" s="3"/>
      <c r="AK83" s="2">
        <f>ROUND(SUM(AK76:AK82),5)</f>
        <v>7691.74</v>
      </c>
      <c r="AL83" s="3"/>
      <c r="AM83" s="2">
        <f>ROUND(SUM(G83:AK83),5)</f>
        <v>171089.43</v>
      </c>
    </row>
    <row r="84" spans="1:39" x14ac:dyDescent="0.25">
      <c r="A84" s="1"/>
      <c r="B84" s="1"/>
      <c r="C84" s="1"/>
      <c r="D84" s="1"/>
      <c r="E84" s="1" t="s">
        <v>99</v>
      </c>
      <c r="F84" s="1"/>
      <c r="G84" s="2"/>
      <c r="H84" s="3"/>
      <c r="I84" s="2"/>
      <c r="J84" s="3"/>
      <c r="K84" s="2"/>
      <c r="L84" s="3"/>
      <c r="M84" s="2"/>
      <c r="N84" s="3"/>
      <c r="O84" s="2"/>
      <c r="P84" s="3"/>
      <c r="Q84" s="2"/>
      <c r="R84" s="3"/>
      <c r="S84" s="2"/>
      <c r="T84" s="3"/>
      <c r="U84" s="2"/>
      <c r="V84" s="3"/>
      <c r="W84" s="2"/>
      <c r="X84" s="3"/>
      <c r="Y84" s="2"/>
      <c r="Z84" s="3"/>
      <c r="AA84" s="2"/>
      <c r="AB84" s="3"/>
      <c r="AC84" s="2"/>
      <c r="AD84" s="3"/>
      <c r="AE84" s="2"/>
      <c r="AF84" s="3"/>
      <c r="AG84" s="2"/>
      <c r="AH84" s="3"/>
      <c r="AI84" s="2"/>
      <c r="AJ84" s="3"/>
      <c r="AK84" s="2"/>
      <c r="AL84" s="3"/>
      <c r="AM84" s="2"/>
    </row>
    <row r="85" spans="1:39" x14ac:dyDescent="0.25">
      <c r="A85" s="1"/>
      <c r="B85" s="1"/>
      <c r="C85" s="1"/>
      <c r="D85" s="1"/>
      <c r="E85" s="1"/>
      <c r="F85" s="1" t="s">
        <v>100</v>
      </c>
      <c r="G85" s="2">
        <v>4616.87</v>
      </c>
      <c r="H85" s="3"/>
      <c r="I85" s="2">
        <v>5459.06</v>
      </c>
      <c r="J85" s="3"/>
      <c r="K85" s="2">
        <v>8691.9</v>
      </c>
      <c r="L85" s="3"/>
      <c r="M85" s="2">
        <v>7774.18</v>
      </c>
      <c r="N85" s="3"/>
      <c r="O85" s="2">
        <v>9044.02</v>
      </c>
      <c r="P85" s="3"/>
      <c r="Q85" s="2">
        <v>7709.31</v>
      </c>
      <c r="R85" s="3"/>
      <c r="S85" s="2">
        <v>9277.7000000000007</v>
      </c>
      <c r="T85" s="3"/>
      <c r="U85" s="2">
        <v>8360.19</v>
      </c>
      <c r="V85" s="3"/>
      <c r="W85" s="2">
        <v>9421.6200000000008</v>
      </c>
      <c r="X85" s="3"/>
      <c r="Y85" s="2">
        <v>9061.9699999999993</v>
      </c>
      <c r="Z85" s="3"/>
      <c r="AA85" s="2">
        <v>8496.7000000000007</v>
      </c>
      <c r="AB85" s="3"/>
      <c r="AC85" s="2">
        <v>7962.84</v>
      </c>
      <c r="AD85" s="3"/>
      <c r="AE85" s="2">
        <v>8021.06</v>
      </c>
      <c r="AF85" s="3"/>
      <c r="AG85" s="2">
        <v>7463.88</v>
      </c>
      <c r="AH85" s="3"/>
      <c r="AI85" s="2">
        <v>8746.9</v>
      </c>
      <c r="AJ85" s="3"/>
      <c r="AK85" s="2">
        <v>8749.94</v>
      </c>
      <c r="AL85" s="3"/>
      <c r="AM85" s="2">
        <f>ROUND(SUM(G85:AK85),5)</f>
        <v>128858.14</v>
      </c>
    </row>
    <row r="86" spans="1:39" x14ac:dyDescent="0.25">
      <c r="A86" s="1"/>
      <c r="B86" s="1"/>
      <c r="C86" s="1"/>
      <c r="D86" s="1"/>
      <c r="E86" s="1"/>
      <c r="F86" s="1" t="s">
        <v>101</v>
      </c>
      <c r="G86" s="2">
        <v>18600</v>
      </c>
      <c r="H86" s="3"/>
      <c r="I86" s="2">
        <v>18600</v>
      </c>
      <c r="J86" s="3"/>
      <c r="K86" s="2">
        <v>18600</v>
      </c>
      <c r="L86" s="3"/>
      <c r="M86" s="2">
        <v>18600</v>
      </c>
      <c r="N86" s="3"/>
      <c r="O86" s="2">
        <v>18600</v>
      </c>
      <c r="P86" s="3"/>
      <c r="Q86" s="2">
        <v>18600</v>
      </c>
      <c r="R86" s="3"/>
      <c r="S86" s="2">
        <v>18600</v>
      </c>
      <c r="T86" s="3"/>
      <c r="U86" s="2">
        <v>18600</v>
      </c>
      <c r="V86" s="3"/>
      <c r="W86" s="2">
        <v>18600</v>
      </c>
      <c r="X86" s="3"/>
      <c r="Y86" s="2">
        <v>23500</v>
      </c>
      <c r="Z86" s="3"/>
      <c r="AA86" s="2">
        <v>23500</v>
      </c>
      <c r="AB86" s="3"/>
      <c r="AC86" s="2">
        <v>23500</v>
      </c>
      <c r="AD86" s="3"/>
      <c r="AE86" s="2">
        <v>23500</v>
      </c>
      <c r="AF86" s="3"/>
      <c r="AG86" s="2">
        <v>23500</v>
      </c>
      <c r="AH86" s="3"/>
      <c r="AI86" s="2">
        <v>23500</v>
      </c>
      <c r="AJ86" s="3"/>
      <c r="AK86" s="2">
        <v>23500</v>
      </c>
      <c r="AL86" s="3"/>
      <c r="AM86" s="2">
        <f>ROUND(SUM(G86:AK86),5)</f>
        <v>331900</v>
      </c>
    </row>
    <row r="87" spans="1:39" x14ac:dyDescent="0.25">
      <c r="A87" s="1"/>
      <c r="B87" s="1"/>
      <c r="C87" s="1"/>
      <c r="D87" s="1"/>
      <c r="E87" s="1"/>
      <c r="F87" s="1" t="s">
        <v>102</v>
      </c>
      <c r="G87" s="2">
        <v>9274.0400000000009</v>
      </c>
      <c r="H87" s="3"/>
      <c r="I87" s="2">
        <v>9195.06</v>
      </c>
      <c r="J87" s="3"/>
      <c r="K87" s="2">
        <v>9368.1299999999992</v>
      </c>
      <c r="L87" s="3"/>
      <c r="M87" s="2">
        <v>8461.5400000000009</v>
      </c>
      <c r="N87" s="3"/>
      <c r="O87" s="2">
        <v>9368.14</v>
      </c>
      <c r="P87" s="3"/>
      <c r="Q87" s="2">
        <v>9065.93</v>
      </c>
      <c r="R87" s="3"/>
      <c r="S87" s="2">
        <v>9368.1299999999992</v>
      </c>
      <c r="T87" s="3"/>
      <c r="U87" s="2">
        <v>9065.93</v>
      </c>
      <c r="V87" s="3"/>
      <c r="W87" s="2">
        <v>9368.1299999999992</v>
      </c>
      <c r="X87" s="3"/>
      <c r="Y87" s="2">
        <v>9285.7099999999991</v>
      </c>
      <c r="Z87" s="3"/>
      <c r="AA87" s="2">
        <v>9961.51</v>
      </c>
      <c r="AB87" s="3"/>
      <c r="AC87" s="2">
        <v>10348.33</v>
      </c>
      <c r="AD87" s="3"/>
      <c r="AE87" s="2">
        <v>10061.52</v>
      </c>
      <c r="AF87" s="3"/>
      <c r="AG87" s="2">
        <v>9857.1200000000008</v>
      </c>
      <c r="AH87" s="3"/>
      <c r="AI87" s="2">
        <v>9659.32</v>
      </c>
      <c r="AJ87" s="3"/>
      <c r="AK87" s="2">
        <v>7846.12</v>
      </c>
      <c r="AL87" s="3"/>
      <c r="AM87" s="2">
        <f>ROUND(SUM(G87:AK87),5)</f>
        <v>149554.66</v>
      </c>
    </row>
    <row r="88" spans="1:39" x14ac:dyDescent="0.25">
      <c r="A88" s="1"/>
      <c r="B88" s="1"/>
      <c r="C88" s="1"/>
      <c r="D88" s="1"/>
      <c r="E88" s="1"/>
      <c r="F88" s="1" t="s">
        <v>103</v>
      </c>
      <c r="G88" s="2">
        <v>11108.82</v>
      </c>
      <c r="H88" s="3"/>
      <c r="I88" s="2">
        <v>10799.37</v>
      </c>
      <c r="J88" s="3"/>
      <c r="K88" s="2">
        <v>13925.78</v>
      </c>
      <c r="L88" s="3"/>
      <c r="M88" s="2">
        <v>11480.27</v>
      </c>
      <c r="N88" s="3"/>
      <c r="O88" s="2">
        <v>13892.71</v>
      </c>
      <c r="P88" s="3"/>
      <c r="Q88" s="2">
        <v>11692.5</v>
      </c>
      <c r="R88" s="3"/>
      <c r="S88" s="2">
        <v>12715.33</v>
      </c>
      <c r="T88" s="3"/>
      <c r="U88" s="2">
        <v>12917.75</v>
      </c>
      <c r="V88" s="3"/>
      <c r="W88" s="2">
        <v>13795.39</v>
      </c>
      <c r="X88" s="3"/>
      <c r="Y88" s="2">
        <v>12109.7</v>
      </c>
      <c r="Z88" s="3"/>
      <c r="AA88" s="2">
        <v>16648.13</v>
      </c>
      <c r="AB88" s="3"/>
      <c r="AC88" s="2">
        <v>11897.11</v>
      </c>
      <c r="AD88" s="3"/>
      <c r="AE88" s="2">
        <v>14996.2</v>
      </c>
      <c r="AF88" s="3"/>
      <c r="AG88" s="2">
        <v>14015.02</v>
      </c>
      <c r="AH88" s="3"/>
      <c r="AI88" s="2">
        <v>11728.62</v>
      </c>
      <c r="AJ88" s="3"/>
      <c r="AK88" s="2">
        <v>11919.35</v>
      </c>
      <c r="AL88" s="3"/>
      <c r="AM88" s="2">
        <f>ROUND(SUM(G88:AK88),5)</f>
        <v>205642.05</v>
      </c>
    </row>
    <row r="89" spans="1:39" x14ac:dyDescent="0.25">
      <c r="A89" s="1"/>
      <c r="B89" s="1"/>
      <c r="C89" s="1"/>
      <c r="D89" s="1"/>
      <c r="E89" s="1"/>
      <c r="F89" s="1" t="s">
        <v>104</v>
      </c>
      <c r="G89" s="2">
        <v>5011</v>
      </c>
      <c r="H89" s="3"/>
      <c r="I89" s="2">
        <v>5011</v>
      </c>
      <c r="J89" s="3"/>
      <c r="K89" s="2">
        <v>5011</v>
      </c>
      <c r="L89" s="3"/>
      <c r="M89" s="2">
        <v>5011</v>
      </c>
      <c r="N89" s="3"/>
      <c r="O89" s="2">
        <v>5011</v>
      </c>
      <c r="P89" s="3"/>
      <c r="Q89" s="2">
        <v>5011</v>
      </c>
      <c r="R89" s="3"/>
      <c r="S89" s="2">
        <v>5850</v>
      </c>
      <c r="T89" s="3"/>
      <c r="U89" s="2">
        <v>5850</v>
      </c>
      <c r="V89" s="3"/>
      <c r="W89" s="2">
        <v>5850</v>
      </c>
      <c r="X89" s="3"/>
      <c r="Y89" s="2">
        <v>5850</v>
      </c>
      <c r="Z89" s="3"/>
      <c r="AA89" s="2">
        <v>5850</v>
      </c>
      <c r="AB89" s="3"/>
      <c r="AC89" s="2">
        <v>5850</v>
      </c>
      <c r="AD89" s="3"/>
      <c r="AE89" s="2">
        <v>5850</v>
      </c>
      <c r="AF89" s="3"/>
      <c r="AG89" s="2">
        <v>6819</v>
      </c>
      <c r="AH89" s="3"/>
      <c r="AI89" s="2">
        <v>6819</v>
      </c>
      <c r="AJ89" s="3"/>
      <c r="AK89" s="2">
        <v>6819</v>
      </c>
      <c r="AL89" s="3"/>
      <c r="AM89" s="2">
        <f>ROUND(SUM(G89:AK89),5)</f>
        <v>91473</v>
      </c>
    </row>
    <row r="90" spans="1:39" x14ac:dyDescent="0.25">
      <c r="A90" s="1"/>
      <c r="B90" s="1"/>
      <c r="C90" s="1"/>
      <c r="D90" s="1"/>
      <c r="E90" s="1"/>
      <c r="F90" s="1" t="s">
        <v>105</v>
      </c>
      <c r="G90" s="2">
        <v>2643</v>
      </c>
      <c r="H90" s="3"/>
      <c r="I90" s="2">
        <v>2130.11</v>
      </c>
      <c r="J90" s="3"/>
      <c r="K90" s="2">
        <v>3215.24</v>
      </c>
      <c r="L90" s="3"/>
      <c r="M90" s="2">
        <v>2055.2199999999998</v>
      </c>
      <c r="N90" s="3"/>
      <c r="O90" s="2">
        <v>2756.25</v>
      </c>
      <c r="P90" s="3"/>
      <c r="Q90" s="2">
        <v>2171.5700000000002</v>
      </c>
      <c r="R90" s="3"/>
      <c r="S90" s="2">
        <v>2656.61</v>
      </c>
      <c r="T90" s="3"/>
      <c r="U90" s="2">
        <v>2208.21</v>
      </c>
      <c r="V90" s="3"/>
      <c r="W90" s="2">
        <v>2503.62</v>
      </c>
      <c r="X90" s="3"/>
      <c r="Y90" s="2">
        <v>2846.24</v>
      </c>
      <c r="Z90" s="3"/>
      <c r="AA90" s="2">
        <v>2757.54</v>
      </c>
      <c r="AB90" s="3"/>
      <c r="AC90" s="2">
        <v>2849.78</v>
      </c>
      <c r="AD90" s="3"/>
      <c r="AE90" s="2">
        <v>1396.93</v>
      </c>
      <c r="AF90" s="3"/>
      <c r="AG90" s="2">
        <v>1324.61</v>
      </c>
      <c r="AH90" s="3"/>
      <c r="AI90" s="2">
        <v>2412.3200000000002</v>
      </c>
      <c r="AJ90" s="3"/>
      <c r="AK90" s="2">
        <v>2290.5</v>
      </c>
      <c r="AL90" s="3"/>
      <c r="AM90" s="2">
        <f>ROUND(SUM(G90:AK90),5)</f>
        <v>38217.75</v>
      </c>
    </row>
    <row r="91" spans="1:39" x14ac:dyDescent="0.25">
      <c r="A91" s="1"/>
      <c r="B91" s="1"/>
      <c r="C91" s="1"/>
      <c r="D91" s="1"/>
      <c r="E91" s="1"/>
      <c r="F91" s="1" t="s">
        <v>106</v>
      </c>
      <c r="G91" s="2">
        <v>2307</v>
      </c>
      <c r="H91" s="3"/>
      <c r="I91" s="2">
        <v>2307</v>
      </c>
      <c r="J91" s="3"/>
      <c r="K91" s="2">
        <v>2307</v>
      </c>
      <c r="L91" s="3"/>
      <c r="M91" s="2">
        <v>2307</v>
      </c>
      <c r="N91" s="3"/>
      <c r="O91" s="2">
        <v>2307</v>
      </c>
      <c r="P91" s="3"/>
      <c r="Q91" s="2">
        <v>2307</v>
      </c>
      <c r="R91" s="3"/>
      <c r="S91" s="2">
        <v>2768</v>
      </c>
      <c r="T91" s="3"/>
      <c r="U91" s="2">
        <v>2768</v>
      </c>
      <c r="V91" s="3"/>
      <c r="W91" s="2">
        <v>2768</v>
      </c>
      <c r="X91" s="3"/>
      <c r="Y91" s="2">
        <v>2768</v>
      </c>
      <c r="Z91" s="3"/>
      <c r="AA91" s="2">
        <v>2768</v>
      </c>
      <c r="AB91" s="3"/>
      <c r="AC91" s="2">
        <v>2768</v>
      </c>
      <c r="AD91" s="3"/>
      <c r="AE91" s="2">
        <v>2768</v>
      </c>
      <c r="AF91" s="3"/>
      <c r="AG91" s="2">
        <v>5406</v>
      </c>
      <c r="AH91" s="3"/>
      <c r="AI91" s="2">
        <v>5406</v>
      </c>
      <c r="AJ91" s="3"/>
      <c r="AK91" s="2">
        <v>5406</v>
      </c>
      <c r="AL91" s="3"/>
      <c r="AM91" s="2">
        <f>ROUND(SUM(G91:AK91),5)</f>
        <v>49436</v>
      </c>
    </row>
    <row r="92" spans="1:39" x14ac:dyDescent="0.25">
      <c r="A92" s="1"/>
      <c r="B92" s="1"/>
      <c r="C92" s="1"/>
      <c r="D92" s="1"/>
      <c r="E92" s="1"/>
      <c r="F92" s="1" t="s">
        <v>107</v>
      </c>
      <c r="G92" s="2">
        <v>0</v>
      </c>
      <c r="H92" s="3"/>
      <c r="I92" s="2">
        <v>0</v>
      </c>
      <c r="J92" s="3"/>
      <c r="K92" s="2">
        <v>55955</v>
      </c>
      <c r="L92" s="3"/>
      <c r="M92" s="2">
        <v>51050</v>
      </c>
      <c r="N92" s="3"/>
      <c r="O92" s="2">
        <v>54432</v>
      </c>
      <c r="P92" s="3"/>
      <c r="Q92" s="2">
        <v>54186</v>
      </c>
      <c r="R92" s="3"/>
      <c r="S92" s="2">
        <v>54611</v>
      </c>
      <c r="T92" s="3"/>
      <c r="U92" s="2">
        <v>54746</v>
      </c>
      <c r="V92" s="3"/>
      <c r="W92" s="2">
        <v>55955</v>
      </c>
      <c r="X92" s="3"/>
      <c r="Y92" s="2">
        <v>55955</v>
      </c>
      <c r="Z92" s="3"/>
      <c r="AA92" s="2">
        <v>55955</v>
      </c>
      <c r="AB92" s="3"/>
      <c r="AC92" s="2">
        <v>55955</v>
      </c>
      <c r="AD92" s="3"/>
      <c r="AE92" s="2">
        <v>55955</v>
      </c>
      <c r="AF92" s="3"/>
      <c r="AG92" s="2">
        <v>55955</v>
      </c>
      <c r="AH92" s="3"/>
      <c r="AI92" s="2">
        <v>55955</v>
      </c>
      <c r="AJ92" s="3"/>
      <c r="AK92" s="2">
        <v>55955</v>
      </c>
      <c r="AL92" s="3"/>
      <c r="AM92" s="2">
        <f>ROUND(SUM(G92:AK92),5)</f>
        <v>772620</v>
      </c>
    </row>
    <row r="93" spans="1:39" x14ac:dyDescent="0.25">
      <c r="A93" s="1"/>
      <c r="B93" s="1"/>
      <c r="C93" s="1"/>
      <c r="D93" s="1"/>
      <c r="E93" s="1"/>
      <c r="F93" s="1" t="s">
        <v>108</v>
      </c>
      <c r="G93" s="2">
        <v>11138.79</v>
      </c>
      <c r="H93" s="3"/>
      <c r="I93" s="2">
        <v>13000.78</v>
      </c>
      <c r="J93" s="3"/>
      <c r="K93" s="2">
        <v>11894.51</v>
      </c>
      <c r="L93" s="3"/>
      <c r="M93" s="2">
        <v>11513.85</v>
      </c>
      <c r="N93" s="3"/>
      <c r="O93" s="2">
        <v>12459.92</v>
      </c>
      <c r="P93" s="3"/>
      <c r="Q93" s="2">
        <v>11132.3</v>
      </c>
      <c r="R93" s="3"/>
      <c r="S93" s="2">
        <v>11351.82</v>
      </c>
      <c r="T93" s="3"/>
      <c r="U93" s="2">
        <v>11360.5</v>
      </c>
      <c r="V93" s="3"/>
      <c r="W93" s="2">
        <v>11393.38</v>
      </c>
      <c r="X93" s="3"/>
      <c r="Y93" s="2">
        <v>12966.91</v>
      </c>
      <c r="Z93" s="3"/>
      <c r="AA93" s="2">
        <v>11671.38</v>
      </c>
      <c r="AB93" s="3"/>
      <c r="AC93" s="2">
        <v>15325.36</v>
      </c>
      <c r="AD93" s="3"/>
      <c r="AE93" s="2">
        <v>15021.73</v>
      </c>
      <c r="AF93" s="3"/>
      <c r="AG93" s="2">
        <v>12744.78</v>
      </c>
      <c r="AH93" s="3"/>
      <c r="AI93" s="2">
        <v>12601.61</v>
      </c>
      <c r="AJ93" s="3"/>
      <c r="AK93" s="2">
        <v>9900.14</v>
      </c>
      <c r="AL93" s="3"/>
      <c r="AM93" s="2">
        <f>ROUND(SUM(G93:AK93),5)</f>
        <v>195477.76000000001</v>
      </c>
    </row>
    <row r="94" spans="1:39" x14ac:dyDescent="0.25">
      <c r="A94" s="1"/>
      <c r="B94" s="1"/>
      <c r="C94" s="1"/>
      <c r="D94" s="1"/>
      <c r="E94" s="1"/>
      <c r="F94" s="1" t="s">
        <v>109</v>
      </c>
      <c r="G94" s="2">
        <v>0</v>
      </c>
      <c r="H94" s="3"/>
      <c r="I94" s="2">
        <v>0</v>
      </c>
      <c r="J94" s="3"/>
      <c r="K94" s="2">
        <v>0</v>
      </c>
      <c r="L94" s="3"/>
      <c r="M94" s="2">
        <v>0</v>
      </c>
      <c r="N94" s="3"/>
      <c r="O94" s="2">
        <v>0</v>
      </c>
      <c r="P94" s="3"/>
      <c r="Q94" s="2">
        <v>0</v>
      </c>
      <c r="R94" s="3"/>
      <c r="S94" s="2">
        <v>0</v>
      </c>
      <c r="T94" s="3"/>
      <c r="U94" s="2">
        <v>0</v>
      </c>
      <c r="V94" s="3"/>
      <c r="W94" s="2">
        <v>0</v>
      </c>
      <c r="X94" s="3"/>
      <c r="Y94" s="2">
        <v>0</v>
      </c>
      <c r="Z94" s="3"/>
      <c r="AA94" s="2">
        <v>0</v>
      </c>
      <c r="AB94" s="3"/>
      <c r="AC94" s="2">
        <v>4000</v>
      </c>
      <c r="AD94" s="3"/>
      <c r="AE94" s="2">
        <v>0</v>
      </c>
      <c r="AF94" s="3"/>
      <c r="AG94" s="2">
        <v>0</v>
      </c>
      <c r="AH94" s="3"/>
      <c r="AI94" s="2">
        <v>0</v>
      </c>
      <c r="AJ94" s="3"/>
      <c r="AK94" s="2">
        <v>0</v>
      </c>
      <c r="AL94" s="3"/>
      <c r="AM94" s="2">
        <f>ROUND(SUM(G94:AK94),5)</f>
        <v>4000</v>
      </c>
    </row>
    <row r="95" spans="1:39" x14ac:dyDescent="0.25">
      <c r="A95" s="1"/>
      <c r="B95" s="1"/>
      <c r="C95" s="1"/>
      <c r="D95" s="1"/>
      <c r="E95" s="1"/>
      <c r="F95" s="1" t="s">
        <v>110</v>
      </c>
      <c r="G95" s="2">
        <v>0</v>
      </c>
      <c r="H95" s="3"/>
      <c r="I95" s="2">
        <v>0</v>
      </c>
      <c r="J95" s="3"/>
      <c r="K95" s="2">
        <v>0</v>
      </c>
      <c r="L95" s="3"/>
      <c r="M95" s="2">
        <v>0</v>
      </c>
      <c r="N95" s="3"/>
      <c r="O95" s="2">
        <v>0</v>
      </c>
      <c r="P95" s="3"/>
      <c r="Q95" s="2">
        <v>0</v>
      </c>
      <c r="R95" s="3"/>
      <c r="S95" s="2">
        <v>3902</v>
      </c>
      <c r="T95" s="3"/>
      <c r="U95" s="2">
        <v>13174.8</v>
      </c>
      <c r="V95" s="3"/>
      <c r="W95" s="2">
        <v>165</v>
      </c>
      <c r="X95" s="3"/>
      <c r="Y95" s="2">
        <v>1300</v>
      </c>
      <c r="Z95" s="3"/>
      <c r="AA95" s="2">
        <v>1454</v>
      </c>
      <c r="AB95" s="3"/>
      <c r="AC95" s="2">
        <v>0</v>
      </c>
      <c r="AD95" s="3"/>
      <c r="AE95" s="2">
        <v>882.5</v>
      </c>
      <c r="AF95" s="3"/>
      <c r="AG95" s="2">
        <v>0</v>
      </c>
      <c r="AH95" s="3"/>
      <c r="AI95" s="2">
        <v>0</v>
      </c>
      <c r="AJ95" s="3"/>
      <c r="AK95" s="2">
        <v>0</v>
      </c>
      <c r="AL95" s="3"/>
      <c r="AM95" s="2">
        <f>ROUND(SUM(G95:AK95),5)</f>
        <v>20878.3</v>
      </c>
    </row>
    <row r="96" spans="1:39" x14ac:dyDescent="0.25">
      <c r="A96" s="1"/>
      <c r="B96" s="1"/>
      <c r="C96" s="1"/>
      <c r="D96" s="1"/>
      <c r="E96" s="1"/>
      <c r="F96" s="1" t="s">
        <v>111</v>
      </c>
      <c r="G96" s="2">
        <v>0</v>
      </c>
      <c r="H96" s="3"/>
      <c r="I96" s="2">
        <v>0</v>
      </c>
      <c r="J96" s="3"/>
      <c r="K96" s="2">
        <v>0</v>
      </c>
      <c r="L96" s="3"/>
      <c r="M96" s="2">
        <v>0</v>
      </c>
      <c r="N96" s="3"/>
      <c r="O96" s="2">
        <v>0</v>
      </c>
      <c r="P96" s="3"/>
      <c r="Q96" s="2">
        <v>200</v>
      </c>
      <c r="R96" s="3"/>
      <c r="S96" s="2">
        <v>0</v>
      </c>
      <c r="T96" s="3"/>
      <c r="U96" s="2">
        <v>200</v>
      </c>
      <c r="V96" s="3"/>
      <c r="W96" s="2">
        <v>200</v>
      </c>
      <c r="X96" s="3"/>
      <c r="Y96" s="2">
        <v>0</v>
      </c>
      <c r="Z96" s="3"/>
      <c r="AA96" s="2">
        <v>0</v>
      </c>
      <c r="AB96" s="3"/>
      <c r="AC96" s="2">
        <v>200</v>
      </c>
      <c r="AD96" s="3"/>
      <c r="AE96" s="2">
        <v>0</v>
      </c>
      <c r="AF96" s="3"/>
      <c r="AG96" s="2">
        <v>0</v>
      </c>
      <c r="AH96" s="3"/>
      <c r="AI96" s="2">
        <v>350</v>
      </c>
      <c r="AJ96" s="3"/>
      <c r="AK96" s="2">
        <v>0</v>
      </c>
      <c r="AL96" s="3"/>
      <c r="AM96" s="2">
        <f>ROUND(SUM(G96:AK96),5)</f>
        <v>1150</v>
      </c>
    </row>
    <row r="97" spans="1:39" x14ac:dyDescent="0.25">
      <c r="A97" s="1"/>
      <c r="B97" s="1"/>
      <c r="C97" s="1"/>
      <c r="D97" s="1"/>
      <c r="E97" s="1"/>
      <c r="F97" s="1" t="s">
        <v>112</v>
      </c>
      <c r="G97" s="2">
        <v>0</v>
      </c>
      <c r="H97" s="3"/>
      <c r="I97" s="2">
        <v>0</v>
      </c>
      <c r="J97" s="3"/>
      <c r="K97" s="2">
        <v>145</v>
      </c>
      <c r="L97" s="3"/>
      <c r="M97" s="2">
        <v>387</v>
      </c>
      <c r="N97" s="3"/>
      <c r="O97" s="2">
        <v>130</v>
      </c>
      <c r="P97" s="3"/>
      <c r="Q97" s="2">
        <v>80</v>
      </c>
      <c r="R97" s="3"/>
      <c r="S97" s="2">
        <v>0</v>
      </c>
      <c r="T97" s="3"/>
      <c r="U97" s="2">
        <v>220</v>
      </c>
      <c r="V97" s="3"/>
      <c r="W97" s="2">
        <v>0</v>
      </c>
      <c r="X97" s="3"/>
      <c r="Y97" s="2">
        <v>345</v>
      </c>
      <c r="Z97" s="3"/>
      <c r="AA97" s="2">
        <v>0</v>
      </c>
      <c r="AB97" s="3"/>
      <c r="AC97" s="2">
        <v>50</v>
      </c>
      <c r="AD97" s="3"/>
      <c r="AE97" s="2">
        <v>170</v>
      </c>
      <c r="AF97" s="3"/>
      <c r="AG97" s="2">
        <v>786</v>
      </c>
      <c r="AH97" s="3"/>
      <c r="AI97" s="2">
        <v>340</v>
      </c>
      <c r="AJ97" s="3"/>
      <c r="AK97" s="2">
        <v>0</v>
      </c>
      <c r="AL97" s="3"/>
      <c r="AM97" s="2">
        <f>ROUND(SUM(G97:AK97),5)</f>
        <v>2653</v>
      </c>
    </row>
    <row r="98" spans="1:39" x14ac:dyDescent="0.25">
      <c r="A98" s="1"/>
      <c r="B98" s="1"/>
      <c r="C98" s="1"/>
      <c r="D98" s="1"/>
      <c r="E98" s="1"/>
      <c r="F98" s="1" t="s">
        <v>113</v>
      </c>
      <c r="G98" s="2">
        <v>4154.18</v>
      </c>
      <c r="H98" s="3"/>
      <c r="I98" s="2">
        <v>1021.48</v>
      </c>
      <c r="J98" s="3"/>
      <c r="K98" s="2">
        <v>8332.2999999999993</v>
      </c>
      <c r="L98" s="3"/>
      <c r="M98" s="2">
        <v>4073.07</v>
      </c>
      <c r="N98" s="3"/>
      <c r="O98" s="2">
        <v>3285.94</v>
      </c>
      <c r="P98" s="3"/>
      <c r="Q98" s="2">
        <v>4200.66</v>
      </c>
      <c r="R98" s="3"/>
      <c r="S98" s="2">
        <v>2289.79</v>
      </c>
      <c r="T98" s="3"/>
      <c r="U98" s="2">
        <v>3767.13</v>
      </c>
      <c r="V98" s="3"/>
      <c r="W98" s="2">
        <v>5950.51</v>
      </c>
      <c r="X98" s="3"/>
      <c r="Y98" s="2">
        <v>3223.94</v>
      </c>
      <c r="Z98" s="3"/>
      <c r="AA98" s="2">
        <v>3050.15</v>
      </c>
      <c r="AB98" s="3"/>
      <c r="AC98" s="2">
        <v>6949.81</v>
      </c>
      <c r="AD98" s="3"/>
      <c r="AE98" s="2">
        <v>1559.59</v>
      </c>
      <c r="AF98" s="3"/>
      <c r="AG98" s="2">
        <v>2858.37</v>
      </c>
      <c r="AH98" s="3"/>
      <c r="AI98" s="2">
        <v>11129.02</v>
      </c>
      <c r="AJ98" s="3"/>
      <c r="AK98" s="2">
        <v>7156.52</v>
      </c>
      <c r="AL98" s="3"/>
      <c r="AM98" s="2">
        <f>ROUND(SUM(G98:AK98),5)</f>
        <v>73002.460000000006</v>
      </c>
    </row>
    <row r="99" spans="1:39" x14ac:dyDescent="0.25">
      <c r="A99" s="1"/>
      <c r="B99" s="1"/>
      <c r="C99" s="1"/>
      <c r="D99" s="1"/>
      <c r="E99" s="1"/>
      <c r="F99" s="1" t="s">
        <v>114</v>
      </c>
      <c r="G99" s="2">
        <v>0</v>
      </c>
      <c r="H99" s="3"/>
      <c r="I99" s="2">
        <v>230.79</v>
      </c>
      <c r="J99" s="3"/>
      <c r="K99" s="2">
        <v>0</v>
      </c>
      <c r="L99" s="3"/>
      <c r="M99" s="2">
        <v>1780.86</v>
      </c>
      <c r="N99" s="3"/>
      <c r="O99" s="2">
        <v>0</v>
      </c>
      <c r="P99" s="3"/>
      <c r="Q99" s="2">
        <v>1051.99</v>
      </c>
      <c r="R99" s="3"/>
      <c r="S99" s="2">
        <v>867.37</v>
      </c>
      <c r="T99" s="3"/>
      <c r="U99" s="2">
        <v>301.89</v>
      </c>
      <c r="V99" s="3"/>
      <c r="W99" s="2">
        <v>1093.44</v>
      </c>
      <c r="X99" s="3"/>
      <c r="Y99" s="2">
        <v>1028.54</v>
      </c>
      <c r="Z99" s="3"/>
      <c r="AA99" s="2">
        <v>301.89</v>
      </c>
      <c r="AB99" s="3"/>
      <c r="AC99" s="2">
        <v>570.29999999999995</v>
      </c>
      <c r="AD99" s="3"/>
      <c r="AE99" s="2">
        <v>409.38</v>
      </c>
      <c r="AF99" s="3"/>
      <c r="AG99" s="2">
        <v>3007</v>
      </c>
      <c r="AH99" s="3"/>
      <c r="AI99" s="2">
        <v>589.02</v>
      </c>
      <c r="AJ99" s="3"/>
      <c r="AK99" s="2">
        <v>495.25</v>
      </c>
      <c r="AL99" s="3"/>
      <c r="AM99" s="2">
        <f>ROUND(SUM(G99:AK99),5)</f>
        <v>11727.72</v>
      </c>
    </row>
    <row r="100" spans="1:39" x14ac:dyDescent="0.25">
      <c r="A100" s="1"/>
      <c r="B100" s="1"/>
      <c r="C100" s="1"/>
      <c r="D100" s="1"/>
      <c r="E100" s="1"/>
      <c r="F100" s="1" t="s">
        <v>115</v>
      </c>
      <c r="G100" s="2">
        <v>0</v>
      </c>
      <c r="H100" s="3"/>
      <c r="I100" s="2">
        <v>0</v>
      </c>
      <c r="J100" s="3"/>
      <c r="K100" s="2">
        <v>0</v>
      </c>
      <c r="L100" s="3"/>
      <c r="M100" s="2">
        <v>0</v>
      </c>
      <c r="N100" s="3"/>
      <c r="O100" s="2">
        <v>9.39</v>
      </c>
      <c r="P100" s="3"/>
      <c r="Q100" s="2">
        <v>0</v>
      </c>
      <c r="R100" s="3"/>
      <c r="S100" s="2">
        <v>0</v>
      </c>
      <c r="T100" s="3"/>
      <c r="U100" s="2">
        <v>0</v>
      </c>
      <c r="V100" s="3"/>
      <c r="W100" s="2">
        <v>0</v>
      </c>
      <c r="X100" s="3"/>
      <c r="Y100" s="2">
        <v>0</v>
      </c>
      <c r="Z100" s="3"/>
      <c r="AA100" s="2">
        <v>0</v>
      </c>
      <c r="AB100" s="3"/>
      <c r="AC100" s="2">
        <v>0</v>
      </c>
      <c r="AD100" s="3"/>
      <c r="AE100" s="2">
        <v>0</v>
      </c>
      <c r="AF100" s="3"/>
      <c r="AG100" s="2">
        <v>0</v>
      </c>
      <c r="AH100" s="3"/>
      <c r="AI100" s="2">
        <v>0</v>
      </c>
      <c r="AJ100" s="3"/>
      <c r="AK100" s="2">
        <v>0</v>
      </c>
      <c r="AL100" s="3"/>
      <c r="AM100" s="2">
        <f>ROUND(SUM(G100:AK100),5)</f>
        <v>9.39</v>
      </c>
    </row>
    <row r="101" spans="1:39" x14ac:dyDescent="0.25">
      <c r="A101" s="1"/>
      <c r="B101" s="1"/>
      <c r="C101" s="1"/>
      <c r="D101" s="1"/>
      <c r="E101" s="1"/>
      <c r="F101" s="1" t="s">
        <v>116</v>
      </c>
      <c r="G101" s="2">
        <v>0</v>
      </c>
      <c r="H101" s="3"/>
      <c r="I101" s="2">
        <v>45</v>
      </c>
      <c r="J101" s="3"/>
      <c r="K101" s="2">
        <v>28.1</v>
      </c>
      <c r="L101" s="3"/>
      <c r="M101" s="2">
        <v>900</v>
      </c>
      <c r="N101" s="3"/>
      <c r="O101" s="2">
        <v>183.95</v>
      </c>
      <c r="P101" s="3"/>
      <c r="Q101" s="2">
        <v>229.9</v>
      </c>
      <c r="R101" s="3"/>
      <c r="S101" s="2">
        <v>315.18</v>
      </c>
      <c r="T101" s="3"/>
      <c r="U101" s="2">
        <v>1147.98</v>
      </c>
      <c r="V101" s="3"/>
      <c r="W101" s="2">
        <v>176.76</v>
      </c>
      <c r="X101" s="3"/>
      <c r="Y101" s="2">
        <v>115.86</v>
      </c>
      <c r="Z101" s="3"/>
      <c r="AA101" s="2">
        <v>159.88999999999999</v>
      </c>
      <c r="AB101" s="3"/>
      <c r="AC101" s="2">
        <v>174.57</v>
      </c>
      <c r="AD101" s="3"/>
      <c r="AE101" s="2">
        <v>160.26</v>
      </c>
      <c r="AF101" s="3"/>
      <c r="AG101" s="2">
        <v>197.37</v>
      </c>
      <c r="AH101" s="3"/>
      <c r="AI101" s="2">
        <v>951.68</v>
      </c>
      <c r="AJ101" s="3"/>
      <c r="AK101" s="2">
        <v>12.37</v>
      </c>
      <c r="AL101" s="3"/>
      <c r="AM101" s="2">
        <f>ROUND(SUM(G101:AK101),5)</f>
        <v>4798.87</v>
      </c>
    </row>
    <row r="102" spans="1:39" x14ac:dyDescent="0.25">
      <c r="A102" s="1"/>
      <c r="B102" s="1"/>
      <c r="C102" s="1"/>
      <c r="D102" s="1"/>
      <c r="E102" s="1"/>
      <c r="F102" s="1" t="s">
        <v>117</v>
      </c>
      <c r="G102" s="2">
        <v>0</v>
      </c>
      <c r="H102" s="3"/>
      <c r="I102" s="2">
        <v>0</v>
      </c>
      <c r="J102" s="3"/>
      <c r="K102" s="2">
        <v>1863.55</v>
      </c>
      <c r="L102" s="3"/>
      <c r="M102" s="2">
        <v>995.56</v>
      </c>
      <c r="N102" s="3"/>
      <c r="O102" s="2">
        <v>194.96</v>
      </c>
      <c r="P102" s="3"/>
      <c r="Q102" s="2">
        <v>300.49</v>
      </c>
      <c r="R102" s="3"/>
      <c r="S102" s="2">
        <v>470.13</v>
      </c>
      <c r="T102" s="3"/>
      <c r="U102" s="2">
        <v>761.76</v>
      </c>
      <c r="V102" s="3"/>
      <c r="W102" s="2">
        <v>205.94</v>
      </c>
      <c r="X102" s="3"/>
      <c r="Y102" s="2">
        <v>952.01</v>
      </c>
      <c r="Z102" s="3"/>
      <c r="AA102" s="2">
        <v>208.61</v>
      </c>
      <c r="AB102" s="3"/>
      <c r="AC102" s="2">
        <v>208.61</v>
      </c>
      <c r="AD102" s="3"/>
      <c r="AE102" s="2">
        <v>394.88</v>
      </c>
      <c r="AF102" s="3"/>
      <c r="AG102" s="2">
        <v>614.49</v>
      </c>
      <c r="AH102" s="3"/>
      <c r="AI102" s="2">
        <v>209.03</v>
      </c>
      <c r="AJ102" s="3"/>
      <c r="AK102" s="2">
        <v>419.28</v>
      </c>
      <c r="AL102" s="3"/>
      <c r="AM102" s="2">
        <f>ROUND(SUM(G102:AK102),5)</f>
        <v>7799.3</v>
      </c>
    </row>
    <row r="103" spans="1:39" x14ac:dyDescent="0.25">
      <c r="A103" s="1"/>
      <c r="B103" s="1"/>
      <c r="C103" s="1"/>
      <c r="D103" s="1"/>
      <c r="E103" s="1"/>
      <c r="F103" s="1" t="s">
        <v>118</v>
      </c>
      <c r="G103" s="2">
        <v>0</v>
      </c>
      <c r="H103" s="3"/>
      <c r="I103" s="2">
        <v>0</v>
      </c>
      <c r="J103" s="3"/>
      <c r="K103" s="2">
        <v>7008.78</v>
      </c>
      <c r="L103" s="3"/>
      <c r="M103" s="2">
        <v>108.2</v>
      </c>
      <c r="N103" s="3"/>
      <c r="O103" s="2">
        <v>171.2</v>
      </c>
      <c r="P103" s="3"/>
      <c r="Q103" s="2">
        <v>147.04</v>
      </c>
      <c r="R103" s="3"/>
      <c r="S103" s="2">
        <v>269.08</v>
      </c>
      <c r="T103" s="3"/>
      <c r="U103" s="2">
        <v>218</v>
      </c>
      <c r="V103" s="3"/>
      <c r="W103" s="2">
        <v>0</v>
      </c>
      <c r="X103" s="3"/>
      <c r="Y103" s="2">
        <v>268.94</v>
      </c>
      <c r="Z103" s="3"/>
      <c r="AA103" s="2">
        <v>670.58</v>
      </c>
      <c r="AB103" s="3"/>
      <c r="AC103" s="2">
        <v>360.46</v>
      </c>
      <c r="AD103" s="3"/>
      <c r="AE103" s="2">
        <v>553.76</v>
      </c>
      <c r="AF103" s="3"/>
      <c r="AG103" s="2">
        <v>349.74</v>
      </c>
      <c r="AH103" s="3"/>
      <c r="AI103" s="2">
        <v>156.38</v>
      </c>
      <c r="AJ103" s="3"/>
      <c r="AK103" s="2">
        <v>376.84</v>
      </c>
      <c r="AL103" s="3"/>
      <c r="AM103" s="2">
        <f>ROUND(SUM(G103:AK103),5)</f>
        <v>10659</v>
      </c>
    </row>
    <row r="104" spans="1:39" x14ac:dyDescent="0.25">
      <c r="A104" s="1"/>
      <c r="B104" s="1"/>
      <c r="C104" s="1"/>
      <c r="D104" s="1"/>
      <c r="E104" s="1"/>
      <c r="F104" s="1" t="s">
        <v>119</v>
      </c>
      <c r="G104" s="2">
        <v>0</v>
      </c>
      <c r="H104" s="3"/>
      <c r="I104" s="2">
        <v>0</v>
      </c>
      <c r="J104" s="3"/>
      <c r="K104" s="2">
        <v>0</v>
      </c>
      <c r="L104" s="3"/>
      <c r="M104" s="2">
        <v>0</v>
      </c>
      <c r="N104" s="3"/>
      <c r="O104" s="2">
        <v>1631.28</v>
      </c>
      <c r="P104" s="3"/>
      <c r="Q104" s="2">
        <v>1554.71</v>
      </c>
      <c r="R104" s="3"/>
      <c r="S104" s="2">
        <v>0</v>
      </c>
      <c r="T104" s="3"/>
      <c r="U104" s="2">
        <v>887.25</v>
      </c>
      <c r="V104" s="3"/>
      <c r="W104" s="2">
        <v>324.77</v>
      </c>
      <c r="X104" s="3"/>
      <c r="Y104" s="2">
        <v>0</v>
      </c>
      <c r="Z104" s="3"/>
      <c r="AA104" s="2">
        <v>6003.68</v>
      </c>
      <c r="AB104" s="3"/>
      <c r="AC104" s="2">
        <v>1846.79</v>
      </c>
      <c r="AD104" s="3"/>
      <c r="AE104" s="2">
        <v>0</v>
      </c>
      <c r="AF104" s="3"/>
      <c r="AG104" s="2">
        <v>1825.16</v>
      </c>
      <c r="AH104" s="3"/>
      <c r="AI104" s="2">
        <v>0</v>
      </c>
      <c r="AJ104" s="3"/>
      <c r="AK104" s="2">
        <v>2438.77</v>
      </c>
      <c r="AL104" s="3"/>
      <c r="AM104" s="2">
        <f>ROUND(SUM(G104:AK104),5)</f>
        <v>16512.41</v>
      </c>
    </row>
    <row r="105" spans="1:39" x14ac:dyDescent="0.25">
      <c r="A105" s="1"/>
      <c r="B105" s="1"/>
      <c r="C105" s="1"/>
      <c r="D105" s="1"/>
      <c r="E105" s="1"/>
      <c r="F105" s="1" t="s">
        <v>120</v>
      </c>
      <c r="G105" s="2">
        <v>0</v>
      </c>
      <c r="H105" s="3"/>
      <c r="I105" s="2">
        <v>0</v>
      </c>
      <c r="J105" s="3"/>
      <c r="K105" s="2">
        <v>0</v>
      </c>
      <c r="L105" s="3"/>
      <c r="M105" s="2">
        <v>0</v>
      </c>
      <c r="N105" s="3"/>
      <c r="O105" s="2">
        <v>0</v>
      </c>
      <c r="P105" s="3"/>
      <c r="Q105" s="2">
        <v>0</v>
      </c>
      <c r="R105" s="3"/>
      <c r="S105" s="2">
        <v>0</v>
      </c>
      <c r="T105" s="3"/>
      <c r="U105" s="2">
        <v>0</v>
      </c>
      <c r="V105" s="3"/>
      <c r="W105" s="2">
        <v>974.73</v>
      </c>
      <c r="X105" s="3"/>
      <c r="Y105" s="2">
        <v>226.53</v>
      </c>
      <c r="Z105" s="3"/>
      <c r="AA105" s="2">
        <v>130.51</v>
      </c>
      <c r="AB105" s="3"/>
      <c r="AC105" s="2">
        <v>3173.79</v>
      </c>
      <c r="AD105" s="3"/>
      <c r="AE105" s="2">
        <v>202.42</v>
      </c>
      <c r="AF105" s="3"/>
      <c r="AG105" s="2">
        <v>120.61</v>
      </c>
      <c r="AH105" s="3"/>
      <c r="AI105" s="2">
        <v>847.08</v>
      </c>
      <c r="AJ105" s="3"/>
      <c r="AK105" s="2">
        <v>179.15</v>
      </c>
      <c r="AL105" s="3"/>
      <c r="AM105" s="2">
        <f>ROUND(SUM(G105:AK105),5)</f>
        <v>5854.82</v>
      </c>
    </row>
    <row r="106" spans="1:39" x14ac:dyDescent="0.25">
      <c r="A106" s="1"/>
      <c r="B106" s="1"/>
      <c r="C106" s="1"/>
      <c r="D106" s="1"/>
      <c r="E106" s="1"/>
      <c r="F106" s="1" t="s">
        <v>121</v>
      </c>
      <c r="G106" s="2">
        <v>0</v>
      </c>
      <c r="H106" s="3"/>
      <c r="I106" s="2">
        <v>0</v>
      </c>
      <c r="J106" s="3"/>
      <c r="K106" s="2">
        <v>2828</v>
      </c>
      <c r="L106" s="3"/>
      <c r="M106" s="2">
        <v>2828</v>
      </c>
      <c r="N106" s="3"/>
      <c r="O106" s="2">
        <v>2828</v>
      </c>
      <c r="P106" s="3"/>
      <c r="Q106" s="2">
        <v>2828</v>
      </c>
      <c r="R106" s="3"/>
      <c r="S106" s="2">
        <v>2828</v>
      </c>
      <c r="T106" s="3"/>
      <c r="U106" s="2">
        <v>2828</v>
      </c>
      <c r="V106" s="3"/>
      <c r="W106" s="2">
        <v>4271.68</v>
      </c>
      <c r="X106" s="3"/>
      <c r="Y106" s="2">
        <v>5656</v>
      </c>
      <c r="Z106" s="3"/>
      <c r="AA106" s="2">
        <v>2828</v>
      </c>
      <c r="AB106" s="3"/>
      <c r="AC106" s="2">
        <v>2828</v>
      </c>
      <c r="AD106" s="3"/>
      <c r="AE106" s="2">
        <v>2828</v>
      </c>
      <c r="AF106" s="3"/>
      <c r="AG106" s="2">
        <v>2828</v>
      </c>
      <c r="AH106" s="3"/>
      <c r="AI106" s="2">
        <v>2828</v>
      </c>
      <c r="AJ106" s="3"/>
      <c r="AK106" s="2">
        <v>2828</v>
      </c>
      <c r="AL106" s="3"/>
      <c r="AM106" s="2">
        <f>ROUND(SUM(G106:AK106),5)</f>
        <v>43863.68</v>
      </c>
    </row>
    <row r="107" spans="1:39" x14ac:dyDescent="0.25">
      <c r="A107" s="1"/>
      <c r="B107" s="1"/>
      <c r="C107" s="1"/>
      <c r="D107" s="1"/>
      <c r="E107" s="1"/>
      <c r="F107" s="1" t="s">
        <v>122</v>
      </c>
      <c r="G107" s="2">
        <v>0</v>
      </c>
      <c r="H107" s="3"/>
      <c r="I107" s="2">
        <v>0</v>
      </c>
      <c r="J107" s="3"/>
      <c r="K107" s="2">
        <v>50</v>
      </c>
      <c r="L107" s="3"/>
      <c r="M107" s="2">
        <v>0</v>
      </c>
      <c r="N107" s="3"/>
      <c r="O107" s="2">
        <v>0</v>
      </c>
      <c r="P107" s="3"/>
      <c r="Q107" s="2">
        <v>937.05</v>
      </c>
      <c r="R107" s="3"/>
      <c r="S107" s="2">
        <v>0</v>
      </c>
      <c r="T107" s="3"/>
      <c r="U107" s="2">
        <v>0</v>
      </c>
      <c r="V107" s="3"/>
      <c r="W107" s="2">
        <v>5005</v>
      </c>
      <c r="X107" s="3"/>
      <c r="Y107" s="2">
        <v>0</v>
      </c>
      <c r="Z107" s="3"/>
      <c r="AA107" s="2">
        <v>76.69</v>
      </c>
      <c r="AB107" s="3"/>
      <c r="AC107" s="2">
        <v>325</v>
      </c>
      <c r="AD107" s="3"/>
      <c r="AE107" s="2">
        <v>150</v>
      </c>
      <c r="AF107" s="3"/>
      <c r="AG107" s="2">
        <v>1990.85</v>
      </c>
      <c r="AH107" s="3"/>
      <c r="AI107" s="2">
        <v>0</v>
      </c>
      <c r="AJ107" s="3"/>
      <c r="AK107" s="2">
        <v>1841.25</v>
      </c>
      <c r="AL107" s="3"/>
      <c r="AM107" s="2">
        <f>ROUND(SUM(G107:AK107),5)</f>
        <v>10375.84</v>
      </c>
    </row>
    <row r="108" spans="1:39" x14ac:dyDescent="0.25">
      <c r="A108" s="1"/>
      <c r="B108" s="1"/>
      <c r="C108" s="1"/>
      <c r="D108" s="1"/>
      <c r="E108" s="1"/>
      <c r="F108" s="1" t="s">
        <v>123</v>
      </c>
      <c r="G108" s="2">
        <v>0</v>
      </c>
      <c r="H108" s="3"/>
      <c r="I108" s="2">
        <v>0</v>
      </c>
      <c r="J108" s="3"/>
      <c r="K108" s="2">
        <v>0</v>
      </c>
      <c r="L108" s="3"/>
      <c r="M108" s="2">
        <v>0</v>
      </c>
      <c r="N108" s="3"/>
      <c r="O108" s="2">
        <v>0</v>
      </c>
      <c r="P108" s="3"/>
      <c r="Q108" s="2">
        <v>5830.15</v>
      </c>
      <c r="R108" s="3"/>
      <c r="S108" s="2">
        <v>0</v>
      </c>
      <c r="T108" s="3"/>
      <c r="U108" s="2">
        <v>6780.8</v>
      </c>
      <c r="V108" s="3"/>
      <c r="W108" s="2">
        <v>6694.59</v>
      </c>
      <c r="X108" s="3"/>
      <c r="Y108" s="2">
        <v>13173.23</v>
      </c>
      <c r="Z108" s="3"/>
      <c r="AA108" s="2">
        <v>4340.26</v>
      </c>
      <c r="AB108" s="3"/>
      <c r="AC108" s="2">
        <v>5055.9799999999996</v>
      </c>
      <c r="AD108" s="3"/>
      <c r="AE108" s="2">
        <v>5229.2299999999996</v>
      </c>
      <c r="AF108" s="3"/>
      <c r="AG108" s="2">
        <v>0</v>
      </c>
      <c r="AH108" s="3"/>
      <c r="AI108" s="2">
        <v>12166.71</v>
      </c>
      <c r="AJ108" s="3"/>
      <c r="AK108" s="2">
        <v>0</v>
      </c>
      <c r="AL108" s="3"/>
      <c r="AM108" s="2">
        <f>ROUND(SUM(G108:AK108),5)</f>
        <v>59270.95</v>
      </c>
    </row>
    <row r="109" spans="1:39" x14ac:dyDescent="0.25">
      <c r="A109" s="1"/>
      <c r="B109" s="1"/>
      <c r="C109" s="1"/>
      <c r="D109" s="1"/>
      <c r="E109" s="1"/>
      <c r="F109" s="1" t="s">
        <v>124</v>
      </c>
      <c r="G109" s="2">
        <v>14373.02</v>
      </c>
      <c r="H109" s="3"/>
      <c r="I109" s="2">
        <v>14373.02</v>
      </c>
      <c r="J109" s="3"/>
      <c r="K109" s="2">
        <v>15955.99</v>
      </c>
      <c r="L109" s="3"/>
      <c r="M109" s="2">
        <v>18311.009999999998</v>
      </c>
      <c r="N109" s="3"/>
      <c r="O109" s="2">
        <v>19893.98</v>
      </c>
      <c r="P109" s="3"/>
      <c r="Q109" s="2">
        <v>16728.03</v>
      </c>
      <c r="R109" s="3"/>
      <c r="S109" s="2">
        <v>18311</v>
      </c>
      <c r="T109" s="3"/>
      <c r="U109" s="2">
        <v>19893.97</v>
      </c>
      <c r="V109" s="3"/>
      <c r="W109" s="2">
        <v>16728.02</v>
      </c>
      <c r="X109" s="3"/>
      <c r="Y109" s="2">
        <v>18773.59</v>
      </c>
      <c r="Z109" s="3"/>
      <c r="AA109" s="2">
        <v>18773.59</v>
      </c>
      <c r="AB109" s="3"/>
      <c r="AC109" s="2">
        <v>18773.580000000002</v>
      </c>
      <c r="AD109" s="3"/>
      <c r="AE109" s="2">
        <v>16728.02</v>
      </c>
      <c r="AF109" s="3"/>
      <c r="AG109" s="2">
        <v>16203.34</v>
      </c>
      <c r="AH109" s="3"/>
      <c r="AI109" s="2">
        <v>19752.259999999998</v>
      </c>
      <c r="AJ109" s="3"/>
      <c r="AK109" s="2">
        <v>19752.259999999998</v>
      </c>
      <c r="AL109" s="3"/>
      <c r="AM109" s="2">
        <f>ROUND(SUM(G109:AK109),5)</f>
        <v>283324.68</v>
      </c>
    </row>
    <row r="110" spans="1:39" x14ac:dyDescent="0.25">
      <c r="A110" s="1"/>
      <c r="B110" s="1"/>
      <c r="C110" s="1"/>
      <c r="D110" s="1"/>
      <c r="E110" s="1"/>
      <c r="F110" s="1" t="s">
        <v>125</v>
      </c>
      <c r="G110" s="2">
        <v>0</v>
      </c>
      <c r="H110" s="3"/>
      <c r="I110" s="2">
        <v>0</v>
      </c>
      <c r="J110" s="3"/>
      <c r="K110" s="2">
        <v>0</v>
      </c>
      <c r="L110" s="3"/>
      <c r="M110" s="2">
        <v>0</v>
      </c>
      <c r="N110" s="3"/>
      <c r="O110" s="2">
        <v>0</v>
      </c>
      <c r="P110" s="3"/>
      <c r="Q110" s="2">
        <v>0</v>
      </c>
      <c r="R110" s="3"/>
      <c r="S110" s="2">
        <v>0</v>
      </c>
      <c r="T110" s="3"/>
      <c r="U110" s="2">
        <v>918.5</v>
      </c>
      <c r="V110" s="3"/>
      <c r="W110" s="2">
        <v>0</v>
      </c>
      <c r="X110" s="3"/>
      <c r="Y110" s="2">
        <v>930.25</v>
      </c>
      <c r="Z110" s="3"/>
      <c r="AA110" s="2">
        <v>0</v>
      </c>
      <c r="AB110" s="3"/>
      <c r="AC110" s="2">
        <v>960</v>
      </c>
      <c r="AD110" s="3"/>
      <c r="AE110" s="2">
        <v>0</v>
      </c>
      <c r="AF110" s="3"/>
      <c r="AG110" s="2">
        <v>892.96</v>
      </c>
      <c r="AH110" s="3"/>
      <c r="AI110" s="2">
        <v>0</v>
      </c>
      <c r="AJ110" s="3"/>
      <c r="AK110" s="2">
        <v>0</v>
      </c>
      <c r="AL110" s="3"/>
      <c r="AM110" s="2">
        <f>ROUND(SUM(G110:AK110),5)</f>
        <v>3701.71</v>
      </c>
    </row>
    <row r="111" spans="1:39" x14ac:dyDescent="0.25">
      <c r="A111" s="1"/>
      <c r="B111" s="1"/>
      <c r="C111" s="1"/>
      <c r="D111" s="1"/>
      <c r="E111" s="1"/>
      <c r="F111" s="1" t="s">
        <v>126</v>
      </c>
      <c r="G111" s="2">
        <v>0</v>
      </c>
      <c r="H111" s="3"/>
      <c r="I111" s="2">
        <v>2600</v>
      </c>
      <c r="J111" s="3"/>
      <c r="K111" s="2">
        <v>0</v>
      </c>
      <c r="L111" s="3"/>
      <c r="M111" s="2">
        <v>0</v>
      </c>
      <c r="N111" s="3"/>
      <c r="O111" s="2">
        <v>0</v>
      </c>
      <c r="P111" s="3"/>
      <c r="Q111" s="2">
        <v>0</v>
      </c>
      <c r="R111" s="3"/>
      <c r="S111" s="2">
        <v>0</v>
      </c>
      <c r="T111" s="3"/>
      <c r="U111" s="2">
        <v>0</v>
      </c>
      <c r="V111" s="3"/>
      <c r="W111" s="2">
        <v>0</v>
      </c>
      <c r="X111" s="3"/>
      <c r="Y111" s="2">
        <v>0</v>
      </c>
      <c r="Z111" s="3"/>
      <c r="AA111" s="2">
        <v>0</v>
      </c>
      <c r="AB111" s="3"/>
      <c r="AC111" s="2">
        <v>0</v>
      </c>
      <c r="AD111" s="3"/>
      <c r="AE111" s="2">
        <v>1500</v>
      </c>
      <c r="AF111" s="3"/>
      <c r="AG111" s="2">
        <v>350</v>
      </c>
      <c r="AH111" s="3"/>
      <c r="AI111" s="2">
        <v>0</v>
      </c>
      <c r="AJ111" s="3"/>
      <c r="AK111" s="2">
        <v>0</v>
      </c>
      <c r="AL111" s="3"/>
      <c r="AM111" s="2">
        <f>ROUND(SUM(G111:AK111),5)</f>
        <v>4450</v>
      </c>
    </row>
    <row r="112" spans="1:39" ht="15.75" thickBot="1" x14ac:dyDescent="0.3">
      <c r="A112" s="1"/>
      <c r="B112" s="1"/>
      <c r="C112" s="1"/>
      <c r="D112" s="1"/>
      <c r="E112" s="1"/>
      <c r="F112" s="1" t="s">
        <v>127</v>
      </c>
      <c r="G112" s="4">
        <v>0</v>
      </c>
      <c r="H112" s="3"/>
      <c r="I112" s="4">
        <v>0</v>
      </c>
      <c r="J112" s="3"/>
      <c r="K112" s="4">
        <v>0</v>
      </c>
      <c r="L112" s="3"/>
      <c r="M112" s="4">
        <v>0</v>
      </c>
      <c r="N112" s="3"/>
      <c r="O112" s="4">
        <v>913.46</v>
      </c>
      <c r="P112" s="3"/>
      <c r="Q112" s="4">
        <v>0</v>
      </c>
      <c r="R112" s="3"/>
      <c r="S112" s="4">
        <v>0</v>
      </c>
      <c r="T112" s="3"/>
      <c r="U112" s="4">
        <v>0</v>
      </c>
      <c r="V112" s="3"/>
      <c r="W112" s="4">
        <v>0</v>
      </c>
      <c r="X112" s="3"/>
      <c r="Y112" s="4">
        <v>0</v>
      </c>
      <c r="Z112" s="3"/>
      <c r="AA112" s="4">
        <v>0</v>
      </c>
      <c r="AB112" s="3"/>
      <c r="AC112" s="4">
        <v>0</v>
      </c>
      <c r="AD112" s="3"/>
      <c r="AE112" s="4">
        <v>0</v>
      </c>
      <c r="AF112" s="3"/>
      <c r="AG112" s="4">
        <v>0</v>
      </c>
      <c r="AH112" s="3"/>
      <c r="AI112" s="4">
        <v>0</v>
      </c>
      <c r="AJ112" s="3"/>
      <c r="AK112" s="4">
        <v>0</v>
      </c>
      <c r="AL112" s="3"/>
      <c r="AM112" s="4">
        <f>ROUND(SUM(G112:AK112),5)</f>
        <v>913.46</v>
      </c>
    </row>
    <row r="113" spans="1:39" ht="15.75" thickBot="1" x14ac:dyDescent="0.3">
      <c r="A113" s="1"/>
      <c r="B113" s="1"/>
      <c r="C113" s="1"/>
      <c r="D113" s="1"/>
      <c r="E113" s="1" t="s">
        <v>128</v>
      </c>
      <c r="F113" s="1"/>
      <c r="G113" s="7">
        <f>ROUND(SUM(G84:G112),5)</f>
        <v>83226.720000000001</v>
      </c>
      <c r="H113" s="3"/>
      <c r="I113" s="7">
        <f>ROUND(SUM(I84:I112),5)</f>
        <v>84772.67</v>
      </c>
      <c r="J113" s="3"/>
      <c r="K113" s="7">
        <f>ROUND(SUM(K84:K112),5)</f>
        <v>165180.28</v>
      </c>
      <c r="L113" s="3"/>
      <c r="M113" s="7">
        <f>ROUND(SUM(M84:M112),5)</f>
        <v>147636.76</v>
      </c>
      <c r="N113" s="3"/>
      <c r="O113" s="7">
        <f>ROUND(SUM(O84:O112),5)</f>
        <v>157113.20000000001</v>
      </c>
      <c r="P113" s="3"/>
      <c r="Q113" s="7">
        <f>ROUND(SUM(Q84:Q112),5)</f>
        <v>155963.63</v>
      </c>
      <c r="R113" s="3"/>
      <c r="S113" s="7">
        <f>ROUND(SUM(S84:S112),5)</f>
        <v>156451.14000000001</v>
      </c>
      <c r="T113" s="3"/>
      <c r="U113" s="7">
        <f>ROUND(SUM(U84:U112),5)</f>
        <v>176976.66</v>
      </c>
      <c r="V113" s="3"/>
      <c r="W113" s="7">
        <f>ROUND(SUM(W84:W112),5)</f>
        <v>171445.58</v>
      </c>
      <c r="X113" s="3"/>
      <c r="Y113" s="7">
        <f>ROUND(SUM(Y84:Y112),5)</f>
        <v>180337.42</v>
      </c>
      <c r="Z113" s="3"/>
      <c r="AA113" s="7">
        <f>ROUND(SUM(AA84:AA112),5)</f>
        <v>175606.11</v>
      </c>
      <c r="AB113" s="3"/>
      <c r="AC113" s="7">
        <f>ROUND(SUM(AC84:AC112),5)</f>
        <v>181933.31</v>
      </c>
      <c r="AD113" s="3"/>
      <c r="AE113" s="7">
        <f>ROUND(SUM(AE84:AE112),5)</f>
        <v>168338.48</v>
      </c>
      <c r="AF113" s="3"/>
      <c r="AG113" s="7">
        <f>ROUND(SUM(AG84:AG112),5)</f>
        <v>169109.3</v>
      </c>
      <c r="AH113" s="3"/>
      <c r="AI113" s="7">
        <f>ROUND(SUM(AI84:AI112),5)</f>
        <v>186147.95</v>
      </c>
      <c r="AJ113" s="3"/>
      <c r="AK113" s="7">
        <f>ROUND(SUM(AK84:AK112),5)</f>
        <v>167885.74</v>
      </c>
      <c r="AL113" s="3"/>
      <c r="AM113" s="7">
        <f>ROUND(SUM(G113:AK113),5)</f>
        <v>2528124.9500000002</v>
      </c>
    </row>
    <row r="114" spans="1:39" ht="15.75" thickBot="1" x14ac:dyDescent="0.3">
      <c r="A114" s="1"/>
      <c r="B114" s="1"/>
      <c r="C114" s="1"/>
      <c r="D114" s="1" t="s">
        <v>129</v>
      </c>
      <c r="E114" s="1"/>
      <c r="F114" s="1"/>
      <c r="G114" s="5">
        <f>ROUND(G17+G36+G45+G55+G65+G75+G83+G113,5)</f>
        <v>355207.67</v>
      </c>
      <c r="H114" s="3"/>
      <c r="I114" s="5">
        <f>ROUND(I17+I36+I45+I55+I65+I75+I83+I113,5)</f>
        <v>398095.27</v>
      </c>
      <c r="J114" s="3"/>
      <c r="K114" s="5">
        <f>ROUND(K17+K36+K45+K55+K65+K75+K83+K113,5)</f>
        <v>553451.14</v>
      </c>
      <c r="L114" s="3"/>
      <c r="M114" s="5">
        <f>ROUND(M17+M36+M45+M55+M65+M75+M83+M113,5)</f>
        <v>464628.13</v>
      </c>
      <c r="N114" s="3"/>
      <c r="O114" s="5">
        <f>ROUND(O17+O36+O45+O55+O65+O75+O83+O113,5)</f>
        <v>515404.31</v>
      </c>
      <c r="P114" s="3"/>
      <c r="Q114" s="5">
        <f>ROUND(Q17+Q36+Q45+Q55+Q65+Q75+Q83+Q113,5)</f>
        <v>512611.74</v>
      </c>
      <c r="R114" s="3"/>
      <c r="S114" s="5">
        <f>ROUND(S17+S36+S45+S55+S65+S75+S83+S113,5)</f>
        <v>499025.54</v>
      </c>
      <c r="T114" s="3"/>
      <c r="U114" s="5">
        <f>ROUND(U17+U36+U45+U55+U65+U75+U83+U113,5)</f>
        <v>503773.89</v>
      </c>
      <c r="V114" s="3"/>
      <c r="W114" s="5">
        <f>ROUND(W17+W36+W45+W55+W65+W75+W83+W113,5)</f>
        <v>498570.61</v>
      </c>
      <c r="X114" s="3"/>
      <c r="Y114" s="5">
        <f>ROUND(Y17+Y36+Y45+Y55+Y65+Y75+Y83+Y113,5)</f>
        <v>528289.4</v>
      </c>
      <c r="Z114" s="3"/>
      <c r="AA114" s="5">
        <f>ROUND(AA17+AA36+AA45+AA55+AA65+AA75+AA83+AA113,5)</f>
        <v>512708.22</v>
      </c>
      <c r="AB114" s="3"/>
      <c r="AC114" s="5">
        <f>ROUND(AC17+AC36+AC45+AC55+AC65+AC75+AC83+AC113,5)</f>
        <v>520966.87</v>
      </c>
      <c r="AD114" s="3"/>
      <c r="AE114" s="5">
        <f>ROUND(AE17+AE36+AE45+AE55+AE65+AE75+AE83+AE113,5)</f>
        <v>502212.91</v>
      </c>
      <c r="AF114" s="3"/>
      <c r="AG114" s="5">
        <f>ROUND(AG17+AG36+AG45+AG55+AG65+AG75+AG83+AG113,5)</f>
        <v>525272.97</v>
      </c>
      <c r="AH114" s="3"/>
      <c r="AI114" s="5">
        <f>ROUND(AI17+AI36+AI45+AI55+AI65+AI75+AI83+AI113,5)</f>
        <v>549446.89</v>
      </c>
      <c r="AJ114" s="3"/>
      <c r="AK114" s="5">
        <f>ROUND(AK17+AK36+AK45+AK55+AK65+AK75+AK83+AK113,5)</f>
        <v>471540.32</v>
      </c>
      <c r="AL114" s="3"/>
      <c r="AM114" s="5">
        <f>ROUND(SUM(G114:AK114),5)</f>
        <v>7911205.8799999999</v>
      </c>
    </row>
    <row r="115" spans="1:39" x14ac:dyDescent="0.25">
      <c r="A115" s="1"/>
      <c r="B115" s="1" t="s">
        <v>130</v>
      </c>
      <c r="C115" s="1"/>
      <c r="D115" s="1"/>
      <c r="E115" s="1"/>
      <c r="F115" s="1"/>
      <c r="G115" s="2">
        <f>ROUND(G2+G16-G114,5)</f>
        <v>135225.57</v>
      </c>
      <c r="H115" s="3"/>
      <c r="I115" s="2">
        <f>ROUND(I2+I16-I114,5)</f>
        <v>124212.87</v>
      </c>
      <c r="J115" s="3"/>
      <c r="K115" s="2">
        <f>ROUND(K2+K16-K114,5)</f>
        <v>-26399.38</v>
      </c>
      <c r="L115" s="3"/>
      <c r="M115" s="2">
        <f>ROUND(M2+M16-M114,5)</f>
        <v>20797.98</v>
      </c>
      <c r="N115" s="3"/>
      <c r="O115" s="2">
        <f>ROUND(O2+O16-O114,5)</f>
        <v>6168.01</v>
      </c>
      <c r="P115" s="3"/>
      <c r="Q115" s="2">
        <f>ROUND(Q2+Q16-Q114,5)</f>
        <v>76640.63</v>
      </c>
      <c r="R115" s="3"/>
      <c r="S115" s="2">
        <f>ROUND(S2+S16-S114,5)</f>
        <v>103145.26</v>
      </c>
      <c r="T115" s="3"/>
      <c r="U115" s="2">
        <f>ROUND(U2+U16-U114,5)</f>
        <v>79340.639999999999</v>
      </c>
      <c r="V115" s="3"/>
      <c r="W115" s="2">
        <f>ROUND(W2+W16-W114,5)</f>
        <v>182509.09</v>
      </c>
      <c r="X115" s="3"/>
      <c r="Y115" s="2">
        <f>ROUND(Y2+Y16-Y114,5)</f>
        <v>150295.59</v>
      </c>
      <c r="Z115" s="3"/>
      <c r="AA115" s="2">
        <f>ROUND(AA2+AA16-AA114,5)</f>
        <v>167031.85</v>
      </c>
      <c r="AB115" s="3"/>
      <c r="AC115" s="2">
        <f>ROUND(AC2+AC16-AC114,5)</f>
        <v>172305.22</v>
      </c>
      <c r="AD115" s="3"/>
      <c r="AE115" s="2">
        <f>ROUND(AE2+AE16-AE114,5)</f>
        <v>156451.46</v>
      </c>
      <c r="AF115" s="3"/>
      <c r="AG115" s="2">
        <f>ROUND(AG2+AG16-AG114,5)</f>
        <v>152640.39000000001</v>
      </c>
      <c r="AH115" s="3"/>
      <c r="AI115" s="2">
        <f>ROUND(AI2+AI16-AI114,5)</f>
        <v>113462.76</v>
      </c>
      <c r="AJ115" s="3"/>
      <c r="AK115" s="2">
        <f>ROUND(AK2+AK16-AK114,5)</f>
        <v>134935.29</v>
      </c>
      <c r="AL115" s="3"/>
      <c r="AM115" s="2">
        <f>ROUND(SUM(G115:AK115),5)</f>
        <v>1748763.23</v>
      </c>
    </row>
    <row r="116" spans="1:39" x14ac:dyDescent="0.25">
      <c r="A116" s="1"/>
      <c r="B116" s="1" t="s">
        <v>131</v>
      </c>
      <c r="C116" s="1"/>
      <c r="D116" s="1"/>
      <c r="E116" s="1"/>
      <c r="F116" s="1"/>
      <c r="G116" s="2"/>
      <c r="H116" s="3"/>
      <c r="I116" s="2"/>
      <c r="J116" s="3"/>
      <c r="K116" s="2"/>
      <c r="L116" s="3"/>
      <c r="M116" s="2"/>
      <c r="N116" s="3"/>
      <c r="O116" s="2"/>
      <c r="P116" s="3"/>
      <c r="Q116" s="2"/>
      <c r="R116" s="3"/>
      <c r="S116" s="2"/>
      <c r="T116" s="3"/>
      <c r="U116" s="2"/>
      <c r="V116" s="3"/>
      <c r="W116" s="2"/>
      <c r="X116" s="3"/>
      <c r="Y116" s="2"/>
      <c r="Z116" s="3"/>
      <c r="AA116" s="2"/>
      <c r="AB116" s="3"/>
      <c r="AC116" s="2"/>
      <c r="AD116" s="3"/>
      <c r="AE116" s="2"/>
      <c r="AF116" s="3"/>
      <c r="AG116" s="2"/>
      <c r="AH116" s="3"/>
      <c r="AI116" s="2"/>
      <c r="AJ116" s="3"/>
      <c r="AK116" s="2"/>
      <c r="AL116" s="3"/>
      <c r="AM116" s="2"/>
    </row>
    <row r="117" spans="1:39" x14ac:dyDescent="0.25">
      <c r="A117" s="1"/>
      <c r="B117" s="1"/>
      <c r="C117" s="1" t="s">
        <v>132</v>
      </c>
      <c r="D117" s="1"/>
      <c r="E117" s="1"/>
      <c r="F117" s="1"/>
      <c r="G117" s="2"/>
      <c r="H117" s="3"/>
      <c r="I117" s="2"/>
      <c r="J117" s="3"/>
      <c r="K117" s="2"/>
      <c r="L117" s="3"/>
      <c r="M117" s="2"/>
      <c r="N117" s="3"/>
      <c r="O117" s="2"/>
      <c r="P117" s="3"/>
      <c r="Q117" s="2"/>
      <c r="R117" s="3"/>
      <c r="S117" s="2"/>
      <c r="T117" s="3"/>
      <c r="U117" s="2"/>
      <c r="V117" s="3"/>
      <c r="W117" s="2"/>
      <c r="X117" s="3"/>
      <c r="Y117" s="2"/>
      <c r="Z117" s="3"/>
      <c r="AA117" s="2"/>
      <c r="AB117" s="3"/>
      <c r="AC117" s="2"/>
      <c r="AD117" s="3"/>
      <c r="AE117" s="2"/>
      <c r="AF117" s="3"/>
      <c r="AG117" s="2"/>
      <c r="AH117" s="3"/>
      <c r="AI117" s="2"/>
      <c r="AJ117" s="3"/>
      <c r="AK117" s="2"/>
      <c r="AL117" s="3"/>
      <c r="AM117" s="2"/>
    </row>
    <row r="118" spans="1:39" x14ac:dyDescent="0.25">
      <c r="A118" s="1"/>
      <c r="B118" s="1"/>
      <c r="C118" s="1"/>
      <c r="D118" s="1" t="s">
        <v>133</v>
      </c>
      <c r="E118" s="1"/>
      <c r="F118" s="1"/>
      <c r="G118" s="2"/>
      <c r="H118" s="3"/>
      <c r="I118" s="2"/>
      <c r="J118" s="3"/>
      <c r="K118" s="2"/>
      <c r="L118" s="3"/>
      <c r="M118" s="2"/>
      <c r="N118" s="3"/>
      <c r="O118" s="2"/>
      <c r="P118" s="3"/>
      <c r="Q118" s="2"/>
      <c r="R118" s="3"/>
      <c r="S118" s="2"/>
      <c r="T118" s="3"/>
      <c r="U118" s="2"/>
      <c r="V118" s="3"/>
      <c r="W118" s="2"/>
      <c r="X118" s="3"/>
      <c r="Y118" s="2"/>
      <c r="Z118" s="3"/>
      <c r="AA118" s="2"/>
      <c r="AB118" s="3"/>
      <c r="AC118" s="2"/>
      <c r="AD118" s="3"/>
      <c r="AE118" s="2"/>
      <c r="AF118" s="3"/>
      <c r="AG118" s="2"/>
      <c r="AH118" s="3"/>
      <c r="AI118" s="2"/>
      <c r="AJ118" s="3"/>
      <c r="AK118" s="2"/>
      <c r="AL118" s="3"/>
      <c r="AM118" s="2"/>
    </row>
    <row r="119" spans="1:39" x14ac:dyDescent="0.25">
      <c r="A119" s="1"/>
      <c r="B119" s="1"/>
      <c r="C119" s="1"/>
      <c r="D119" s="1"/>
      <c r="E119" s="1" t="s">
        <v>134</v>
      </c>
      <c r="F119" s="1"/>
      <c r="G119" s="2">
        <v>0</v>
      </c>
      <c r="H119" s="3"/>
      <c r="I119" s="2">
        <v>45745</v>
      </c>
      <c r="J119" s="3"/>
      <c r="K119" s="2">
        <v>45745</v>
      </c>
      <c r="L119" s="3"/>
      <c r="M119" s="2">
        <v>45745</v>
      </c>
      <c r="N119" s="3"/>
      <c r="O119" s="2">
        <v>45745</v>
      </c>
      <c r="P119" s="3"/>
      <c r="Q119" s="2">
        <v>45745</v>
      </c>
      <c r="R119" s="3"/>
      <c r="S119" s="2">
        <v>45745</v>
      </c>
      <c r="T119" s="3"/>
      <c r="U119" s="2">
        <v>45745</v>
      </c>
      <c r="V119" s="3"/>
      <c r="W119" s="2">
        <v>45745</v>
      </c>
      <c r="X119" s="3"/>
      <c r="Y119" s="2">
        <v>45745</v>
      </c>
      <c r="Z119" s="3"/>
      <c r="AA119" s="2">
        <v>45745</v>
      </c>
      <c r="AB119" s="3"/>
      <c r="AC119" s="2">
        <v>45745</v>
      </c>
      <c r="AD119" s="3"/>
      <c r="AE119" s="2">
        <v>45745</v>
      </c>
      <c r="AF119" s="3"/>
      <c r="AG119" s="2">
        <v>49556.73</v>
      </c>
      <c r="AH119" s="3"/>
      <c r="AI119" s="2">
        <v>49556.73</v>
      </c>
      <c r="AJ119" s="3"/>
      <c r="AK119" s="2">
        <v>49556.73</v>
      </c>
      <c r="AL119" s="3"/>
      <c r="AM119" s="2">
        <f>ROUND(SUM(G119:AK119),5)</f>
        <v>697610.19</v>
      </c>
    </row>
    <row r="120" spans="1:39" ht="15.75" thickBot="1" x14ac:dyDescent="0.3">
      <c r="A120" s="1"/>
      <c r="B120" s="1"/>
      <c r="C120" s="1"/>
      <c r="D120" s="1"/>
      <c r="E120" s="1" t="s">
        <v>135</v>
      </c>
      <c r="F120" s="1"/>
      <c r="G120" s="6">
        <v>7650.58</v>
      </c>
      <c r="H120" s="3"/>
      <c r="I120" s="6">
        <v>8403.77</v>
      </c>
      <c r="J120" s="3"/>
      <c r="K120" s="6">
        <v>9040.59</v>
      </c>
      <c r="L120" s="3"/>
      <c r="M120" s="6">
        <v>8160.61</v>
      </c>
      <c r="N120" s="3"/>
      <c r="O120" s="6">
        <v>8160.61</v>
      </c>
      <c r="P120" s="3"/>
      <c r="Q120" s="6">
        <v>8160.61</v>
      </c>
      <c r="R120" s="3"/>
      <c r="S120" s="6">
        <v>8160.61</v>
      </c>
      <c r="T120" s="3"/>
      <c r="U120" s="6">
        <v>8160.61</v>
      </c>
      <c r="V120" s="3"/>
      <c r="W120" s="6">
        <v>8160.61</v>
      </c>
      <c r="X120" s="3"/>
      <c r="Y120" s="6">
        <v>8160.61</v>
      </c>
      <c r="Z120" s="3"/>
      <c r="AA120" s="6">
        <v>8160.61</v>
      </c>
      <c r="AB120" s="3"/>
      <c r="AC120" s="6">
        <v>8160.61</v>
      </c>
      <c r="AD120" s="3"/>
      <c r="AE120" s="6">
        <v>8160.61</v>
      </c>
      <c r="AF120" s="3"/>
      <c r="AG120" s="6">
        <v>2728.1</v>
      </c>
      <c r="AH120" s="3"/>
      <c r="AI120" s="6">
        <v>8098.72</v>
      </c>
      <c r="AJ120" s="3"/>
      <c r="AK120" s="6">
        <v>8098.72</v>
      </c>
      <c r="AL120" s="3"/>
      <c r="AM120" s="6">
        <f>ROUND(SUM(G120:AK120),5)</f>
        <v>125626.58</v>
      </c>
    </row>
    <row r="121" spans="1:39" x14ac:dyDescent="0.25">
      <c r="A121" s="1"/>
      <c r="B121" s="1"/>
      <c r="C121" s="1"/>
      <c r="D121" s="1" t="s">
        <v>136</v>
      </c>
      <c r="E121" s="1"/>
      <c r="F121" s="1"/>
      <c r="G121" s="2">
        <f>ROUND(SUM(G118:G120),5)</f>
        <v>7650.58</v>
      </c>
      <c r="H121" s="3"/>
      <c r="I121" s="2">
        <f>ROUND(SUM(I118:I120),5)</f>
        <v>54148.77</v>
      </c>
      <c r="J121" s="3"/>
      <c r="K121" s="2">
        <f>ROUND(SUM(K118:K120),5)</f>
        <v>54785.59</v>
      </c>
      <c r="L121" s="3"/>
      <c r="M121" s="2">
        <f>ROUND(SUM(M118:M120),5)</f>
        <v>53905.61</v>
      </c>
      <c r="N121" s="3"/>
      <c r="O121" s="2">
        <f>ROUND(SUM(O118:O120),5)</f>
        <v>53905.61</v>
      </c>
      <c r="P121" s="3"/>
      <c r="Q121" s="2">
        <f>ROUND(SUM(Q118:Q120),5)</f>
        <v>53905.61</v>
      </c>
      <c r="R121" s="3"/>
      <c r="S121" s="2">
        <f>ROUND(SUM(S118:S120),5)</f>
        <v>53905.61</v>
      </c>
      <c r="T121" s="3"/>
      <c r="U121" s="2">
        <f>ROUND(SUM(U118:U120),5)</f>
        <v>53905.61</v>
      </c>
      <c r="V121" s="3"/>
      <c r="W121" s="2">
        <f>ROUND(SUM(W118:W120),5)</f>
        <v>53905.61</v>
      </c>
      <c r="X121" s="3"/>
      <c r="Y121" s="2">
        <f>ROUND(SUM(Y118:Y120),5)</f>
        <v>53905.61</v>
      </c>
      <c r="Z121" s="3"/>
      <c r="AA121" s="2">
        <f>ROUND(SUM(AA118:AA120),5)</f>
        <v>53905.61</v>
      </c>
      <c r="AB121" s="3"/>
      <c r="AC121" s="2">
        <f>ROUND(SUM(AC118:AC120),5)</f>
        <v>53905.61</v>
      </c>
      <c r="AD121" s="3"/>
      <c r="AE121" s="2">
        <f>ROUND(SUM(AE118:AE120),5)</f>
        <v>53905.61</v>
      </c>
      <c r="AF121" s="3"/>
      <c r="AG121" s="2">
        <f>ROUND(SUM(AG118:AG120),5)</f>
        <v>52284.83</v>
      </c>
      <c r="AH121" s="3"/>
      <c r="AI121" s="2">
        <f>ROUND(SUM(AI118:AI120),5)</f>
        <v>57655.45</v>
      </c>
      <c r="AJ121" s="3"/>
      <c r="AK121" s="2">
        <f>ROUND(SUM(AK118:AK120),5)</f>
        <v>57655.45</v>
      </c>
      <c r="AL121" s="3"/>
      <c r="AM121" s="2">
        <f>ROUND(SUM(G121:AK121),5)</f>
        <v>823236.77</v>
      </c>
    </row>
    <row r="122" spans="1:39" ht="15.75" thickBot="1" x14ac:dyDescent="0.3">
      <c r="A122" s="1"/>
      <c r="B122" s="1"/>
      <c r="C122" s="1"/>
      <c r="D122" s="1" t="s">
        <v>137</v>
      </c>
      <c r="E122" s="1"/>
      <c r="F122" s="1"/>
      <c r="G122" s="4">
        <v>0</v>
      </c>
      <c r="H122" s="3"/>
      <c r="I122" s="4">
        <v>0</v>
      </c>
      <c r="J122" s="3"/>
      <c r="K122" s="4">
        <v>0</v>
      </c>
      <c r="L122" s="3"/>
      <c r="M122" s="4">
        <v>0</v>
      </c>
      <c r="N122" s="3"/>
      <c r="O122" s="4">
        <v>0</v>
      </c>
      <c r="P122" s="3"/>
      <c r="Q122" s="4">
        <v>0</v>
      </c>
      <c r="R122" s="3"/>
      <c r="S122" s="4">
        <v>0</v>
      </c>
      <c r="T122" s="3"/>
      <c r="U122" s="4">
        <v>1624</v>
      </c>
      <c r="V122" s="3"/>
      <c r="W122" s="4">
        <v>0</v>
      </c>
      <c r="X122" s="3"/>
      <c r="Y122" s="4">
        <v>0</v>
      </c>
      <c r="Z122" s="3"/>
      <c r="AA122" s="4">
        <v>0</v>
      </c>
      <c r="AB122" s="3"/>
      <c r="AC122" s="4">
        <v>0</v>
      </c>
      <c r="AD122" s="3"/>
      <c r="AE122" s="4">
        <v>0</v>
      </c>
      <c r="AF122" s="3"/>
      <c r="AG122" s="4">
        <v>0</v>
      </c>
      <c r="AH122" s="3"/>
      <c r="AI122" s="4">
        <v>0</v>
      </c>
      <c r="AJ122" s="3"/>
      <c r="AK122" s="4">
        <v>0</v>
      </c>
      <c r="AL122" s="3"/>
      <c r="AM122" s="4">
        <f>ROUND(SUM(G122:AK122),5)</f>
        <v>1624</v>
      </c>
    </row>
    <row r="123" spans="1:39" ht="15.75" thickBot="1" x14ac:dyDescent="0.3">
      <c r="A123" s="1"/>
      <c r="B123" s="1"/>
      <c r="C123" s="1" t="s">
        <v>138</v>
      </c>
      <c r="D123" s="1"/>
      <c r="E123" s="1"/>
      <c r="F123" s="1"/>
      <c r="G123" s="7">
        <f>ROUND(G117+SUM(G121:G122),5)</f>
        <v>7650.58</v>
      </c>
      <c r="H123" s="3"/>
      <c r="I123" s="7">
        <f>ROUND(I117+SUM(I121:I122),5)</f>
        <v>54148.77</v>
      </c>
      <c r="J123" s="3"/>
      <c r="K123" s="7">
        <f>ROUND(K117+SUM(K121:K122),5)</f>
        <v>54785.59</v>
      </c>
      <c r="L123" s="3"/>
      <c r="M123" s="7">
        <f>ROUND(M117+SUM(M121:M122),5)</f>
        <v>53905.61</v>
      </c>
      <c r="N123" s="3"/>
      <c r="O123" s="7">
        <f>ROUND(O117+SUM(O121:O122),5)</f>
        <v>53905.61</v>
      </c>
      <c r="P123" s="3"/>
      <c r="Q123" s="7">
        <f>ROUND(Q117+SUM(Q121:Q122),5)</f>
        <v>53905.61</v>
      </c>
      <c r="R123" s="3"/>
      <c r="S123" s="7">
        <f>ROUND(S117+SUM(S121:S122),5)</f>
        <v>53905.61</v>
      </c>
      <c r="T123" s="3"/>
      <c r="U123" s="7">
        <f>ROUND(U117+SUM(U121:U122),5)</f>
        <v>55529.61</v>
      </c>
      <c r="V123" s="3"/>
      <c r="W123" s="7">
        <f>ROUND(W117+SUM(W121:W122),5)</f>
        <v>53905.61</v>
      </c>
      <c r="X123" s="3"/>
      <c r="Y123" s="7">
        <f>ROUND(Y117+SUM(Y121:Y122),5)</f>
        <v>53905.61</v>
      </c>
      <c r="Z123" s="3"/>
      <c r="AA123" s="7">
        <f>ROUND(AA117+SUM(AA121:AA122),5)</f>
        <v>53905.61</v>
      </c>
      <c r="AB123" s="3"/>
      <c r="AC123" s="7">
        <f>ROUND(AC117+SUM(AC121:AC122),5)</f>
        <v>53905.61</v>
      </c>
      <c r="AD123" s="3"/>
      <c r="AE123" s="7">
        <f>ROUND(AE117+SUM(AE121:AE122),5)</f>
        <v>53905.61</v>
      </c>
      <c r="AF123" s="3"/>
      <c r="AG123" s="7">
        <f>ROUND(AG117+SUM(AG121:AG122),5)</f>
        <v>52284.83</v>
      </c>
      <c r="AH123" s="3"/>
      <c r="AI123" s="7">
        <f>ROUND(AI117+SUM(AI121:AI122),5)</f>
        <v>57655.45</v>
      </c>
      <c r="AJ123" s="3"/>
      <c r="AK123" s="7">
        <f>ROUND(AK117+SUM(AK121:AK122),5)</f>
        <v>57655.45</v>
      </c>
      <c r="AL123" s="3"/>
      <c r="AM123" s="7">
        <f>ROUND(SUM(G123:AK123),5)</f>
        <v>824860.77</v>
      </c>
    </row>
    <row r="124" spans="1:39" ht="15.75" thickBot="1" x14ac:dyDescent="0.3">
      <c r="A124" s="1"/>
      <c r="B124" s="1" t="s">
        <v>139</v>
      </c>
      <c r="C124" s="1"/>
      <c r="D124" s="1"/>
      <c r="E124" s="1"/>
      <c r="F124" s="1"/>
      <c r="G124" s="7">
        <f>ROUND(G116-G123,5)</f>
        <v>-7650.58</v>
      </c>
      <c r="H124" s="3"/>
      <c r="I124" s="7">
        <f>ROUND(I116-I123,5)</f>
        <v>-54148.77</v>
      </c>
      <c r="J124" s="3"/>
      <c r="K124" s="7">
        <f>ROUND(K116-K123,5)</f>
        <v>-54785.59</v>
      </c>
      <c r="L124" s="3"/>
      <c r="M124" s="7">
        <f>ROUND(M116-M123,5)</f>
        <v>-53905.61</v>
      </c>
      <c r="N124" s="3"/>
      <c r="O124" s="7">
        <f>ROUND(O116-O123,5)</f>
        <v>-53905.61</v>
      </c>
      <c r="P124" s="3"/>
      <c r="Q124" s="7">
        <f>ROUND(Q116-Q123,5)</f>
        <v>-53905.61</v>
      </c>
      <c r="R124" s="3"/>
      <c r="S124" s="7">
        <f>ROUND(S116-S123,5)</f>
        <v>-53905.61</v>
      </c>
      <c r="T124" s="3"/>
      <c r="U124" s="7">
        <f>ROUND(U116-U123,5)</f>
        <v>-55529.61</v>
      </c>
      <c r="V124" s="3"/>
      <c r="W124" s="7">
        <f>ROUND(W116-W123,5)</f>
        <v>-53905.61</v>
      </c>
      <c r="X124" s="3"/>
      <c r="Y124" s="7">
        <f>ROUND(Y116-Y123,5)</f>
        <v>-53905.61</v>
      </c>
      <c r="Z124" s="3"/>
      <c r="AA124" s="7">
        <f>ROUND(AA116-AA123,5)</f>
        <v>-53905.61</v>
      </c>
      <c r="AB124" s="3"/>
      <c r="AC124" s="7">
        <f>ROUND(AC116-AC123,5)</f>
        <v>-53905.61</v>
      </c>
      <c r="AD124" s="3"/>
      <c r="AE124" s="7">
        <f>ROUND(AE116-AE123,5)</f>
        <v>-53905.61</v>
      </c>
      <c r="AF124" s="3"/>
      <c r="AG124" s="7">
        <f>ROUND(AG116-AG123,5)</f>
        <v>-52284.83</v>
      </c>
      <c r="AH124" s="3"/>
      <c r="AI124" s="7">
        <f>ROUND(AI116-AI123,5)</f>
        <v>-57655.45</v>
      </c>
      <c r="AJ124" s="3"/>
      <c r="AK124" s="7">
        <f>ROUND(AK116-AK123,5)</f>
        <v>-57655.45</v>
      </c>
      <c r="AL124" s="3"/>
      <c r="AM124" s="7">
        <f>ROUND(SUM(G124:AK124),5)</f>
        <v>-824860.77</v>
      </c>
    </row>
    <row r="125" spans="1:39" s="9" customFormat="1" ht="12" thickBot="1" x14ac:dyDescent="0.25">
      <c r="A125" s="1" t="s">
        <v>140</v>
      </c>
      <c r="B125" s="1"/>
      <c r="C125" s="1"/>
      <c r="D125" s="1"/>
      <c r="E125" s="1"/>
      <c r="F125" s="1"/>
      <c r="G125" s="8">
        <f>ROUND(G115+G124,5)</f>
        <v>127574.99</v>
      </c>
      <c r="H125" s="1"/>
      <c r="I125" s="8">
        <f>ROUND(I115+I124,5)</f>
        <v>70064.100000000006</v>
      </c>
      <c r="J125" s="1"/>
      <c r="K125" s="8">
        <f>ROUND(K115+K124,5)</f>
        <v>-81184.97</v>
      </c>
      <c r="L125" s="1"/>
      <c r="M125" s="8">
        <f>ROUND(M115+M124,5)</f>
        <v>-33107.629999999997</v>
      </c>
      <c r="N125" s="1"/>
      <c r="O125" s="8">
        <f>ROUND(O115+O124,5)</f>
        <v>-47737.599999999999</v>
      </c>
      <c r="P125" s="1"/>
      <c r="Q125" s="8">
        <f>ROUND(Q115+Q124,5)</f>
        <v>22735.02</v>
      </c>
      <c r="R125" s="1"/>
      <c r="S125" s="8">
        <f>ROUND(S115+S124,5)</f>
        <v>49239.65</v>
      </c>
      <c r="T125" s="1"/>
      <c r="U125" s="8">
        <f>ROUND(U115+U124,5)</f>
        <v>23811.03</v>
      </c>
      <c r="V125" s="1"/>
      <c r="W125" s="8">
        <f>ROUND(W115+W124,5)</f>
        <v>128603.48</v>
      </c>
      <c r="X125" s="1"/>
      <c r="Y125" s="8">
        <f>ROUND(Y115+Y124,5)</f>
        <v>96389.98</v>
      </c>
      <c r="Z125" s="1"/>
      <c r="AA125" s="8">
        <f>ROUND(AA115+AA124,5)</f>
        <v>113126.24</v>
      </c>
      <c r="AB125" s="1"/>
      <c r="AC125" s="8">
        <f>ROUND(AC115+AC124,5)</f>
        <v>118399.61</v>
      </c>
      <c r="AD125" s="1"/>
      <c r="AE125" s="8">
        <f>ROUND(AE115+AE124,5)</f>
        <v>102545.85</v>
      </c>
      <c r="AF125" s="1"/>
      <c r="AG125" s="8">
        <f>ROUND(AG115+AG124,5)</f>
        <v>100355.56</v>
      </c>
      <c r="AH125" s="1"/>
      <c r="AI125" s="8">
        <f>ROUND(AI115+AI124,5)</f>
        <v>55807.31</v>
      </c>
      <c r="AJ125" s="1"/>
      <c r="AK125" s="8">
        <f>ROUND(AK115+AK124,5)</f>
        <v>77279.839999999997</v>
      </c>
      <c r="AL125" s="1"/>
      <c r="AM125" s="8">
        <f>ROUND(SUM(G125:AK125),5)</f>
        <v>923902.46</v>
      </c>
    </row>
    <row r="126" spans="1:39" ht="15.75" thickTop="1" x14ac:dyDescent="0.25"/>
  </sheetData>
  <pageMargins left="0.7" right="0.7" top="0.75" bottom="0.75" header="0.1" footer="0.3"/>
  <pageSetup orientation="portrait" r:id="rId1"/>
  <headerFooter>
    <oddHeader>&amp;L&amp;"Arial,Bold"&amp;8 2:34 PM
&amp;"Arial,Bold"&amp;8 04/15/26
&amp;"Arial,Bold"&amp;8 Accrual Basis&amp;C&amp;"Arial,Bold"&amp;12 North Aurora Living and Rehab Center LLC
&amp;"Arial,Bold"&amp;14 Profit &amp;&amp; Loss
&amp;"Arial,Bold"&amp;10 As of February 28, 2026</oddHeader>
    <oddFooter>&amp;R&amp;"Arial,Bold"&amp;8 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1890C2B12184E9ECA3D5D24EB83DA" ma:contentTypeVersion="13" ma:contentTypeDescription="Create a new document." ma:contentTypeScope="" ma:versionID="6d054ceb9a0354c0bfb47cf043e39651">
  <xsd:schema xmlns:xsd="http://www.w3.org/2001/XMLSchema" xmlns:xs="http://www.w3.org/2001/XMLSchema" xmlns:p="http://schemas.microsoft.com/office/2006/metadata/properties" xmlns:ns2="9c59f6ae-8f81-4f29-8cb1-f12a8db24abe" xmlns:ns3="06d6442d-a21e-4720-8a99-a5f4f7617557" targetNamespace="http://schemas.microsoft.com/office/2006/metadata/properties" ma:root="true" ma:fieldsID="5981c087a5554635838f78bc8e7878cd" ns2:_="" ns3:_="">
    <xsd:import namespace="9c59f6ae-8f81-4f29-8cb1-f12a8db24abe"/>
    <xsd:import namespace="06d6442d-a21e-4720-8a99-a5f4f76175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9f6ae-8f81-4f29-8cb1-f12a8db24a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5b2fae7-71e6-4a35-b2b9-0129a604f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d6442d-a21e-4720-8a99-a5f4f761755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66a5326-9a2a-4eb6-ac08-3c0190a1edb3}" ma:internalName="TaxCatchAll" ma:showField="CatchAllData" ma:web="06d6442d-a21e-4720-8a99-a5f4f76175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c59f6ae-8f81-4f29-8cb1-f12a8db24abe">
      <Terms xmlns="http://schemas.microsoft.com/office/infopath/2007/PartnerControls"/>
    </lcf76f155ced4ddcb4097134ff3c332f>
    <TaxCatchAll xmlns="06d6442d-a21e-4720-8a99-a5f4f7617557" xsi:nil="true"/>
  </documentManagement>
</p:properties>
</file>

<file path=customXml/itemProps1.xml><?xml version="1.0" encoding="utf-8"?>
<ds:datastoreItem xmlns:ds="http://schemas.openxmlformats.org/officeDocument/2006/customXml" ds:itemID="{5BEE7A20-5E7D-4398-B26F-B4BF4E74E9A6}"/>
</file>

<file path=customXml/itemProps2.xml><?xml version="1.0" encoding="utf-8"?>
<ds:datastoreItem xmlns:ds="http://schemas.openxmlformats.org/officeDocument/2006/customXml" ds:itemID="{DD3BA23A-15B8-454F-9919-E4653509A18E}"/>
</file>

<file path=customXml/itemProps3.xml><?xml version="1.0" encoding="utf-8"?>
<ds:datastoreItem xmlns:ds="http://schemas.openxmlformats.org/officeDocument/2006/customXml" ds:itemID="{F6936F62-BC40-450A-ADA9-C7BCD2B2AD1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QuickBooks Desktop Export Tips</vt:lpstr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Brocha Swadron</dc:creator>
  <cp:lastModifiedBy>Brocha Swadron</cp:lastModifiedBy>
  <dcterms:created xsi:type="dcterms:W3CDTF">2026-04-15T19:34:35Z</dcterms:created>
  <dcterms:modified xsi:type="dcterms:W3CDTF">2026-04-15T19:35:21Z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0x0101003F41890C2B12184E9ECA3D5D24EB83DA</vt:lpwstr>
  </property>
</Properties>
</file>