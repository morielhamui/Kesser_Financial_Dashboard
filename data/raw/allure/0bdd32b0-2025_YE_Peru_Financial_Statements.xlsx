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Morkunas\Desktop\Tracy Folder - Backup 7.22.25\12.31.25\2025 YE Backup - Completed\"/>
    </mc:Choice>
  </mc:AlternateContent>
  <xr:revisionPtr revIDLastSave="0" documentId="13_ncr:1_{D75FEF7B-53B6-4B21-A8C8-614085ADA88F}" xr6:coauthVersionLast="47" xr6:coauthVersionMax="47" xr10:uidLastSave="{00000000-0000-0000-0000-000000000000}"/>
  <bookViews>
    <workbookView xWindow="25974" yWindow="-109" windowWidth="26301" windowHeight="14169" tabRatio="889" xr2:uid="{5CDB9523-4DD2-4B65-856D-0FFEE2DF5E5D}"/>
  </bookViews>
  <sheets>
    <sheet name="BS" sheetId="1" r:id="rId1"/>
    <sheet name="P&amp;L" sheetId="2" r:id="rId2"/>
    <sheet name="P&amp;L Detail Trending" sheetId="6" r:id="rId3"/>
    <sheet name="PR Detail Trending" sheetId="4" r:id="rId4"/>
    <sheet name="BS Data" sheetId="7" state="hidden" r:id="rId5"/>
    <sheet name="P&amp;L Data" sheetId="8" state="hidden" r:id="rId6"/>
    <sheet name="P&amp;L Trending Data" sheetId="9" state="hidden" r:id="rId7"/>
    <sheet name="PR Trending Data" sheetId="10" state="hidden" r:id="rId8"/>
    <sheet name="DTF Data" sheetId="11" state="hidden" r:id="rId9"/>
    <sheet name="DTF &amp; QuickCalc" sheetId="13" state="hidden" r:id="rId10"/>
  </sheets>
  <definedNames>
    <definedName name="_xlnm._FilterDatabase" localSheetId="2" hidden="1">'P&amp;L Detail Trending'!$Z$5:$AA$145</definedName>
    <definedName name="_xlnm.Print_Area" localSheetId="0">BS!$A$1:$B$45</definedName>
    <definedName name="_xlnm.Print_Titles" localSheetId="1">'P&amp;L'!$1:$6</definedName>
    <definedName name="_xlnm.Print_Titles" localSheetId="2">'P&amp;L Detail Trending'!$1:$6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3" i="13"/>
  <c r="A72" i="13"/>
  <c r="B5" i="6" s="1"/>
  <c r="A63" i="13"/>
  <c r="B63" i="13"/>
  <c r="A64" i="13"/>
  <c r="B64" i="13"/>
  <c r="A65" i="13"/>
  <c r="B65" i="13"/>
  <c r="B66" i="13" l="1"/>
  <c r="B32" i="1" s="1"/>
  <c r="C4" i="13"/>
  <c r="C5" i="13"/>
  <c r="C6" i="13"/>
  <c r="C7" i="13"/>
  <c r="C8" i="13"/>
  <c r="C9" i="13"/>
  <c r="E9" i="13" s="1"/>
  <c r="C10" i="13"/>
  <c r="C11" i="13"/>
  <c r="D11" i="13" s="1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E25" i="13" s="1"/>
  <c r="C26" i="13"/>
  <c r="D26" i="13" s="1"/>
  <c r="C27" i="13"/>
  <c r="D27" i="13" s="1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D41" i="13" s="1"/>
  <c r="C42" i="13"/>
  <c r="D42" i="13" s="1"/>
  <c r="C43" i="13"/>
  <c r="D43" i="13" s="1"/>
  <c r="C44" i="13"/>
  <c r="C45" i="13"/>
  <c r="C46" i="13"/>
  <c r="C47" i="13"/>
  <c r="C48" i="13"/>
  <c r="C49" i="13"/>
  <c r="C50" i="13"/>
  <c r="C51" i="13"/>
  <c r="C52" i="13"/>
  <c r="C53" i="13"/>
  <c r="C3" i="13"/>
  <c r="D10" i="13" l="1"/>
  <c r="E10" i="13"/>
  <c r="E42" i="13"/>
  <c r="E26" i="13"/>
  <c r="D15" i="13"/>
  <c r="E15" i="13"/>
  <c r="E23" i="13"/>
  <c r="D23" i="13"/>
  <c r="D6" i="13"/>
  <c r="E6" i="13"/>
  <c r="E37" i="13"/>
  <c r="D37" i="13"/>
  <c r="D52" i="13"/>
  <c r="E52" i="13"/>
  <c r="D19" i="13"/>
  <c r="E19" i="13"/>
  <c r="D49" i="13"/>
  <c r="E49" i="13"/>
  <c r="D13" i="13"/>
  <c r="E13" i="13"/>
  <c r="D38" i="13"/>
  <c r="E38" i="13"/>
  <c r="D3" i="13"/>
  <c r="E3" i="13"/>
  <c r="D22" i="13"/>
  <c r="E22" i="13"/>
  <c r="E5" i="13"/>
  <c r="D5" i="13"/>
  <c r="D20" i="13"/>
  <c r="E20" i="13"/>
  <c r="D35" i="13"/>
  <c r="E35" i="13"/>
  <c r="D50" i="13"/>
  <c r="E50" i="13"/>
  <c r="D18" i="13"/>
  <c r="E18" i="13"/>
  <c r="D17" i="13"/>
  <c r="E17" i="13"/>
  <c r="D16" i="13"/>
  <c r="E16" i="13"/>
  <c r="D31" i="13"/>
  <c r="E31" i="13"/>
  <c r="D30" i="13"/>
  <c r="E30" i="13"/>
  <c r="E44" i="13"/>
  <c r="D44" i="13"/>
  <c r="E12" i="13"/>
  <c r="D12" i="13"/>
  <c r="D4" i="13"/>
  <c r="E4" i="13"/>
  <c r="D39" i="13"/>
  <c r="E39" i="13"/>
  <c r="D7" i="13"/>
  <c r="E7" i="13"/>
  <c r="D53" i="13"/>
  <c r="E53" i="13"/>
  <c r="E21" i="13"/>
  <c r="D21" i="13"/>
  <c r="D36" i="13"/>
  <c r="E36" i="13"/>
  <c r="D51" i="13"/>
  <c r="E51" i="13"/>
  <c r="D34" i="13"/>
  <c r="E34" i="13"/>
  <c r="D33" i="13"/>
  <c r="E33" i="13"/>
  <c r="D48" i="13"/>
  <c r="E48" i="13"/>
  <c r="D32" i="13"/>
  <c r="E32" i="13"/>
  <c r="D47" i="13"/>
  <c r="E47" i="13"/>
  <c r="D46" i="13"/>
  <c r="E46" i="13"/>
  <c r="D14" i="13"/>
  <c r="E14" i="13"/>
  <c r="D45" i="13"/>
  <c r="E45" i="13"/>
  <c r="D29" i="13"/>
  <c r="E29" i="13"/>
  <c r="E28" i="13"/>
  <c r="D28" i="13"/>
  <c r="E40" i="13"/>
  <c r="D40" i="13"/>
  <c r="D24" i="13"/>
  <c r="E24" i="13"/>
  <c r="E8" i="13"/>
  <c r="D8" i="13"/>
  <c r="E41" i="13"/>
  <c r="D25" i="13"/>
  <c r="D9" i="13"/>
  <c r="E43" i="13"/>
  <c r="E27" i="13"/>
  <c r="E11" i="13"/>
  <c r="B43" i="1"/>
  <c r="B42" i="1"/>
  <c r="B41" i="1"/>
  <c r="B38" i="1"/>
  <c r="B36" i="1"/>
  <c r="B35" i="1"/>
  <c r="B33" i="1"/>
  <c r="B31" i="1"/>
  <c r="B30" i="1"/>
  <c r="B29" i="1"/>
  <c r="B25" i="1"/>
  <c r="B24" i="1"/>
  <c r="B23" i="1"/>
  <c r="B22" i="1"/>
  <c r="B21" i="1"/>
  <c r="B20" i="1"/>
  <c r="B19" i="1"/>
  <c r="B18" i="1"/>
  <c r="B17" i="1"/>
  <c r="B16" i="1"/>
  <c r="B9" i="1"/>
  <c r="B10" i="1"/>
  <c r="B11" i="1"/>
  <c r="B13" i="1"/>
  <c r="B8" i="1"/>
  <c r="E54" i="13" l="1"/>
  <c r="B57" i="13" s="1"/>
  <c r="B12" i="1" s="1"/>
  <c r="D54" i="13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8" i="4" a="1"/>
  <c r="B8" i="4" s="1"/>
  <c r="B8" i="6" a="1"/>
  <c r="B8" i="6" s="1"/>
  <c r="A3" i="1"/>
  <c r="A1" i="1"/>
  <c r="A3" i="4"/>
  <c r="B5" i="4"/>
  <c r="B58" i="13" l="1"/>
  <c r="F54" i="13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2" i="6" a="1"/>
  <c r="B32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  <c r="B39" i="6" a="1"/>
  <c r="B39" i="6" s="1"/>
  <c r="B40" i="6" a="1"/>
  <c r="B40" i="6" s="1"/>
  <c r="B41" i="6" a="1"/>
  <c r="B41" i="6" s="1"/>
  <c r="B42" i="6" a="1"/>
  <c r="B42" i="6" s="1"/>
  <c r="B43" i="6" a="1"/>
  <c r="B43" i="6" s="1"/>
  <c r="B44" i="6" a="1"/>
  <c r="B44" i="6" s="1"/>
  <c r="B45" i="6" a="1"/>
  <c r="B45" i="6" s="1"/>
  <c r="B46" i="6" a="1"/>
  <c r="B46" i="6" s="1"/>
  <c r="B47" i="6" a="1"/>
  <c r="B47" i="6" s="1"/>
  <c r="B48" i="6" a="1"/>
  <c r="B48" i="6" s="1"/>
  <c r="B49" i="6" a="1"/>
  <c r="B49" i="6" s="1"/>
  <c r="B50" i="6" a="1"/>
  <c r="B50" i="6" s="1"/>
  <c r="B51" i="6" a="1"/>
  <c r="B51" i="6" s="1"/>
  <c r="B52" i="6" a="1"/>
  <c r="B52" i="6" s="1"/>
  <c r="B53" i="6" a="1"/>
  <c r="B53" i="6" s="1"/>
  <c r="B55" i="6" a="1"/>
  <c r="B55" i="6" s="1"/>
  <c r="B56" i="6" a="1"/>
  <c r="B56" i="6" s="1"/>
  <c r="B57" i="6" a="1"/>
  <c r="B57" i="6" s="1"/>
  <c r="B58" i="6" a="1"/>
  <c r="B58" i="6" s="1"/>
  <c r="B59" i="6" a="1"/>
  <c r="B59" i="6" s="1"/>
  <c r="B60" i="6" a="1"/>
  <c r="B60" i="6" s="1"/>
  <c r="B61" i="6" a="1"/>
  <c r="B61" i="6" s="1"/>
  <c r="B62" i="6" a="1"/>
  <c r="B62" i="6" s="1"/>
  <c r="B63" i="6" a="1"/>
  <c r="B63" i="6" s="1"/>
  <c r="B64" i="6" a="1"/>
  <c r="B64" i="6" s="1"/>
  <c r="B66" i="6" a="1"/>
  <c r="B66" i="6" s="1"/>
  <c r="B67" i="6" a="1"/>
  <c r="B67" i="6" s="1"/>
  <c r="B68" i="6" a="1"/>
  <c r="B68" i="6" s="1"/>
  <c r="B69" i="6" a="1"/>
  <c r="B69" i="6" s="1"/>
  <c r="B70" i="6" a="1"/>
  <c r="B70" i="6" s="1"/>
  <c r="B72" i="6" a="1"/>
  <c r="B72" i="6" s="1"/>
  <c r="B73" i="6" a="1"/>
  <c r="B73" i="6" s="1"/>
  <c r="B74" i="6" a="1"/>
  <c r="B74" i="6" s="1"/>
  <c r="B76" i="6" a="1"/>
  <c r="B76" i="6" s="1"/>
  <c r="B77" i="6" a="1"/>
  <c r="B77" i="6" s="1"/>
  <c r="B78" i="6" a="1"/>
  <c r="B78" i="6" s="1"/>
  <c r="B79" i="6" a="1"/>
  <c r="B79" i="6" s="1"/>
  <c r="B80" i="6" a="1"/>
  <c r="B80" i="6" s="1"/>
  <c r="B81" i="6" a="1"/>
  <c r="B81" i="6" s="1"/>
  <c r="B82" i="6" a="1"/>
  <c r="B82" i="6" s="1"/>
  <c r="B83" i="6" a="1"/>
  <c r="B83" i="6" s="1"/>
  <c r="B84" i="6" a="1"/>
  <c r="B84" i="6" s="1"/>
  <c r="B85" i="6" a="1"/>
  <c r="B85" i="6" s="1"/>
  <c r="B86" i="6" a="1"/>
  <c r="B86" i="6" s="1"/>
  <c r="B87" i="6" a="1"/>
  <c r="B87" i="6" s="1"/>
  <c r="B88" i="6" a="1"/>
  <c r="B88" i="6" s="1"/>
  <c r="B89" i="6" a="1"/>
  <c r="B89" i="6" s="1"/>
  <c r="B90" i="6" a="1"/>
  <c r="B90" i="6" s="1"/>
  <c r="B91" i="6" a="1"/>
  <c r="B91" i="6" s="1"/>
  <c r="B93" i="6" a="1"/>
  <c r="B93" i="6" s="1"/>
  <c r="B94" i="6" a="1"/>
  <c r="B94" i="6" s="1"/>
  <c r="B95" i="6" a="1"/>
  <c r="B95" i="6" s="1"/>
  <c r="B96" i="6" a="1"/>
  <c r="B96" i="6" s="1"/>
  <c r="B97" i="6" a="1"/>
  <c r="B97" i="6" s="1"/>
  <c r="B98" i="6" a="1"/>
  <c r="B98" i="6" s="1"/>
  <c r="B99" i="6" a="1"/>
  <c r="B99" i="6" s="1"/>
  <c r="B101" i="6" a="1"/>
  <c r="B101" i="6" s="1"/>
  <c r="B102" i="6" a="1"/>
  <c r="B102" i="6" s="1"/>
  <c r="B103" i="6" a="1"/>
  <c r="B103" i="6" s="1"/>
  <c r="B104" i="6" a="1"/>
  <c r="B104" i="6" s="1"/>
  <c r="B105" i="6" a="1"/>
  <c r="B105" i="6" s="1"/>
  <c r="B106" i="6" a="1"/>
  <c r="B106" i="6" s="1"/>
  <c r="B107" i="6" a="1"/>
  <c r="B107" i="6" s="1"/>
  <c r="B109" i="6" a="1"/>
  <c r="B109" i="6" s="1"/>
  <c r="B110" i="6" a="1"/>
  <c r="B110" i="6" s="1"/>
  <c r="B111" i="6" a="1"/>
  <c r="B111" i="6" s="1"/>
  <c r="B112" i="6" a="1"/>
  <c r="B112" i="6" s="1"/>
  <c r="B113" i="6" a="1"/>
  <c r="B113" i="6" s="1"/>
  <c r="B114" i="6" a="1"/>
  <c r="B114" i="6" s="1"/>
  <c r="B115" i="6" a="1"/>
  <c r="B115" i="6" s="1"/>
  <c r="B116" i="6" a="1"/>
  <c r="B116" i="6" s="1"/>
  <c r="B117" i="6" a="1"/>
  <c r="B117" i="6" s="1"/>
  <c r="B118" i="6" a="1"/>
  <c r="B118" i="6" s="1"/>
  <c r="B119" i="6" a="1"/>
  <c r="B119" i="6" s="1"/>
  <c r="B120" i="6" a="1"/>
  <c r="B120" i="6" s="1"/>
  <c r="B121" i="6" a="1"/>
  <c r="B121" i="6" s="1"/>
  <c r="B122" i="6" a="1"/>
  <c r="B122" i="6" s="1"/>
  <c r="B123" i="6" a="1"/>
  <c r="B123" i="6" s="1"/>
  <c r="B124" i="6" a="1"/>
  <c r="B124" i="6" s="1"/>
  <c r="B125" i="6" a="1"/>
  <c r="B125" i="6" s="1"/>
  <c r="B126" i="6" a="1"/>
  <c r="B126" i="6" s="1"/>
  <c r="B127" i="6" a="1"/>
  <c r="B127" i="6" s="1"/>
  <c r="B128" i="6" a="1"/>
  <c r="B128" i="6" s="1"/>
  <c r="B129" i="6" a="1"/>
  <c r="B129" i="6" s="1"/>
  <c r="B130" i="6" a="1"/>
  <c r="B130" i="6" s="1"/>
  <c r="B131" i="6" a="1"/>
  <c r="B131" i="6" s="1"/>
  <c r="B132" i="6" a="1"/>
  <c r="B132" i="6" s="1"/>
  <c r="B133" i="6" a="1"/>
  <c r="B133" i="6" s="1"/>
  <c r="B134" i="6" a="1"/>
  <c r="B134" i="6" s="1"/>
  <c r="B136" i="6" a="1"/>
  <c r="B136" i="6" s="1"/>
  <c r="B137" i="6" a="1"/>
  <c r="B137" i="6" s="1"/>
  <c r="B138" i="6" a="1"/>
  <c r="B138" i="6" s="1"/>
  <c r="B139" i="6" a="1"/>
  <c r="B139" i="6" s="1"/>
  <c r="B140" i="6" a="1"/>
  <c r="B140" i="6" s="1"/>
  <c r="B141" i="6" a="1"/>
  <c r="B141" i="6" s="1"/>
  <c r="B142" i="6" a="1"/>
  <c r="B142" i="6" s="1"/>
  <c r="B143" i="6" a="1"/>
  <c r="B143" i="6" s="1"/>
  <c r="B144" i="6" a="1"/>
  <c r="B144" i="6" s="1"/>
  <c r="B145" i="6" a="1"/>
  <c r="B145" i="6" s="1"/>
  <c r="B147" i="6" a="1"/>
  <c r="B147" i="6" s="1"/>
  <c r="A3" i="6"/>
  <c r="A3" i="2"/>
  <c r="E147" i="2" l="1"/>
  <c r="D147" i="2"/>
  <c r="C147" i="2"/>
  <c r="B147" i="2"/>
  <c r="E145" i="2"/>
  <c r="D145" i="2"/>
  <c r="C145" i="2"/>
  <c r="B145" i="2"/>
  <c r="E144" i="2"/>
  <c r="D144" i="2"/>
  <c r="C144" i="2"/>
  <c r="B144" i="2"/>
  <c r="E143" i="2"/>
  <c r="D143" i="2"/>
  <c r="C143" i="2"/>
  <c r="B143" i="2"/>
  <c r="E142" i="2"/>
  <c r="D142" i="2"/>
  <c r="C142" i="2"/>
  <c r="B142" i="2"/>
  <c r="E141" i="2"/>
  <c r="D141" i="2"/>
  <c r="C141" i="2"/>
  <c r="B141" i="2"/>
  <c r="E140" i="2"/>
  <c r="D140" i="2"/>
  <c r="C140" i="2"/>
  <c r="B140" i="2"/>
  <c r="E139" i="2"/>
  <c r="D139" i="2"/>
  <c r="C139" i="2"/>
  <c r="B139" i="2"/>
  <c r="E138" i="2"/>
  <c r="D138" i="2"/>
  <c r="C138" i="2"/>
  <c r="B138" i="2"/>
  <c r="E137" i="2"/>
  <c r="D137" i="2"/>
  <c r="C137" i="2"/>
  <c r="B137" i="2"/>
  <c r="E136" i="2"/>
  <c r="D136" i="2"/>
  <c r="C136" i="2"/>
  <c r="B136" i="2"/>
  <c r="E134" i="2"/>
  <c r="D134" i="2"/>
  <c r="C134" i="2"/>
  <c r="B134" i="2"/>
  <c r="E133" i="2"/>
  <c r="D133" i="2"/>
  <c r="C133" i="2"/>
  <c r="B133" i="2"/>
  <c r="E132" i="2"/>
  <c r="D132" i="2"/>
  <c r="C132" i="2"/>
  <c r="B132" i="2"/>
  <c r="E131" i="2"/>
  <c r="D131" i="2"/>
  <c r="C131" i="2"/>
  <c r="B131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E127" i="2"/>
  <c r="D127" i="2"/>
  <c r="C127" i="2"/>
  <c r="B127" i="2"/>
  <c r="E126" i="2"/>
  <c r="D126" i="2"/>
  <c r="C126" i="2"/>
  <c r="B126" i="2"/>
  <c r="E125" i="2"/>
  <c r="D125" i="2"/>
  <c r="C125" i="2"/>
  <c r="B125" i="2"/>
  <c r="E124" i="2"/>
  <c r="D124" i="2"/>
  <c r="C124" i="2"/>
  <c r="B124" i="2"/>
  <c r="E123" i="2"/>
  <c r="D123" i="2"/>
  <c r="C123" i="2"/>
  <c r="B123" i="2"/>
  <c r="E122" i="2"/>
  <c r="D122" i="2"/>
  <c r="C122" i="2"/>
  <c r="B122" i="2"/>
  <c r="E121" i="2"/>
  <c r="D121" i="2"/>
  <c r="C121" i="2"/>
  <c r="B121" i="2"/>
  <c r="E120" i="2"/>
  <c r="D120" i="2"/>
  <c r="C120" i="2"/>
  <c r="B120" i="2"/>
  <c r="E119" i="2"/>
  <c r="D119" i="2"/>
  <c r="C119" i="2"/>
  <c r="B119" i="2"/>
  <c r="E118" i="2"/>
  <c r="D118" i="2"/>
  <c r="C118" i="2"/>
  <c r="B118" i="2"/>
  <c r="E117" i="2"/>
  <c r="D117" i="2"/>
  <c r="C117" i="2"/>
  <c r="B117" i="2"/>
  <c r="E116" i="2"/>
  <c r="D116" i="2"/>
  <c r="C116" i="2"/>
  <c r="B116" i="2"/>
  <c r="E115" i="2"/>
  <c r="D115" i="2"/>
  <c r="C115" i="2"/>
  <c r="B115" i="2"/>
  <c r="E114" i="2"/>
  <c r="D114" i="2"/>
  <c r="C114" i="2"/>
  <c r="B114" i="2"/>
  <c r="E113" i="2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4" i="2"/>
  <c r="D74" i="2"/>
  <c r="C74" i="2"/>
  <c r="B74" i="2"/>
  <c r="E73" i="2"/>
  <c r="D73" i="2"/>
  <c r="C73" i="2"/>
  <c r="B73" i="2"/>
  <c r="E72" i="2"/>
  <c r="D72" i="2"/>
  <c r="C72" i="2"/>
  <c r="B72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E8" i="2"/>
  <c r="D8" i="2"/>
  <c r="C8" i="2"/>
  <c r="B8" i="2"/>
  <c r="AA73" i="4" l="1"/>
  <c r="Z73" i="4"/>
  <c r="AA72" i="4"/>
  <c r="Z72" i="4"/>
  <c r="AA71" i="4"/>
  <c r="Z71" i="4"/>
  <c r="AA70" i="4"/>
  <c r="Z70" i="4"/>
  <c r="AA69" i="4"/>
  <c r="Z69" i="4"/>
  <c r="AA67" i="4"/>
  <c r="Z67" i="4"/>
  <c r="AA66" i="4"/>
  <c r="Z66" i="4"/>
  <c r="AA65" i="4"/>
  <c r="AA68" i="4" s="1"/>
  <c r="Z65" i="4"/>
  <c r="Z68" i="4" s="1"/>
  <c r="AA62" i="4"/>
  <c r="Z62" i="4"/>
  <c r="AA61" i="4"/>
  <c r="Z61" i="4"/>
  <c r="AA60" i="4"/>
  <c r="Z60" i="4"/>
  <c r="AA59" i="4"/>
  <c r="Z59" i="4"/>
  <c r="AA58" i="4"/>
  <c r="Z58" i="4"/>
  <c r="AA57" i="4"/>
  <c r="Z57" i="4"/>
  <c r="AA53" i="4"/>
  <c r="Z53" i="4"/>
  <c r="Z63" i="4" l="1"/>
  <c r="AA63" i="4"/>
  <c r="AA41" i="4"/>
  <c r="Z41" i="4"/>
  <c r="AA40" i="4"/>
  <c r="Z40" i="4"/>
  <c r="AA11" i="4"/>
  <c r="Z11" i="4"/>
  <c r="AA10" i="4"/>
  <c r="Z10" i="4"/>
  <c r="Z23" i="4"/>
  <c r="AA23" i="4"/>
  <c r="Z22" i="4"/>
  <c r="AA22" i="4"/>
  <c r="A1" i="4" l="1"/>
  <c r="A1" i="6"/>
  <c r="A1" i="2"/>
  <c r="Z39" i="4"/>
  <c r="AA39" i="4"/>
  <c r="Z33" i="4"/>
  <c r="AA33" i="4"/>
  <c r="Z27" i="4"/>
  <c r="AA27" i="4"/>
  <c r="Z25" i="4"/>
  <c r="AA25" i="4"/>
  <c r="D5" i="4"/>
  <c r="F5" i="4" s="1"/>
  <c r="H5" i="4" s="1"/>
  <c r="J5" i="4" s="1"/>
  <c r="L5" i="4" s="1"/>
  <c r="N5" i="4" s="1"/>
  <c r="P5" i="4" s="1"/>
  <c r="R5" i="4" s="1"/>
  <c r="T5" i="4" s="1"/>
  <c r="V5" i="4" s="1"/>
  <c r="X5" i="4" s="1"/>
  <c r="D5" i="6"/>
  <c r="F5" i="6" s="1"/>
  <c r="B14" i="1"/>
  <c r="B26" i="1"/>
  <c r="B37" i="1"/>
  <c r="B39" i="1" s="1"/>
  <c r="B44" i="1"/>
  <c r="Z8" i="4"/>
  <c r="AA8" i="6"/>
  <c r="Z8" i="6"/>
  <c r="B27" i="1" l="1"/>
  <c r="H5" i="6"/>
  <c r="B45" i="1"/>
  <c r="Z26" i="4"/>
  <c r="AA26" i="4"/>
  <c r="Z134" i="6"/>
  <c r="AA134" i="6"/>
  <c r="Z133" i="6"/>
  <c r="Z47" i="4"/>
  <c r="AA47" i="4"/>
  <c r="Z31" i="4"/>
  <c r="AA31" i="4"/>
  <c r="AA8" i="4"/>
  <c r="Z9" i="4"/>
  <c r="AA9" i="4"/>
  <c r="Z12" i="4"/>
  <c r="AA12" i="4"/>
  <c r="Z13" i="4"/>
  <c r="AA13" i="4"/>
  <c r="Z14" i="4"/>
  <c r="AA14" i="4"/>
  <c r="Z15" i="4"/>
  <c r="AA15" i="4"/>
  <c r="Z16" i="4"/>
  <c r="AA16" i="4"/>
  <c r="Z17" i="4"/>
  <c r="AA17" i="4"/>
  <c r="Z18" i="4"/>
  <c r="AA18" i="4"/>
  <c r="Z19" i="4"/>
  <c r="AA19" i="4"/>
  <c r="Z20" i="4"/>
  <c r="AA20" i="4"/>
  <c r="Z21" i="4"/>
  <c r="AA21" i="4"/>
  <c r="Z24" i="4"/>
  <c r="AA24" i="4"/>
  <c r="Z28" i="4"/>
  <c r="AA28" i="4"/>
  <c r="Z29" i="4"/>
  <c r="AA29" i="4"/>
  <c r="Z30" i="4"/>
  <c r="AA30" i="4"/>
  <c r="Z32" i="4"/>
  <c r="AA32" i="4"/>
  <c r="Z34" i="4"/>
  <c r="AA34" i="4"/>
  <c r="Z35" i="4"/>
  <c r="AA35" i="4"/>
  <c r="Z36" i="4"/>
  <c r="AA36" i="4"/>
  <c r="Z37" i="4"/>
  <c r="AA37" i="4"/>
  <c r="Z38" i="4"/>
  <c r="AA38" i="4"/>
  <c r="Z42" i="4"/>
  <c r="AA42" i="4"/>
  <c r="Z43" i="4"/>
  <c r="AA43" i="4"/>
  <c r="Z44" i="4"/>
  <c r="AA44" i="4"/>
  <c r="Z45" i="4"/>
  <c r="AA45" i="4"/>
  <c r="Z46" i="4"/>
  <c r="AA46" i="4"/>
  <c r="D46" i="1" l="1"/>
  <c r="J5" i="6"/>
  <c r="L5" i="6" s="1"/>
  <c r="N5" i="6" s="1"/>
  <c r="P5" i="6" s="1"/>
  <c r="R5" i="6" s="1"/>
  <c r="T5" i="6" s="1"/>
  <c r="V5" i="6" s="1"/>
  <c r="X5" i="6" s="1"/>
  <c r="AA48" i="4"/>
  <c r="Z48" i="4"/>
  <c r="AA52" i="4"/>
  <c r="AA51" i="4"/>
  <c r="AA50" i="4"/>
  <c r="AA9" i="6"/>
  <c r="Z64" i="6"/>
  <c r="AA21" i="6"/>
  <c r="AA30" i="6"/>
  <c r="Z30" i="6"/>
  <c r="AA53" i="6"/>
  <c r="Z53" i="6"/>
  <c r="AA64" i="6"/>
  <c r="AA70" i="6"/>
  <c r="Z70" i="6"/>
  <c r="AA74" i="6"/>
  <c r="Z74" i="6"/>
  <c r="AA99" i="6"/>
  <c r="Z99" i="6"/>
  <c r="AA107" i="6"/>
  <c r="Z107" i="6"/>
  <c r="AA144" i="6"/>
  <c r="Z144" i="6"/>
  <c r="AA147" i="6"/>
  <c r="AA145" i="6"/>
  <c r="AA20" i="6"/>
  <c r="AA19" i="6"/>
  <c r="AA18" i="6"/>
  <c r="AA17" i="6"/>
  <c r="AA16" i="6"/>
  <c r="AA15" i="6"/>
  <c r="AA14" i="6"/>
  <c r="AA13" i="6"/>
  <c r="AA12" i="6"/>
  <c r="AA11" i="6"/>
  <c r="AA10" i="6"/>
  <c r="Z20" i="6"/>
  <c r="Z19" i="6"/>
  <c r="Z18" i="6"/>
  <c r="Z17" i="6"/>
  <c r="Z16" i="6"/>
  <c r="Z15" i="6"/>
  <c r="Z14" i="6"/>
  <c r="Z13" i="6"/>
  <c r="Z12" i="6"/>
  <c r="Z11" i="6"/>
  <c r="Z10" i="6"/>
  <c r="Z9" i="6"/>
  <c r="AA143" i="6"/>
  <c r="Z143" i="6"/>
  <c r="AA142" i="6"/>
  <c r="Z142" i="6"/>
  <c r="AA141" i="6"/>
  <c r="Z141" i="6"/>
  <c r="AA140" i="6"/>
  <c r="Z140" i="6"/>
  <c r="AA139" i="6"/>
  <c r="Z139" i="6"/>
  <c r="AA138" i="6"/>
  <c r="Z138" i="6"/>
  <c r="AA137" i="6"/>
  <c r="Z137" i="6"/>
  <c r="AA136" i="6"/>
  <c r="Z136" i="6"/>
  <c r="AA133" i="6"/>
  <c r="AA132" i="6"/>
  <c r="Z132" i="6"/>
  <c r="AA131" i="6"/>
  <c r="Z131" i="6"/>
  <c r="AA130" i="6"/>
  <c r="Z130" i="6"/>
  <c r="AA129" i="6"/>
  <c r="Z129" i="6"/>
  <c r="AA128" i="6"/>
  <c r="Z128" i="6"/>
  <c r="AA127" i="6"/>
  <c r="Z127" i="6"/>
  <c r="AA126" i="6"/>
  <c r="Z126" i="6"/>
  <c r="AA125" i="6"/>
  <c r="Z125" i="6"/>
  <c r="AA124" i="6"/>
  <c r="Z124" i="6"/>
  <c r="AA123" i="6"/>
  <c r="Z123" i="6"/>
  <c r="AA122" i="6"/>
  <c r="Z122" i="6"/>
  <c r="AA121" i="6"/>
  <c r="Z121" i="6"/>
  <c r="AA120" i="6"/>
  <c r="Z120" i="6"/>
  <c r="AA119" i="6"/>
  <c r="Z119" i="6"/>
  <c r="AA118" i="6"/>
  <c r="Z118" i="6"/>
  <c r="AA117" i="6"/>
  <c r="Z117" i="6"/>
  <c r="AA116" i="6"/>
  <c r="Z116" i="6"/>
  <c r="AA115" i="6"/>
  <c r="Z115" i="6"/>
  <c r="AA114" i="6"/>
  <c r="Z114" i="6"/>
  <c r="AA113" i="6"/>
  <c r="Z113" i="6"/>
  <c r="AA112" i="6"/>
  <c r="Z112" i="6"/>
  <c r="AA111" i="6"/>
  <c r="Z111" i="6"/>
  <c r="AA110" i="6"/>
  <c r="Z110" i="6"/>
  <c r="AA109" i="6"/>
  <c r="Z109" i="6"/>
  <c r="AA106" i="6"/>
  <c r="Z106" i="6"/>
  <c r="AA105" i="6"/>
  <c r="Z105" i="6"/>
  <c r="AA104" i="6"/>
  <c r="Z104" i="6"/>
  <c r="AA103" i="6"/>
  <c r="Z103" i="6"/>
  <c r="AA102" i="6"/>
  <c r="Z102" i="6"/>
  <c r="AA101" i="6"/>
  <c r="Z101" i="6"/>
  <c r="AA98" i="6"/>
  <c r="Z98" i="6"/>
  <c r="AA97" i="6"/>
  <c r="Z97" i="6"/>
  <c r="AA96" i="6"/>
  <c r="Z96" i="6"/>
  <c r="AA95" i="6"/>
  <c r="Z95" i="6"/>
  <c r="AA94" i="6"/>
  <c r="Z94" i="6"/>
  <c r="AA93" i="6"/>
  <c r="Z93" i="6"/>
  <c r="AA90" i="6"/>
  <c r="Z90" i="6"/>
  <c r="AA89" i="6"/>
  <c r="Z89" i="6"/>
  <c r="AA88" i="6"/>
  <c r="Z88" i="6"/>
  <c r="AA87" i="6"/>
  <c r="Z87" i="6"/>
  <c r="AA86" i="6"/>
  <c r="Z86" i="6"/>
  <c r="AA85" i="6"/>
  <c r="Z85" i="6"/>
  <c r="AA84" i="6"/>
  <c r="Z84" i="6"/>
  <c r="AA83" i="6"/>
  <c r="Z83" i="6"/>
  <c r="AA82" i="6"/>
  <c r="Z82" i="6"/>
  <c r="AA81" i="6"/>
  <c r="Z81" i="6"/>
  <c r="AA80" i="6"/>
  <c r="Z80" i="6"/>
  <c r="AA79" i="6"/>
  <c r="Z79" i="6"/>
  <c r="AA78" i="6"/>
  <c r="Z78" i="6"/>
  <c r="AA77" i="6"/>
  <c r="Z77" i="6"/>
  <c r="AA76" i="6"/>
  <c r="Z76" i="6"/>
  <c r="AA73" i="6"/>
  <c r="Z73" i="6"/>
  <c r="AA72" i="6"/>
  <c r="Z72" i="6"/>
  <c r="AA69" i="6"/>
  <c r="Z69" i="6"/>
  <c r="AA68" i="6"/>
  <c r="Z68" i="6"/>
  <c r="AA67" i="6"/>
  <c r="Z67" i="6"/>
  <c r="AA66" i="6"/>
  <c r="Z66" i="6"/>
  <c r="AA63" i="6"/>
  <c r="Z63" i="6"/>
  <c r="AA62" i="6"/>
  <c r="Z62" i="6"/>
  <c r="AA61" i="6"/>
  <c r="Z61" i="6"/>
  <c r="AA60" i="6"/>
  <c r="Z60" i="6"/>
  <c r="AA59" i="6"/>
  <c r="Z59" i="6"/>
  <c r="AA58" i="6"/>
  <c r="Z58" i="6"/>
  <c r="AA57" i="6"/>
  <c r="Z57" i="6"/>
  <c r="AA56" i="6"/>
  <c r="Z56" i="6"/>
  <c r="AA55" i="6"/>
  <c r="Z55" i="6"/>
  <c r="AA52" i="6"/>
  <c r="Z52" i="6"/>
  <c r="AA51" i="6"/>
  <c r="Z51" i="6"/>
  <c r="AA50" i="6"/>
  <c r="Z50" i="6"/>
  <c r="AA49" i="6"/>
  <c r="Z49" i="6"/>
  <c r="AA48" i="6"/>
  <c r="Z48" i="6"/>
  <c r="AA47" i="6"/>
  <c r="Z47" i="6"/>
  <c r="AA46" i="6"/>
  <c r="Z46" i="6"/>
  <c r="AA45" i="6"/>
  <c r="Z45" i="6"/>
  <c r="AA44" i="6"/>
  <c r="Z44" i="6"/>
  <c r="AA43" i="6"/>
  <c r="Z43" i="6"/>
  <c r="AA42" i="6"/>
  <c r="Z42" i="6"/>
  <c r="AA41" i="6"/>
  <c r="Z41" i="6"/>
  <c r="AA40" i="6"/>
  <c r="Z40" i="6"/>
  <c r="AA39" i="6"/>
  <c r="Z39" i="6"/>
  <c r="AA38" i="6"/>
  <c r="Z38" i="6"/>
  <c r="AA37" i="6"/>
  <c r="Z37" i="6"/>
  <c r="AA36" i="6"/>
  <c r="Z36" i="6"/>
  <c r="AA35" i="6"/>
  <c r="Z35" i="6"/>
  <c r="AA34" i="6"/>
  <c r="Z34" i="6"/>
  <c r="AA33" i="6"/>
  <c r="Z33" i="6"/>
  <c r="AA32" i="6"/>
  <c r="Z32" i="6"/>
  <c r="Z29" i="6"/>
  <c r="Z28" i="6"/>
  <c r="Z27" i="6"/>
  <c r="Z26" i="6"/>
  <c r="Z25" i="6"/>
  <c r="Z24" i="6"/>
  <c r="Z23" i="6"/>
  <c r="Z21" i="6"/>
  <c r="Z52" i="4"/>
  <c r="Z51" i="4"/>
  <c r="Z50" i="4"/>
  <c r="Z54" i="4" s="1"/>
  <c r="Z55" i="4" l="1"/>
  <c r="AA54" i="4"/>
  <c r="AA55" i="4" s="1"/>
  <c r="AA91" i="6"/>
  <c r="Z91" i="6"/>
  <c r="Z147" i="6" l="1"/>
  <c r="Z14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<sst xmlns="http://schemas.openxmlformats.org/spreadsheetml/2006/main" count="1108" uniqueCount="364">
  <si>
    <t>Balance Sheet Analysis</t>
  </si>
  <si>
    <t>CURRENT PERIOD</t>
  </si>
  <si>
    <t>Actual $</t>
  </si>
  <si>
    <t>Current Assets</t>
  </si>
  <si>
    <t>TOTAL Current Assets</t>
  </si>
  <si>
    <t>Fixed Assets</t>
  </si>
  <si>
    <t>TOTAL Fixed Assets</t>
  </si>
  <si>
    <t>Total Assets</t>
  </si>
  <si>
    <t>Current Liabilities</t>
  </si>
  <si>
    <t>TOTAL Current Liabilities</t>
  </si>
  <si>
    <t>Long Term Liabilities</t>
  </si>
  <si>
    <t>TOTAL Liabilities</t>
  </si>
  <si>
    <t>Equity</t>
  </si>
  <si>
    <t>TOTAL Equity</t>
  </si>
  <si>
    <t>Total Liabilities and Equity</t>
  </si>
  <si>
    <t>TOTALS</t>
  </si>
  <si>
    <t>Actual / Day</t>
  </si>
  <si>
    <t>Revenue</t>
  </si>
  <si>
    <t>-</t>
  </si>
  <si>
    <t>TOTAL Revenue</t>
  </si>
  <si>
    <t>Patient Days</t>
  </si>
  <si>
    <t>TOTAL Patient Days</t>
  </si>
  <si>
    <t>Nursing &amp; Medical</t>
  </si>
  <si>
    <t>TOTAL Nursing &amp; Medical</t>
  </si>
  <si>
    <t>Therapy &amp; Ancillary Services</t>
  </si>
  <si>
    <t>TOTAL Therapy &amp; Ancillary Services</t>
  </si>
  <si>
    <t>Social Services</t>
  </si>
  <si>
    <t>TOTAL Social Services</t>
  </si>
  <si>
    <t>Leisure Time &amp; Activities</t>
  </si>
  <si>
    <t>TOTAL Leisure Time &amp; Activities</t>
  </si>
  <si>
    <t>House &amp; Plant Costs</t>
  </si>
  <si>
    <t>TOTAL House &amp; Plant Costs</t>
  </si>
  <si>
    <t>Food &amp; Nutrition</t>
  </si>
  <si>
    <t>TOTAL Food &amp; Nutrition</t>
  </si>
  <si>
    <t>Employee Welfare Costs</t>
  </si>
  <si>
    <t>TOTAL Employee Welfare Costs</t>
  </si>
  <si>
    <t>General &amp; Administrative</t>
  </si>
  <si>
    <t>TOTAL General &amp; Administrative</t>
  </si>
  <si>
    <t>Capital Costs</t>
  </si>
  <si>
    <t>TOTAL Capital Costs</t>
  </si>
  <si>
    <t>Total Expenses</t>
  </si>
  <si>
    <t>Net Income - (Loss)</t>
  </si>
  <si>
    <t>Payroll Summary</t>
  </si>
  <si>
    <t>TOTAL Payroll Summary</t>
  </si>
  <si>
    <t>Payroll Taxes Detail</t>
  </si>
  <si>
    <t>TOTAL Payroll Taxes Detail</t>
  </si>
  <si>
    <t>Agency Detail</t>
  </si>
  <si>
    <t>TOTAL Agency Detail</t>
  </si>
  <si>
    <t>Total Labor</t>
  </si>
  <si>
    <t>Income Statement Detail</t>
  </si>
  <si>
    <t>YEAR TO DATE</t>
  </si>
  <si>
    <t>Income Statement Detail Trending</t>
  </si>
  <si>
    <t>Payroll Summary Detail Trending</t>
  </si>
  <si>
    <t>Empire Detail</t>
  </si>
  <si>
    <t>TOTAL Empire Detail</t>
  </si>
  <si>
    <t>Total Labor and Agency</t>
  </si>
  <si>
    <t>Total Labor and Empire</t>
  </si>
  <si>
    <t xml:space="preserve">   P/R Administrator</t>
  </si>
  <si>
    <t xml:space="preserve">   P/R Administrator Covid</t>
  </si>
  <si>
    <t xml:space="preserve">   P/R Assistant Admin Covid</t>
  </si>
  <si>
    <t xml:space="preserve">   P/R Assistant Administrator</t>
  </si>
  <si>
    <t xml:space="preserve">   P/R DON</t>
  </si>
  <si>
    <t xml:space="preserve">   P/R DON Covid</t>
  </si>
  <si>
    <t xml:space="preserve">   P/R ADON</t>
  </si>
  <si>
    <t xml:space="preserve">   P/R ADON Covid</t>
  </si>
  <si>
    <t xml:space="preserve">   P/R RN</t>
  </si>
  <si>
    <t xml:space="preserve">   P/R RN Covid</t>
  </si>
  <si>
    <t xml:space="preserve">   P/R LPN</t>
  </si>
  <si>
    <t xml:space="preserve">   P/R LPN Covid</t>
  </si>
  <si>
    <t xml:space="preserve">   P/R CNA</t>
  </si>
  <si>
    <t xml:space="preserve">   P/R CNA Covid</t>
  </si>
  <si>
    <t xml:space="preserve">   P/R QMA</t>
  </si>
  <si>
    <t xml:space="preserve">   P/R QMA Covid</t>
  </si>
  <si>
    <t xml:space="preserve">   P/R MDS</t>
  </si>
  <si>
    <t xml:space="preserve">   P/R MDS Covid</t>
  </si>
  <si>
    <t xml:space="preserve">   P/R Medical Records</t>
  </si>
  <si>
    <t xml:space="preserve">   P/R Medical Records Covid</t>
  </si>
  <si>
    <t xml:space="preserve">   P/R Activities</t>
  </si>
  <si>
    <t xml:space="preserve">   P/R Activities Covid</t>
  </si>
  <si>
    <t xml:space="preserve">   P/R Social Services</t>
  </si>
  <si>
    <t xml:space="preserve">   P/R Social Services Covid</t>
  </si>
  <si>
    <t xml:space="preserve">   P/R BOM</t>
  </si>
  <si>
    <t xml:space="preserve">   P/R BOM Covid</t>
  </si>
  <si>
    <t xml:space="preserve">   P/R Office</t>
  </si>
  <si>
    <t xml:space="preserve">   P/R Office Covid</t>
  </si>
  <si>
    <t xml:space="preserve">   P/R Housekeeping</t>
  </si>
  <si>
    <t xml:space="preserve">   P/R Housekeeping Covid</t>
  </si>
  <si>
    <t xml:space="preserve">   P/R Laundry</t>
  </si>
  <si>
    <t xml:space="preserve">   P/R Laundry Covid</t>
  </si>
  <si>
    <t xml:space="preserve">   P/R Security Covid</t>
  </si>
  <si>
    <t xml:space="preserve">   P/R Security</t>
  </si>
  <si>
    <t xml:space="preserve">   P/R Dietary</t>
  </si>
  <si>
    <t xml:space="preserve">   P/R Dietary Covid</t>
  </si>
  <si>
    <t xml:space="preserve">   P/R Maintenance</t>
  </si>
  <si>
    <t xml:space="preserve">   P/R Maintenance Covid</t>
  </si>
  <si>
    <t xml:space="preserve">   P/R Admissions</t>
  </si>
  <si>
    <t xml:space="preserve">   P/R Admissions Covid</t>
  </si>
  <si>
    <t xml:space="preserve">   FICA</t>
  </si>
  <si>
    <t xml:space="preserve">   State Unemployment</t>
  </si>
  <si>
    <t xml:space="preserve">   Federal Unemployment</t>
  </si>
  <si>
    <t xml:space="preserve">   Payroll Taxes - Other</t>
  </si>
  <si>
    <t>Total Payroll</t>
  </si>
  <si>
    <t xml:space="preserve">   Agency Salaries - RN</t>
  </si>
  <si>
    <t xml:space="preserve">   Covid Agency Salaries - RN</t>
  </si>
  <si>
    <t xml:space="preserve">   Agency Salaries - LPN</t>
  </si>
  <si>
    <t xml:space="preserve">   Covid Agency Salaries - LPN</t>
  </si>
  <si>
    <t xml:space="preserve">   Agency Salaries - CNA</t>
  </si>
  <si>
    <t xml:space="preserve">   Covid Agency Salaries - CNA</t>
  </si>
  <si>
    <t xml:space="preserve">   Empire Staffing Salaries RN</t>
  </si>
  <si>
    <t xml:space="preserve">   Empire Staffing Salaries LPN</t>
  </si>
  <si>
    <t xml:space="preserve">   Empire Staffing Salaries CNA</t>
  </si>
  <si>
    <t>Total Labor + Agency + Empire</t>
  </si>
  <si>
    <t>Grand Total Costs including Tax</t>
  </si>
  <si>
    <t xml:space="preserve">   Medicaid</t>
  </si>
  <si>
    <t xml:space="preserve">   Hospice</t>
  </si>
  <si>
    <t xml:space="preserve">   Medicare A</t>
  </si>
  <si>
    <t xml:space="preserve">   Commercial Insurance</t>
  </si>
  <si>
    <t xml:space="preserve">   Private Pay</t>
  </si>
  <si>
    <t xml:space="preserve">   Veteran Affairs</t>
  </si>
  <si>
    <t xml:space="preserve">   Medicare / Managed Care B</t>
  </si>
  <si>
    <t xml:space="preserve">   Private Pay Independent Living</t>
  </si>
  <si>
    <t xml:space="preserve">   Home Care Income</t>
  </si>
  <si>
    <t xml:space="preserve">   Daily Training Program</t>
  </si>
  <si>
    <t xml:space="preserve">   Other</t>
  </si>
  <si>
    <t xml:space="preserve">   Stimulus Income</t>
  </si>
  <si>
    <t xml:space="preserve">   Incentive Payments</t>
  </si>
  <si>
    <t xml:space="preserve">   Independent Living</t>
  </si>
  <si>
    <t xml:space="preserve">   Director Of Nursing</t>
  </si>
  <si>
    <t xml:space="preserve">   Assistant Director Of Nursing</t>
  </si>
  <si>
    <t xml:space="preserve">   Payroll RN</t>
  </si>
  <si>
    <t xml:space="preserve">   Payroll LPN</t>
  </si>
  <si>
    <t xml:space="preserve">   Payroll Aides &amp; Orderlies</t>
  </si>
  <si>
    <t xml:space="preserve">   Payroll Nursing Clerical</t>
  </si>
  <si>
    <t xml:space="preserve">   Payroll Medical Records</t>
  </si>
  <si>
    <t xml:space="preserve">   Contract RN</t>
  </si>
  <si>
    <t xml:space="preserve">   Contract LPN</t>
  </si>
  <si>
    <t xml:space="preserve">   Contract Aides &amp; Orderlies</t>
  </si>
  <si>
    <t xml:space="preserve">   Medical Supplies</t>
  </si>
  <si>
    <t xml:space="preserve">   Covid-19 Medical Supplies</t>
  </si>
  <si>
    <t xml:space="preserve">   Nurse Consultant</t>
  </si>
  <si>
    <t xml:space="preserve">   Medical Director</t>
  </si>
  <si>
    <t xml:space="preserve">   Covid-19 Telehealth</t>
  </si>
  <si>
    <t xml:space="preserve">   Drugs House Stock</t>
  </si>
  <si>
    <t xml:space="preserve">   Drugs Other</t>
  </si>
  <si>
    <t xml:space="preserve">   DME Rental</t>
  </si>
  <si>
    <t xml:space="preserve">   Oxygen</t>
  </si>
  <si>
    <t xml:space="preserve">   Ambulance Expense</t>
  </si>
  <si>
    <t xml:space="preserve">   Respiratory Supplies</t>
  </si>
  <si>
    <t xml:space="preserve">   Physical Therapy Services</t>
  </si>
  <si>
    <t xml:space="preserve">   Occupational Therapy Services</t>
  </si>
  <si>
    <t xml:space="preserve">   Speech Therapy Services</t>
  </si>
  <si>
    <t xml:space="preserve">   Pharmacy Consultant</t>
  </si>
  <si>
    <t xml:space="preserve">   RX Drugs</t>
  </si>
  <si>
    <t xml:space="preserve">   Drugs Managed Care</t>
  </si>
  <si>
    <t xml:space="preserve">   VA - Drugs</t>
  </si>
  <si>
    <t xml:space="preserve">   Radiology</t>
  </si>
  <si>
    <t xml:space="preserve">   Laboratory</t>
  </si>
  <si>
    <t xml:space="preserve">   Payroll Social Services</t>
  </si>
  <si>
    <t xml:space="preserve">   Payroll Admissions</t>
  </si>
  <si>
    <t xml:space="preserve">   Social Service Supplies</t>
  </si>
  <si>
    <t xml:space="preserve">   Social Service Consultant</t>
  </si>
  <si>
    <t xml:space="preserve">   Payroll Activity</t>
  </si>
  <si>
    <t xml:space="preserve">   Activity Supplies</t>
  </si>
  <si>
    <t xml:space="preserve">   Payroll Housekeeping</t>
  </si>
  <si>
    <t xml:space="preserve">   Payroll Laundry</t>
  </si>
  <si>
    <t xml:space="preserve">   Payroll Maintenance</t>
  </si>
  <si>
    <t xml:space="preserve">   Payroll Security</t>
  </si>
  <si>
    <t xml:space="preserve">   Housekeeping Supplies</t>
  </si>
  <si>
    <t xml:space="preserve">   Covid-19 Housekeeping Supplies</t>
  </si>
  <si>
    <t xml:space="preserve">   Laundry Supplies</t>
  </si>
  <si>
    <t xml:space="preserve">   Linen Replacement</t>
  </si>
  <si>
    <t xml:space="preserve">   Maintenance Supplies</t>
  </si>
  <si>
    <t xml:space="preserve">   Maintenance Services</t>
  </si>
  <si>
    <t xml:space="preserve">   Lawn &amp; Snow Removal Services</t>
  </si>
  <si>
    <t xml:space="preserve">   Scavenger</t>
  </si>
  <si>
    <t xml:space="preserve">   Exterminator</t>
  </si>
  <si>
    <t xml:space="preserve">   Electric &amp; Gas</t>
  </si>
  <si>
    <t xml:space="preserve">   Water &amp; Sewer</t>
  </si>
  <si>
    <t xml:space="preserve">   Payroll Dietary</t>
  </si>
  <si>
    <t xml:space="preserve">   Food</t>
  </si>
  <si>
    <t xml:space="preserve">   Food Supplements</t>
  </si>
  <si>
    <t xml:space="preserve">   Dietary Supplies</t>
  </si>
  <si>
    <t xml:space="preserve">   Covid-19 Dietary Supplies</t>
  </si>
  <si>
    <t xml:space="preserve">   Dietary Consultant</t>
  </si>
  <si>
    <t xml:space="preserve">   Payroll Taxes</t>
  </si>
  <si>
    <t xml:space="preserve">   Workmans Comp Insurance</t>
  </si>
  <si>
    <t xml:space="preserve">   Employee Benefits</t>
  </si>
  <si>
    <t xml:space="preserve">   Employee Insurance</t>
  </si>
  <si>
    <t xml:space="preserve">   Education &amp; Seminars</t>
  </si>
  <si>
    <t xml:space="preserve">   Pension</t>
  </si>
  <si>
    <t xml:space="preserve">   Payroll Administrative</t>
  </si>
  <si>
    <t xml:space="preserve">   Payroll Office</t>
  </si>
  <si>
    <t xml:space="preserve">   Payroll Marketing</t>
  </si>
  <si>
    <t xml:space="preserve">   Marketing Consultant</t>
  </si>
  <si>
    <t xml:space="preserve">   General Insurance</t>
  </si>
  <si>
    <t xml:space="preserve">   Office Supplies</t>
  </si>
  <si>
    <t xml:space="preserve">   Office Rental Equipment</t>
  </si>
  <si>
    <t xml:space="preserve">   Contributions</t>
  </si>
  <si>
    <t xml:space="preserve">   Licensing Fee</t>
  </si>
  <si>
    <t xml:space="preserve">   Telephone &amp; Cable</t>
  </si>
  <si>
    <t xml:space="preserve">   Dues &amp; Subscriptions</t>
  </si>
  <si>
    <t xml:space="preserve">   Auto &amp; Travel</t>
  </si>
  <si>
    <t xml:space="preserve">   Bank Charges</t>
  </si>
  <si>
    <t xml:space="preserve">   Interest Charges</t>
  </si>
  <si>
    <t xml:space="preserve">   Classified Ads</t>
  </si>
  <si>
    <t xml:space="preserve">   Management Fees</t>
  </si>
  <si>
    <t xml:space="preserve">   Accounting Fees</t>
  </si>
  <si>
    <t xml:space="preserve">   Legal Fees</t>
  </si>
  <si>
    <t xml:space="preserve">   Professional Fees</t>
  </si>
  <si>
    <t xml:space="preserve">   IT Services</t>
  </si>
  <si>
    <t xml:space="preserve">   Covid-19 Technology Equipment</t>
  </si>
  <si>
    <t xml:space="preserve">   Promotions</t>
  </si>
  <si>
    <t xml:space="preserve">   Penalties</t>
  </si>
  <si>
    <t xml:space="preserve">   Assessment</t>
  </si>
  <si>
    <t xml:space="preserve">   Bad Debt</t>
  </si>
  <si>
    <t xml:space="preserve">   Rent</t>
  </si>
  <si>
    <t xml:space="preserve">   Real Estate Taxes</t>
  </si>
  <si>
    <t xml:space="preserve">   Property Insurance</t>
  </si>
  <si>
    <t xml:space="preserve">   Depreciation &amp; Amortization</t>
  </si>
  <si>
    <t xml:space="preserve">   Interest</t>
  </si>
  <si>
    <t xml:space="preserve">   Personal Property Taxes</t>
  </si>
  <si>
    <t xml:space="preserve">   Replacement Tax</t>
  </si>
  <si>
    <t xml:space="preserve">   Passthrough Tax Payments</t>
  </si>
  <si>
    <t>Intercompany Receivable - Accounts</t>
  </si>
  <si>
    <t>Balance</t>
  </si>
  <si>
    <t xml:space="preserve">   Cash</t>
  </si>
  <si>
    <t xml:space="preserve">   Accounts Receivable</t>
  </si>
  <si>
    <t xml:space="preserve">   Allowance for Doubtful Account</t>
  </si>
  <si>
    <t> Due to/From Prior Owner</t>
  </si>
  <si>
    <t xml:space="preserve">   Prepaid Expense</t>
  </si>
  <si>
    <t> Due to/from Waverly</t>
  </si>
  <si>
    <t xml:space="preserve">   Intercompany Receivable</t>
  </si>
  <si>
    <t> Due To/From Allure</t>
  </si>
  <si>
    <t xml:space="preserve">   Other Current Assets</t>
  </si>
  <si>
    <t> Due To/From Affiliate</t>
  </si>
  <si>
    <t> Due To/From Galesburg</t>
  </si>
  <si>
    <t> Due To/From Galesburg Prop</t>
  </si>
  <si>
    <t xml:space="preserve">   Building and Land</t>
  </si>
  <si>
    <t> Due To/From Geneseo SNF</t>
  </si>
  <si>
    <t xml:space="preserve">   Equipment</t>
  </si>
  <si>
    <t> Due To/From Geneseo ILF</t>
  </si>
  <si>
    <t xml:space="preserve">   Furniture and Fixtures</t>
  </si>
  <si>
    <t> Due To/From Geneseo Prop</t>
  </si>
  <si>
    <t xml:space="preserve">   Leasehold Improvements</t>
  </si>
  <si>
    <t> Due To/From Knox County</t>
  </si>
  <si>
    <t xml:space="preserve">   CIP - Leasehold Improvements</t>
  </si>
  <si>
    <t> Due To/From Lake Storey</t>
  </si>
  <si>
    <t xml:space="preserve">   Vehicles</t>
  </si>
  <si>
    <t> Due To/From Lake Storey Prop</t>
  </si>
  <si>
    <t xml:space="preserve">   Organization Costs</t>
  </si>
  <si>
    <t> Due To/From Mendota</t>
  </si>
  <si>
    <t xml:space="preserve">   Loan Costs</t>
  </si>
  <si>
    <t> Due To/From Moline</t>
  </si>
  <si>
    <t xml:space="preserve">   Less Accumulated Depreciation</t>
  </si>
  <si>
    <t> Due To/From Moline Prop</t>
  </si>
  <si>
    <t xml:space="preserve">   Replacement Reserve</t>
  </si>
  <si>
    <t> Due To/From Mt Carrol</t>
  </si>
  <si>
    <t> Due To/From Mt Carrol Prop</t>
  </si>
  <si>
    <t> Due To/From Peru</t>
  </si>
  <si>
    <t> Due To/From Pinecrest SNF</t>
  </si>
  <si>
    <t xml:space="preserve">   Accounts Payable</t>
  </si>
  <si>
    <t> Due To/From Pinecrest ILF</t>
  </si>
  <si>
    <t xml:space="preserve">   Credit Card Payable</t>
  </si>
  <si>
    <t> Due To/From Pinecrest Prop</t>
  </si>
  <si>
    <t xml:space="preserve">   Accrued Expenses</t>
  </si>
  <si>
    <t> Due To/From Prophetstown SNF</t>
  </si>
  <si>
    <t> Due To/From Prophetstown ILF</t>
  </si>
  <si>
    <t> Due To/From Prophetstown Prop</t>
  </si>
  <si>
    <t> Due To/From Quad Cities</t>
  </si>
  <si>
    <t xml:space="preserve">   Line of Credit</t>
  </si>
  <si>
    <t> Due To/From Sterling</t>
  </si>
  <si>
    <t xml:space="preserve">   Other Current Liabilities</t>
  </si>
  <si>
    <t> Due To/From Sterling Prop</t>
  </si>
  <si>
    <t xml:space="preserve">   Resident Security Deposits</t>
  </si>
  <si>
    <t> Due To/From Stockton</t>
  </si>
  <si>
    <t> Due To/From Stockton Prop</t>
  </si>
  <si>
    <t> Due To/From Walnut</t>
  </si>
  <si>
    <t> Due To/From Zion SNF</t>
  </si>
  <si>
    <t xml:space="preserve">   Equity</t>
  </si>
  <si>
    <t> Due To/From Zion ALF</t>
  </si>
  <si>
    <t xml:space="preserve">   Distributions</t>
  </si>
  <si>
    <t> Due To/From Zion SNF Prop</t>
  </si>
  <si>
    <t> Due To/From Astoria Cambridge</t>
  </si>
  <si>
    <t xml:space="preserve">   Net Income</t>
  </si>
  <si>
    <t> Due To/From Barnesville</t>
  </si>
  <si>
    <t> Due To/From Bellwood</t>
  </si>
  <si>
    <t> Due To/From Bellwood Prop</t>
  </si>
  <si>
    <t> Due To/From Crestview</t>
  </si>
  <si>
    <t> Due To/From Crestview Apartmen</t>
  </si>
  <si>
    <t> Due To/From Crestview Homecare</t>
  </si>
  <si>
    <t>Quick Calculations</t>
  </si>
  <si>
    <t xml:space="preserve">   Payroll Accruals and Liabilities</t>
  </si>
  <si>
    <t> Due To/From Crestview Prop</t>
  </si>
  <si>
    <t> Due To/From Crestview ALF Prop</t>
  </si>
  <si>
    <t> Due To/From Empire Medical</t>
  </si>
  <si>
    <t> Due To/From Ohio Homes</t>
  </si>
  <si>
    <t> Due To/From Red Carpet</t>
  </si>
  <si>
    <t> Due To/From Universal Manageme</t>
  </si>
  <si>
    <t> Due To/From Tress</t>
  </si>
  <si>
    <t> Due To/From Knox County Prop</t>
  </si>
  <si>
    <t> Due To/From Quad Cities Prop</t>
  </si>
  <si>
    <t> Due To/From Zion SLF Prop</t>
  </si>
  <si>
    <t>Calculation</t>
  </si>
  <si>
    <t>Intercompany Payable</t>
  </si>
  <si>
    <t>Intercompany Receivable</t>
  </si>
  <si>
    <t xml:space="preserve">   Intercompany Payable</t>
  </si>
  <si>
    <t>Date Calculation</t>
  </si>
  <si>
    <t>?"Date: May 8</t>
  </si>
  <si>
    <t xml:space="preserve"> 2026"</t>
  </si>
  <si>
    <t>Allure of Peru</t>
  </si>
  <si>
    <t>Facility #IL6004303</t>
  </si>
  <si>
    <t>Time: 12:07:07 EDT</t>
  </si>
  <si>
    <t>User: Roth - Tracy Morkunas</t>
  </si>
  <si>
    <t>As Of 12/31/2025</t>
  </si>
  <si>
    <t xml:space="preserve">Include Adjustment Periods: NO </t>
  </si>
  <si>
    <t>Include Closing Periods: NO</t>
  </si>
  <si>
    <t>CURRENT PERIOD_Actual $</t>
  </si>
  <si>
    <t xml:space="preserve">   Accrued Payroll</t>
  </si>
  <si>
    <t xml:space="preserve">   Accrued Benefits</t>
  </si>
  <si>
    <t xml:space="preserve">   Payroll Liabilites</t>
  </si>
  <si>
    <t xml:space="preserve">      Net Income - (Loss)</t>
  </si>
  <si>
    <t> $0.00</t>
  </si>
  <si>
    <t> $938,209.79</t>
  </si>
  <si>
    <t> ($157,039.88)</t>
  </si>
  <si>
    <t> ($600,000.00)</t>
  </si>
  <si>
    <t> ($632,279.86)</t>
  </si>
  <si>
    <t> ($818.28)</t>
  </si>
  <si>
    <t> ($500,687.67)</t>
  </si>
  <si>
    <t> $341,450.32</t>
  </si>
  <si>
    <t>Time: 12:08:08 EDT</t>
  </si>
  <si>
    <t>1/1/2025 to 12/31/2025</t>
  </si>
  <si>
    <t>CURRENT PERIOD_Actual / Day</t>
  </si>
  <si>
    <t>YEAR TO DATE_Actual $</t>
  </si>
  <si>
    <t>YEAR TO DATE_Actual / Day</t>
  </si>
  <si>
    <t>Time: 12:08:42 EDT</t>
  </si>
  <si>
    <t>Income Statement Trending Detail - GGM</t>
  </si>
  <si>
    <t>January 25_Actual $</t>
  </si>
  <si>
    <t>January 25_Actual / Day</t>
  </si>
  <si>
    <t>February 25_Actual $</t>
  </si>
  <si>
    <t>February 25_Actual / Day</t>
  </si>
  <si>
    <t>March 25_Actual $</t>
  </si>
  <si>
    <t>March 25_Actual / Day</t>
  </si>
  <si>
    <t>April 25_Actual $</t>
  </si>
  <si>
    <t>April 25_Actual / Day</t>
  </si>
  <si>
    <t>May 25_Actual $</t>
  </si>
  <si>
    <t>May 25_Actual / Day</t>
  </si>
  <si>
    <t>June 25_Actual $</t>
  </si>
  <si>
    <t>June 25_Actual / Day</t>
  </si>
  <si>
    <t>July 25_Actual $</t>
  </si>
  <si>
    <t>July 25_Actual / Day</t>
  </si>
  <si>
    <t>August 25_Actual $</t>
  </si>
  <si>
    <t>August 25_Actual / Day</t>
  </si>
  <si>
    <t>September 25_Actual $</t>
  </si>
  <si>
    <t>September 25_Actual / Day</t>
  </si>
  <si>
    <t>October 25_Actual $</t>
  </si>
  <si>
    <t>October 25_Actual / Day</t>
  </si>
  <si>
    <t>November 25_Actual $</t>
  </si>
  <si>
    <t>November 25_Actual / Day</t>
  </si>
  <si>
    <t>December 25_Actual $</t>
  </si>
  <si>
    <t>December 25_Actual / Day</t>
  </si>
  <si>
    <t>TOTALS_Actual $</t>
  </si>
  <si>
    <t>TOTALS_Actual / Day</t>
  </si>
  <si>
    <t>Time: 12:09:08 EDT</t>
  </si>
  <si>
    <t>Payroll Summary Detail-GGM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</si>
</sst>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\-mmm"/>
    <numFmt numFmtId="165" formatCode="[$-409]d\-mmm;@"/>
  </numFmts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medium">
        <color rgb="FF0F0F0F"/>
      </left>
      <right/>
      <top/>
      <bottom style="medium">
        <color rgb="FF0F0F0F"/>
      </bottom>
      <diagonal/>
    </border>
    <border>
      <left style="medium">
        <color rgb="FF0F0F0F"/>
      </left>
      <right/>
      <top/>
      <bottom/>
      <diagonal/>
    </border>
    <border>
      <left style="medium">
        <color rgb="FF0F0F0F"/>
      </left>
      <right/>
      <top style="medium">
        <color rgb="FF0F0F0F"/>
      </top>
      <bottom/>
      <diagonal/>
    </border>
    <border>
      <left/>
      <right/>
      <top/>
      <bottom style="medium">
        <color rgb="FF0F0F0F"/>
      </bottom>
      <diagonal/>
    </border>
    <border>
      <left/>
      <right/>
      <top style="medium">
        <color rgb="FF0F0F0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F0F0F"/>
      </left>
      <right style="medium">
        <color indexed="64"/>
      </right>
      <top/>
      <bottom/>
      <diagonal/>
    </border>
    <border>
      <left style="medium">
        <color rgb="FF0F0F0F"/>
      </left>
      <right style="medium">
        <color indexed="64"/>
      </right>
      <top style="medium">
        <color rgb="FF0F0F0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F0F0F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F0F0F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F0F0F"/>
      </top>
      <bottom/>
      <diagonal/>
    </border>
    <border>
      <left style="medium">
        <color rgb="FF0F0F0F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rgb="FF0F0F0F"/>
      </right>
      <top/>
      <bottom style="medium">
        <color rgb="FF0F0F0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double">
        <color rgb="FF0F0F0F"/>
      </top>
      <bottom style="medium">
        <color auto="1"/>
      </bottom>
      <diagonal/>
    </border>
    <border>
      <left style="medium">
        <color rgb="FF0F0F0F"/>
      </left>
      <right/>
      <top style="double">
        <color rgb="FF0F0F0F"/>
      </top>
      <bottom style="medium">
        <color auto="1"/>
      </bottom>
      <diagonal/>
    </border>
    <border>
      <left/>
      <right/>
      <top style="double">
        <color rgb="FF0F0F0F"/>
      </top>
      <bottom style="medium">
        <color auto="1"/>
      </bottom>
      <diagonal/>
    </border>
    <border>
      <left/>
      <right style="medium">
        <color auto="1"/>
      </right>
      <top style="double">
        <color rgb="FF0F0F0F"/>
      </top>
      <bottom style="medium">
        <color auto="1"/>
      </bottom>
      <diagonal/>
    </border>
    <border>
      <left style="medium">
        <color rgb="FF0F0F0F"/>
      </left>
      <right style="medium">
        <color auto="1"/>
      </right>
      <top/>
      <bottom style="medium">
        <color rgb="FF0F0F0F"/>
      </bottom>
      <diagonal/>
    </border>
    <border>
      <left style="medium">
        <color rgb="FF0F0F0F"/>
      </left>
      <right/>
      <top style="medium">
        <color indexed="64"/>
      </top>
      <bottom style="medium">
        <color rgb="FF0F0F0F"/>
      </bottom>
      <diagonal/>
    </border>
    <border>
      <left/>
      <right style="medium">
        <color rgb="FF0F0F0F"/>
      </right>
      <top style="medium">
        <color indexed="64"/>
      </top>
      <bottom style="medium">
        <color rgb="FF0F0F0F"/>
      </bottom>
      <diagonal/>
    </border>
    <border>
      <left/>
      <right style="medium">
        <color indexed="64"/>
      </right>
      <top style="medium">
        <color indexed="64"/>
      </top>
      <bottom style="medium">
        <color rgb="FF0F0F0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F0F0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F0F0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F0F0F"/>
      </top>
      <bottom style="medium">
        <color indexed="64"/>
      </bottom>
      <diagonal/>
    </border>
    <border>
      <left/>
      <right style="medium">
        <color indexed="64"/>
      </right>
      <top style="medium">
        <color rgb="FF0F0F0F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vertical="center"/>
    </xf>
    <xf numFmtId="3" fontId="1" fillId="4" borderId="8" xfId="0" applyNumberFormat="1" applyFont="1" applyFill="1" applyBorder="1" applyAlignment="1">
      <alignment horizontal="right" vertical="center"/>
    </xf>
    <xf numFmtId="3" fontId="1" fillId="4" borderId="9" xfId="0" applyNumberFormat="1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5" borderId="7" xfId="0" applyFont="1" applyFill="1" applyBorder="1" applyAlignment="1">
      <alignment vertical="center"/>
    </xf>
    <xf numFmtId="3" fontId="1" fillId="5" borderId="8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3" fontId="1" fillId="2" borderId="11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16" fontId="1" fillId="2" borderId="21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right" vertical="center"/>
    </xf>
    <xf numFmtId="0" fontId="0" fillId="2" borderId="19" xfId="0" applyFill="1" applyBorder="1"/>
    <xf numFmtId="0" fontId="0" fillId="2" borderId="20" xfId="0" applyFill="1" applyBorder="1"/>
    <xf numFmtId="3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right" vertical="center"/>
    </xf>
    <xf numFmtId="0" fontId="1" fillId="4" borderId="18" xfId="0" applyFont="1" applyFill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right" vertical="center"/>
    </xf>
    <xf numFmtId="3" fontId="1" fillId="4" borderId="10" xfId="0" applyNumberFormat="1" applyFont="1" applyFill="1" applyBorder="1" applyAlignment="1">
      <alignment horizontal="right" vertical="center"/>
    </xf>
    <xf numFmtId="0" fontId="1" fillId="4" borderId="17" xfId="0" applyFont="1" applyFill="1" applyBorder="1" applyAlignment="1">
      <alignment horizontal="right" vertical="center"/>
    </xf>
    <xf numFmtId="4" fontId="1" fillId="4" borderId="13" xfId="0" applyNumberFormat="1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4" fontId="1" fillId="6" borderId="2" xfId="0" applyNumberFormat="1" applyFont="1" applyFill="1" applyBorder="1" applyAlignment="1">
      <alignment horizontal="right" vertical="center"/>
    </xf>
    <xf numFmtId="4" fontId="1" fillId="6" borderId="0" xfId="0" applyNumberFormat="1" applyFont="1" applyFill="1" applyAlignment="1">
      <alignment horizontal="right" vertical="center"/>
    </xf>
    <xf numFmtId="4" fontId="1" fillId="6" borderId="3" xfId="0" applyNumberFormat="1" applyFont="1" applyFill="1" applyBorder="1" applyAlignment="1">
      <alignment horizontal="right" vertical="center"/>
    </xf>
    <xf numFmtId="4" fontId="1" fillId="6" borderId="5" xfId="0" applyNumberFormat="1" applyFont="1" applyFill="1" applyBorder="1" applyAlignment="1">
      <alignment horizontal="right" vertical="center"/>
    </xf>
    <xf numFmtId="4" fontId="1" fillId="6" borderId="14" xfId="0" applyNumberFormat="1" applyFont="1" applyFill="1" applyBorder="1" applyAlignment="1">
      <alignment horizontal="right" vertical="center"/>
    </xf>
    <xf numFmtId="3" fontId="1" fillId="6" borderId="3" xfId="0" applyNumberFormat="1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0" fontId="1" fillId="6" borderId="14" xfId="0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right" vertical="center"/>
    </xf>
    <xf numFmtId="3" fontId="1" fillId="7" borderId="2" xfId="0" applyNumberFormat="1" applyFont="1" applyFill="1" applyBorder="1" applyAlignment="1">
      <alignment horizontal="right" vertical="center"/>
    </xf>
    <xf numFmtId="4" fontId="1" fillId="7" borderId="13" xfId="0" applyNumberFormat="1" applyFont="1" applyFill="1" applyBorder="1" applyAlignment="1">
      <alignment horizontal="right" vertical="center"/>
    </xf>
    <xf numFmtId="0" fontId="1" fillId="7" borderId="13" xfId="0" applyFont="1" applyFill="1" applyBorder="1" applyAlignment="1">
      <alignment horizontal="right"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0" fontId="1" fillId="6" borderId="13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4" fontId="1" fillId="7" borderId="0" xfId="0" applyNumberFormat="1" applyFont="1" applyFill="1" applyAlignment="1">
      <alignment horizontal="right" vertical="center"/>
    </xf>
    <xf numFmtId="3" fontId="1" fillId="6" borderId="2" xfId="0" applyNumberFormat="1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6" borderId="18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0" fontId="1" fillId="6" borderId="10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right" vertical="center"/>
    </xf>
    <xf numFmtId="3" fontId="1" fillId="6" borderId="7" xfId="0" applyNumberFormat="1" applyFont="1" applyFill="1" applyBorder="1" applyAlignment="1">
      <alignment horizontal="right" vertical="center"/>
    </xf>
    <xf numFmtId="3" fontId="1" fillId="6" borderId="1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4" fontId="1" fillId="2" borderId="13" xfId="0" applyNumberFormat="1" applyFont="1" applyFill="1" applyBorder="1" applyAlignment="1">
      <alignment horizontal="right" vertical="center"/>
    </xf>
    <xf numFmtId="3" fontId="3" fillId="3" borderId="6" xfId="0" applyNumberFormat="1" applyFont="1" applyFill="1" applyBorder="1" applyAlignment="1">
      <alignment horizontal="right" vertical="center"/>
    </xf>
    <xf numFmtId="4" fontId="3" fillId="3" borderId="18" xfId="0" applyNumberFormat="1" applyFont="1" applyFill="1" applyBorder="1" applyAlignment="1">
      <alignment horizontal="right" vertical="center"/>
    </xf>
    <xf numFmtId="4" fontId="1" fillId="2" borderId="30" xfId="0" applyNumberFormat="1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3" fontId="1" fillId="5" borderId="15" xfId="0" applyNumberFormat="1" applyFont="1" applyFill="1" applyBorder="1" applyAlignment="1">
      <alignment horizontal="right" vertical="center"/>
    </xf>
    <xf numFmtId="0" fontId="1" fillId="5" borderId="16" xfId="0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2" borderId="13" xfId="0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right" vertical="center"/>
    </xf>
    <xf numFmtId="0" fontId="1" fillId="4" borderId="14" xfId="0" applyFont="1" applyFill="1" applyBorder="1" applyAlignment="1">
      <alignment horizontal="right" vertical="center"/>
    </xf>
    <xf numFmtId="0" fontId="1" fillId="5" borderId="17" xfId="0" applyFont="1" applyFill="1" applyBorder="1" applyAlignment="1">
      <alignment horizontal="right" vertical="center"/>
    </xf>
    <xf numFmtId="3" fontId="3" fillId="7" borderId="2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3" fillId="7" borderId="7" xfId="0" applyNumberFormat="1" applyFont="1" applyFill="1" applyBorder="1" applyAlignment="1">
      <alignment horizontal="right" vertical="center"/>
    </xf>
    <xf numFmtId="3" fontId="1" fillId="8" borderId="8" xfId="0" applyNumberFormat="1" applyFont="1" applyFill="1" applyBorder="1" applyAlignment="1">
      <alignment horizontal="right" vertical="center"/>
    </xf>
    <xf numFmtId="3" fontId="3" fillId="5" borderId="7" xfId="0" applyNumberFormat="1" applyFont="1" applyFill="1" applyBorder="1" applyAlignment="1">
      <alignment horizontal="right" vertical="center"/>
    </xf>
    <xf numFmtId="3" fontId="3" fillId="2" borderId="10" xfId="0" applyNumberFormat="1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vertical="center"/>
    </xf>
    <xf numFmtId="3" fontId="1" fillId="2" borderId="33" xfId="0" applyNumberFormat="1" applyFont="1" applyFill="1" applyBorder="1" applyAlignment="1">
      <alignment vertical="center"/>
    </xf>
    <xf numFmtId="164" fontId="1" fillId="2" borderId="34" xfId="0" applyNumberFormat="1" applyFont="1" applyFill="1" applyBorder="1" applyAlignment="1">
      <alignment vertical="center"/>
    </xf>
    <xf numFmtId="16" fontId="1" fillId="2" borderId="35" xfId="0" applyNumberFormat="1" applyFont="1" applyFill="1" applyBorder="1" applyAlignment="1">
      <alignment vertical="center"/>
    </xf>
    <xf numFmtId="164" fontId="1" fillId="2" borderId="36" xfId="0" applyNumberFormat="1" applyFont="1" applyFill="1" applyBorder="1" applyAlignment="1">
      <alignment vertical="center"/>
    </xf>
    <xf numFmtId="16" fontId="1" fillId="2" borderId="37" xfId="0" applyNumberFormat="1" applyFont="1" applyFill="1" applyBorder="1" applyAlignment="1">
      <alignment vertical="center"/>
    </xf>
    <xf numFmtId="0" fontId="0" fillId="2" borderId="10" xfId="0" applyFill="1" applyBorder="1"/>
    <xf numFmtId="0" fontId="0" fillId="2" borderId="16" xfId="0" applyFill="1" applyBorder="1"/>
    <xf numFmtId="3" fontId="0" fillId="2" borderId="16" xfId="0" applyNumberFormat="1" applyFill="1" applyBorder="1"/>
    <xf numFmtId="4" fontId="0" fillId="2" borderId="17" xfId="0" applyNumberFormat="1" applyFill="1" applyBorder="1"/>
    <xf numFmtId="3" fontId="1" fillId="5" borderId="2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0" fontId="1" fillId="5" borderId="13" xfId="0" applyFont="1" applyFill="1" applyBorder="1" applyAlignment="1">
      <alignment horizontal="right" vertical="center"/>
    </xf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3" fontId="1" fillId="4" borderId="38" xfId="0" applyNumberFormat="1" applyFont="1" applyFill="1" applyBorder="1" applyAlignment="1">
      <alignment horizontal="right" vertical="center"/>
    </xf>
    <xf numFmtId="0" fontId="1" fillId="4" borderId="39" xfId="0" applyFont="1" applyFill="1" applyBorder="1" applyAlignment="1">
      <alignment horizontal="right" vertical="center"/>
    </xf>
    <xf numFmtId="44" fontId="0" fillId="0" borderId="0" xfId="1" applyFont="1"/>
    <xf numFmtId="44" fontId="0" fillId="0" borderId="0" xfId="0" applyNumberFormat="1"/>
    <xf numFmtId="0" fontId="4" fillId="0" borderId="40" xfId="0" applyFont="1" applyBorder="1"/>
    <xf numFmtId="0" fontId="0" fillId="0" borderId="40" xfId="0" applyBorder="1"/>
    <xf numFmtId="44" fontId="4" fillId="0" borderId="0" xfId="1" applyFont="1"/>
    <xf numFmtId="44" fontId="4" fillId="0" borderId="40" xfId="1" applyFont="1" applyBorder="1"/>
    <xf numFmtId="44" fontId="0" fillId="0" borderId="40" xfId="1" applyFont="1" applyBorder="1"/>
    <xf numFmtId="0" fontId="0" fillId="9" borderId="0" xfId="0" applyFill="1"/>
    <xf numFmtId="44" fontId="0" fillId="9" borderId="0" xfId="1" applyFont="1" applyFill="1"/>
    <xf numFmtId="164" fontId="1" fillId="0" borderId="4" xfId="0" applyNumberFormat="1" applyFont="1" applyBorder="1" applyAlignment="1">
      <alignment vertical="center"/>
    </xf>
    <xf numFmtId="165" fontId="4" fillId="0" borderId="0" xfId="0" applyNumberFormat="1" applyFont="1"/>
    <xf numFmtId="44" fontId="4" fillId="0" borderId="0" xfId="0" applyNumberFormat="1" applyFont="1"/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BF7-E1B3-4AF4-A801-8902847C7271}">
  <dimension ref="A1:E46"/>
  <sheetViews>
    <sheetView tabSelected="1" workbookViewId="0">
      <selection activeCell="E20" sqref="E20"/>
    </sheetView>
  </sheetViews>
  <sheetFormatPr defaultColWidth="9" defaultRowHeight="14.3" x14ac:dyDescent="0.25"/>
  <cols>
    <col min="1" max="1" width="25" bestFit="1" customWidth="1"/>
    <col min="2" max="2" width="13.5" bestFit="1" customWidth="1"/>
    <col min="4" max="4" width="1.875" bestFit="1" customWidth="1"/>
    <col min="5" max="5" width="9.875" bestFit="1" customWidth="1"/>
  </cols>
  <sheetData>
    <row r="1" spans="1:3" ht="14.95" x14ac:dyDescent="0.25">
      <c r="A1" s="36" t="str">
        <f>'BS Data'!C1</f>
        <v>Allure of Peru</v>
      </c>
      <c r="B1" s="37"/>
    </row>
    <row r="2" spans="1:3" ht="14.95" x14ac:dyDescent="0.25">
      <c r="A2" s="38" t="s">
        <v>0</v>
      </c>
      <c r="B2" s="39"/>
    </row>
    <row r="3" spans="1:3" ht="14.95" x14ac:dyDescent="0.25">
      <c r="A3" s="38" t="str">
        <f>'BS Data'!B3</f>
        <v>As Of 12/31/2025</v>
      </c>
      <c r="B3" s="39"/>
    </row>
    <row r="4" spans="1:3" ht="15.8" thickBot="1" x14ac:dyDescent="0.3">
      <c r="A4" s="42"/>
      <c r="B4" s="43"/>
    </row>
    <row r="5" spans="1:3" ht="15.8" thickBot="1" x14ac:dyDescent="0.3">
      <c r="A5" s="11"/>
      <c r="B5" s="40" t="s">
        <v>1</v>
      </c>
    </row>
    <row r="6" spans="1:3" ht="15.8" thickBot="1" x14ac:dyDescent="0.3">
      <c r="A6" s="11"/>
      <c r="B6" s="41" t="s">
        <v>2</v>
      </c>
    </row>
    <row r="7" spans="1:3" x14ac:dyDescent="0.25">
      <c r="A7" s="12" t="s">
        <v>3</v>
      </c>
      <c r="B7" s="13"/>
    </row>
    <row r="8" spans="1:3" x14ac:dyDescent="0.25">
      <c r="A8" s="14" t="s">
        <v>225</v>
      </c>
      <c r="B8" s="15">
        <f>VLOOKUP(A8,'BS Data'!A8:B48,2,FALSE)</f>
        <v>22699</v>
      </c>
    </row>
    <row r="9" spans="1:3" x14ac:dyDescent="0.25">
      <c r="A9" s="14" t="s">
        <v>226</v>
      </c>
      <c r="B9" s="15">
        <f>VLOOKUP(A9,'BS Data'!A9:B49,2,FALSE)</f>
        <v>1715902</v>
      </c>
    </row>
    <row r="10" spans="1:3" x14ac:dyDescent="0.25">
      <c r="A10" s="14" t="s">
        <v>227</v>
      </c>
      <c r="B10" s="15">
        <f>VLOOKUP(A10,'BS Data'!A10:B50,2,FALSE)</f>
        <v>-50489</v>
      </c>
    </row>
    <row r="11" spans="1:3" x14ac:dyDescent="0.25">
      <c r="A11" s="14" t="s">
        <v>229</v>
      </c>
      <c r="B11" s="15">
        <f>VLOOKUP(A11,'BS Data'!A11:B51,2,FALSE)</f>
        <v>156097</v>
      </c>
    </row>
    <row r="12" spans="1:3" x14ac:dyDescent="0.25">
      <c r="A12" s="14" t="s">
        <v>231</v>
      </c>
      <c r="B12" s="15">
        <f>VLOOKUP(A12,'DTF &amp; QuickCalc'!A57:B58,2,FALSE)</f>
        <v>1279660.1100000001</v>
      </c>
    </row>
    <row r="13" spans="1:3" ht="14.95" thickBot="1" x14ac:dyDescent="0.3">
      <c r="A13" s="14" t="s">
        <v>233</v>
      </c>
      <c r="B13" s="15">
        <f>VLOOKUP(A13,'BS Data'!A13:B53,2,FALSE)</f>
        <v>1783</v>
      </c>
    </row>
    <row r="14" spans="1:3" x14ac:dyDescent="0.25">
      <c r="A14" s="14" t="s">
        <v>4</v>
      </c>
      <c r="B14" s="16">
        <f>SUM(B8:B13)</f>
        <v>3125652.1100000003</v>
      </c>
      <c r="C14" s="44"/>
    </row>
    <row r="15" spans="1:3" x14ac:dyDescent="0.25">
      <c r="A15" s="12" t="s">
        <v>5</v>
      </c>
      <c r="B15" s="13"/>
    </row>
    <row r="16" spans="1:3" x14ac:dyDescent="0.25">
      <c r="A16" s="14" t="s">
        <v>237</v>
      </c>
      <c r="B16" s="17">
        <f>VLOOKUP(A16,'BS Data'!A16:B56,2,FALSE)</f>
        <v>3416</v>
      </c>
    </row>
    <row r="17" spans="1:3" x14ac:dyDescent="0.25">
      <c r="A17" s="14" t="s">
        <v>239</v>
      </c>
      <c r="B17" s="15">
        <f>VLOOKUP(A17,'BS Data'!A17:B57,2,FALSE)</f>
        <v>131927</v>
      </c>
    </row>
    <row r="18" spans="1:3" x14ac:dyDescent="0.25">
      <c r="A18" s="14" t="s">
        <v>241</v>
      </c>
      <c r="B18" s="15">
        <f>VLOOKUP(A18,'BS Data'!A18:B58,2,FALSE)</f>
        <v>4749</v>
      </c>
    </row>
    <row r="19" spans="1:3" x14ac:dyDescent="0.25">
      <c r="A19" s="14" t="s">
        <v>243</v>
      </c>
      <c r="B19" s="15">
        <f>VLOOKUP(A19,'BS Data'!A19:B59,2,FALSE)</f>
        <v>685794</v>
      </c>
    </row>
    <row r="20" spans="1:3" x14ac:dyDescent="0.25">
      <c r="A20" s="14" t="s">
        <v>245</v>
      </c>
      <c r="B20" s="15">
        <f>VLOOKUP(A20,'BS Data'!A20:B60,2,FALSE)</f>
        <v>0</v>
      </c>
    </row>
    <row r="21" spans="1:3" x14ac:dyDescent="0.25">
      <c r="A21" s="14" t="s">
        <v>247</v>
      </c>
      <c r="B21" s="15">
        <f>VLOOKUP(A21,'BS Data'!A21:B61,2,FALSE)</f>
        <v>1099</v>
      </c>
    </row>
    <row r="22" spans="1:3" x14ac:dyDescent="0.25">
      <c r="A22" s="14" t="s">
        <v>249</v>
      </c>
      <c r="B22" s="15">
        <f>VLOOKUP(A22,'BS Data'!A22:B62,2,FALSE)</f>
        <v>23124</v>
      </c>
    </row>
    <row r="23" spans="1:3" x14ac:dyDescent="0.25">
      <c r="A23" s="14" t="s">
        <v>255</v>
      </c>
      <c r="B23" s="15">
        <f>VLOOKUP(A23,'BS Data'!A23:B63,2,FALSE)</f>
        <v>31590</v>
      </c>
    </row>
    <row r="24" spans="1:3" x14ac:dyDescent="0.25">
      <c r="A24" s="14" t="s">
        <v>251</v>
      </c>
      <c r="B24" s="15">
        <f>VLOOKUP(A24,'BS Data'!A24:B64,2,FALSE)</f>
        <v>0</v>
      </c>
    </row>
    <row r="25" spans="1:3" ht="14.95" thickBot="1" x14ac:dyDescent="0.3">
      <c r="A25" s="14" t="s">
        <v>253</v>
      </c>
      <c r="B25" s="15">
        <f>VLOOKUP(A25,'BS Data'!A25:B65,2,FALSE)</f>
        <v>-180889</v>
      </c>
    </row>
    <row r="26" spans="1:3" x14ac:dyDescent="0.25">
      <c r="A26" s="14" t="s">
        <v>6</v>
      </c>
      <c r="B26" s="16">
        <f>SUM(B16:B25)</f>
        <v>700810</v>
      </c>
      <c r="C26" s="44"/>
    </row>
    <row r="27" spans="1:3" x14ac:dyDescent="0.25">
      <c r="A27" s="18" t="s">
        <v>7</v>
      </c>
      <c r="B27" s="19">
        <f>B26+B14</f>
        <v>3826462.1100000003</v>
      </c>
    </row>
    <row r="28" spans="1:3" x14ac:dyDescent="0.25">
      <c r="A28" s="12" t="s">
        <v>8</v>
      </c>
      <c r="B28" s="13"/>
    </row>
    <row r="29" spans="1:3" x14ac:dyDescent="0.25">
      <c r="A29" s="14" t="s">
        <v>260</v>
      </c>
      <c r="B29" s="15">
        <f>VLOOKUP(A29,'BS Data'!A29:B69,2,FALSE)</f>
        <v>782460</v>
      </c>
    </row>
    <row r="30" spans="1:3" x14ac:dyDescent="0.25">
      <c r="A30" s="14" t="s">
        <v>262</v>
      </c>
      <c r="B30" s="15">
        <f>VLOOKUP(A30,'BS Data'!A30:B70,2,FALSE)</f>
        <v>0</v>
      </c>
    </row>
    <row r="31" spans="1:3" x14ac:dyDescent="0.25">
      <c r="A31" s="14" t="s">
        <v>264</v>
      </c>
      <c r="B31" s="15">
        <f>VLOOKUP(A31,'BS Data'!A31:B71,2,FALSE)</f>
        <v>231834</v>
      </c>
    </row>
    <row r="32" spans="1:3" x14ac:dyDescent="0.25">
      <c r="A32" s="14" t="s">
        <v>291</v>
      </c>
      <c r="B32" s="15">
        <f>VLOOKUP(A32,'DTF &amp; QuickCalc'!A63:B66,2,FALSE)</f>
        <v>116658</v>
      </c>
    </row>
    <row r="33" spans="1:5" x14ac:dyDescent="0.25">
      <c r="A33" s="14" t="s">
        <v>269</v>
      </c>
      <c r="B33" s="15">
        <f>VLOOKUP(A33,'BS Data'!A33:B73,2,FALSE)</f>
        <v>850000</v>
      </c>
    </row>
    <row r="34" spans="1:5" x14ac:dyDescent="0.25">
      <c r="A34" s="14" t="s">
        <v>305</v>
      </c>
      <c r="B34" s="15">
        <f>VLOOKUP(A34,'DTF &amp; QuickCalc'!A57:B58,2,FALSE)-2</f>
        <v>1890823.69</v>
      </c>
    </row>
    <row r="35" spans="1:5" x14ac:dyDescent="0.25">
      <c r="A35" s="14" t="s">
        <v>271</v>
      </c>
      <c r="B35" s="15">
        <f>VLOOKUP(A35,'BS Data'!A35:B75,2,FALSE)</f>
        <v>1446</v>
      </c>
    </row>
    <row r="36" spans="1:5" ht="14.95" thickBot="1" x14ac:dyDescent="0.3">
      <c r="A36" s="14" t="s">
        <v>273</v>
      </c>
      <c r="B36" s="17">
        <f>VLOOKUP(A36,'BS Data'!A36:B76,2,FALSE)</f>
        <v>0</v>
      </c>
    </row>
    <row r="37" spans="1:5" x14ac:dyDescent="0.25">
      <c r="A37" s="14" t="s">
        <v>9</v>
      </c>
      <c r="B37" s="16">
        <f>SUM(B29:B36)</f>
        <v>3873221.69</v>
      </c>
      <c r="C37" s="44"/>
    </row>
    <row r="38" spans="1:5" x14ac:dyDescent="0.25">
      <c r="A38" s="12" t="s">
        <v>10</v>
      </c>
      <c r="B38" s="111">
        <f>VLOOKUP(A38,'BS Data'!A38:B78,2,FALSE)</f>
        <v>0</v>
      </c>
    </row>
    <row r="39" spans="1:5" x14ac:dyDescent="0.25">
      <c r="A39" s="11" t="s">
        <v>11</v>
      </c>
      <c r="B39" s="20">
        <f>B37+B38</f>
        <v>3873221.69</v>
      </c>
      <c r="E39" s="44"/>
    </row>
    <row r="40" spans="1:5" x14ac:dyDescent="0.25">
      <c r="A40" s="12" t="s">
        <v>12</v>
      </c>
      <c r="B40" s="13"/>
    </row>
    <row r="41" spans="1:5" x14ac:dyDescent="0.25">
      <c r="A41" s="14" t="s">
        <v>278</v>
      </c>
      <c r="B41" s="15">
        <f>VLOOKUP(A41,'BS Data'!A41:B81,2,FALSE)</f>
        <v>759644</v>
      </c>
    </row>
    <row r="42" spans="1:5" x14ac:dyDescent="0.25">
      <c r="A42" s="14" t="s">
        <v>280</v>
      </c>
      <c r="B42" s="15">
        <f>VLOOKUP(A42,'BS Data'!A42:B82,2,FALSE)</f>
        <v>-1145000</v>
      </c>
    </row>
    <row r="43" spans="1:5" ht="14.95" thickBot="1" x14ac:dyDescent="0.3">
      <c r="A43" s="14" t="s">
        <v>283</v>
      </c>
      <c r="B43" s="15">
        <f>VLOOKUP(A43,'BS Data'!A43:B83,2,FALSE)</f>
        <v>338596</v>
      </c>
    </row>
    <row r="44" spans="1:5" x14ac:dyDescent="0.25">
      <c r="A44" s="14" t="s">
        <v>13</v>
      </c>
      <c r="B44" s="16">
        <f>SUM(B41:B43)</f>
        <v>-46760</v>
      </c>
      <c r="C44" s="44"/>
    </row>
    <row r="45" spans="1:5" ht="14.95" thickBot="1" x14ac:dyDescent="0.3">
      <c r="A45" s="21" t="s">
        <v>14</v>
      </c>
      <c r="B45" s="22">
        <f>B39+B44</f>
        <v>3826461.69</v>
      </c>
      <c r="C45" s="44"/>
      <c r="E45" s="44"/>
    </row>
    <row r="46" spans="1:5" x14ac:dyDescent="0.25">
      <c r="D46" s="44">
        <f>B45-B27</f>
        <v>-0.42000000039115548</v>
      </c>
    </row>
  </sheetData>
  <printOptions horizontalCentered="1" vertic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AF0B-799C-4D91-82EC-54776008EB33}">
  <dimension ref="A1:G148"/>
  <sheetViews>
    <sheetView workbookViewId="0">
      <selection activeCell="G20" sqref="G20"/>
    </sheetView>
  </sheetViews>
  <sheetFormatPr defaultColWidth="9" defaultRowHeight="14.3" x14ac:dyDescent="0.25"/>
  <cols>
    <col min="1" max="1" width="26.875" bestFit="1" customWidth="1"/>
    <col min="2" max="2" width="13.5" bestFit="1" customWidth="1"/>
    <col min="3" max="3" width="9.125" bestFit="1" customWidth="1"/>
    <col min="4" max="4" width="11.125" bestFit="1" customWidth="1"/>
    <col min="5" max="5" width="9.125" bestFit="1" customWidth="1"/>
  </cols>
  <sheetData>
    <row r="1" spans="1:5" ht="14.95" x14ac:dyDescent="0.25">
      <c r="A1" s="145" t="str">
        <f>BS!A1</f>
        <v>Allure of Peru</v>
      </c>
      <c r="B1" s="146"/>
      <c r="C1" s="146"/>
      <c r="D1" s="146"/>
      <c r="E1" s="147"/>
    </row>
    <row r="2" spans="1:5" ht="14.95" x14ac:dyDescent="0.25">
      <c r="A2" s="148" t="s">
        <v>49</v>
      </c>
      <c r="B2" s="149"/>
      <c r="C2" s="149"/>
      <c r="D2" s="149"/>
      <c r="E2" s="150"/>
    </row>
    <row r="3" spans="1:5" ht="14.95" x14ac:dyDescent="0.25">
      <c r="A3" s="148" t="str">
        <f>'P&amp;L Data'!B3</f>
        <v>1/1/2025 to 12/31/2025</v>
      </c>
      <c r="B3" s="149"/>
      <c r="C3" s="149"/>
      <c r="D3" s="149"/>
      <c r="E3" s="150"/>
    </row>
    <row r="4" spans="1:5" ht="15.8" thickBot="1" x14ac:dyDescent="0.3">
      <c r="A4" s="151"/>
      <c r="B4" s="152"/>
      <c r="C4" s="152"/>
      <c r="D4" s="152"/>
      <c r="E4" s="153"/>
    </row>
    <row r="5" spans="1:5" ht="15.8" thickBot="1" x14ac:dyDescent="0.3">
      <c r="A5" s="10"/>
      <c r="B5" s="73" t="s">
        <v>1</v>
      </c>
      <c r="C5" s="74"/>
      <c r="D5" s="73" t="s">
        <v>50</v>
      </c>
      <c r="E5" s="75"/>
    </row>
    <row r="6" spans="1:5" ht="14.95" thickBot="1" x14ac:dyDescent="0.3">
      <c r="A6" s="11"/>
      <c r="B6" s="1" t="s">
        <v>2</v>
      </c>
      <c r="C6" s="51" t="s">
        <v>16</v>
      </c>
      <c r="D6" s="52" t="s">
        <v>2</v>
      </c>
      <c r="E6" s="53" t="s">
        <v>16</v>
      </c>
    </row>
    <row r="7" spans="1:5" x14ac:dyDescent="0.25">
      <c r="A7" s="12" t="s">
        <v>17</v>
      </c>
      <c r="B7" s="2"/>
      <c r="C7" s="46"/>
      <c r="D7" s="2"/>
      <c r="E7" s="23"/>
    </row>
    <row r="8" spans="1:5" x14ac:dyDescent="0.25">
      <c r="A8" s="14" t="s">
        <v>113</v>
      </c>
      <c r="B8" s="3">
        <f>VLOOKUP(A8,'P&amp;L Data'!A8:E150,2,FALSE)</f>
        <v>4650290</v>
      </c>
      <c r="C8" s="76">
        <f>VLOOKUP(A8,'P&amp;L Data'!A8:E150,3,FALSE)</f>
        <v>279.75</v>
      </c>
      <c r="D8" s="3">
        <f>VLOOKUP(A8,'P&amp;L Data'!A8:E150,4,FALSE)</f>
        <v>4650290</v>
      </c>
      <c r="E8" s="24">
        <f>VLOOKUP(A8,'P&amp;L Data'!A8:E150,5,FALSE)</f>
        <v>279.75</v>
      </c>
    </row>
    <row r="9" spans="1:5" x14ac:dyDescent="0.25">
      <c r="A9" s="14" t="s">
        <v>114</v>
      </c>
      <c r="B9" s="3">
        <f>VLOOKUP(A9,'P&amp;L Data'!A9:E151,2,FALSE)</f>
        <v>404354</v>
      </c>
      <c r="C9" s="76">
        <f>VLOOKUP(A9,'P&amp;L Data'!A9:E151,3,FALSE)</f>
        <v>278.29000000000002</v>
      </c>
      <c r="D9" s="3">
        <f>VLOOKUP(A9,'P&amp;L Data'!A9:E151,4,FALSE)</f>
        <v>404354</v>
      </c>
      <c r="E9" s="24">
        <f>VLOOKUP(A9,'P&amp;L Data'!A9:E151,5,FALSE)</f>
        <v>278.29000000000002</v>
      </c>
    </row>
    <row r="10" spans="1:5" x14ac:dyDescent="0.25">
      <c r="A10" s="14" t="s">
        <v>115</v>
      </c>
      <c r="B10" s="3">
        <f>VLOOKUP(A10,'P&amp;L Data'!A10:E152,2,FALSE)</f>
        <v>2480638</v>
      </c>
      <c r="C10" s="76">
        <f>VLOOKUP(A10,'P&amp;L Data'!A10:E152,3,FALSE)</f>
        <v>682.43</v>
      </c>
      <c r="D10" s="3">
        <f>VLOOKUP(A10,'P&amp;L Data'!A10:E152,4,FALSE)</f>
        <v>2480638</v>
      </c>
      <c r="E10" s="24">
        <f>VLOOKUP(A10,'P&amp;L Data'!A10:E152,5,FALSE)</f>
        <v>682.43</v>
      </c>
    </row>
    <row r="11" spans="1:5" x14ac:dyDescent="0.25">
      <c r="A11" s="14" t="s">
        <v>116</v>
      </c>
      <c r="B11" s="3">
        <f>VLOOKUP(A11,'P&amp;L Data'!A11:E153,2,FALSE)</f>
        <v>924175</v>
      </c>
      <c r="C11" s="76">
        <f>VLOOKUP(A11,'P&amp;L Data'!A11:E153,3,FALSE)</f>
        <v>458.65</v>
      </c>
      <c r="D11" s="3">
        <f>VLOOKUP(A11,'P&amp;L Data'!A11:E153,4,FALSE)</f>
        <v>924175</v>
      </c>
      <c r="E11" s="24">
        <f>VLOOKUP(A11,'P&amp;L Data'!A11:E153,5,FALSE)</f>
        <v>458.65</v>
      </c>
    </row>
    <row r="12" spans="1:5" ht="14.95" thickBot="1" x14ac:dyDescent="0.3">
      <c r="A12" s="14" t="s">
        <v>117</v>
      </c>
      <c r="B12" s="3">
        <f>VLOOKUP(A12,'P&amp;L Data'!A12:E154,2,FALSE)</f>
        <v>1446974</v>
      </c>
      <c r="C12" s="76">
        <f>VLOOKUP(A12,'P&amp;L Data'!A12:E154,3,FALSE)</f>
        <v>295.24</v>
      </c>
      <c r="D12" s="3">
        <f>VLOOKUP(A12,'P&amp;L Data'!A12:E154,4,FALSE)</f>
        <v>1446974</v>
      </c>
      <c r="E12" s="24">
        <f>VLOOKUP(A12,'P&amp;L Data'!A12:E154,5,FALSE)</f>
        <v>295.24</v>
      </c>
    </row>
    <row r="13" spans="1:5" x14ac:dyDescent="0.25">
      <c r="A13" s="14" t="s">
        <v>118</v>
      </c>
      <c r="B13" s="54">
        <f>VLOOKUP(A13,'P&amp;L Data'!A13:E155,2,FALSE)</f>
        <v>0</v>
      </c>
      <c r="C13" s="55">
        <f>VLOOKUP(A13,'P&amp;L Data'!A13:E155,3,FALSE)</f>
        <v>0</v>
      </c>
      <c r="D13" s="54">
        <f>VLOOKUP(A13,'P&amp;L Data'!A13:E155,4,FALSE)</f>
        <v>0</v>
      </c>
      <c r="E13" s="55">
        <f>VLOOKUP(A13,'P&amp;L Data'!A13:E155,5,FALSE)</f>
        <v>0</v>
      </c>
    </row>
    <row r="14" spans="1:5" x14ac:dyDescent="0.25">
      <c r="A14" s="14" t="s">
        <v>119</v>
      </c>
      <c r="B14" s="56">
        <f>VLOOKUP(A14,'P&amp;L Data'!A14:E156,2,FALSE)</f>
        <v>297113</v>
      </c>
      <c r="C14" s="24">
        <f>VLOOKUP(A14,'P&amp;L Data'!A14:E156,3,FALSE)</f>
        <v>0</v>
      </c>
      <c r="D14" s="56">
        <f>VLOOKUP(A14,'P&amp;L Data'!A14:E156,4,FALSE)</f>
        <v>297113</v>
      </c>
      <c r="E14" s="24">
        <f>VLOOKUP(A14,'P&amp;L Data'!A14:E156,5,FALSE)</f>
        <v>0</v>
      </c>
    </row>
    <row r="15" spans="1:5" x14ac:dyDescent="0.25">
      <c r="A15" s="14" t="s">
        <v>120</v>
      </c>
      <c r="B15" s="56">
        <f>VLOOKUP(A15,'P&amp;L Data'!A15:E157,2,FALSE)</f>
        <v>0</v>
      </c>
      <c r="C15" s="24">
        <f>VLOOKUP(A15,'P&amp;L Data'!A15:E157,3,FALSE)</f>
        <v>0</v>
      </c>
      <c r="D15" s="60">
        <f>VLOOKUP(A15,'P&amp;L Data'!A15:E157,4,FALSE)</f>
        <v>0</v>
      </c>
      <c r="E15" s="24">
        <f>VLOOKUP(A15,'P&amp;L Data'!A15:E157,5,FALSE)</f>
        <v>0</v>
      </c>
    </row>
    <row r="16" spans="1:5" x14ac:dyDescent="0.25">
      <c r="A16" s="14" t="s">
        <v>121</v>
      </c>
      <c r="B16" s="56">
        <f>VLOOKUP(A16,'P&amp;L Data'!A16:E158,2,FALSE)</f>
        <v>0</v>
      </c>
      <c r="C16" s="24">
        <f>VLOOKUP(A16,'P&amp;L Data'!A16:E158,3,FALSE)</f>
        <v>0</v>
      </c>
      <c r="D16" s="60">
        <f>VLOOKUP(A16,'P&amp;L Data'!A16:E158,4,FALSE)</f>
        <v>0</v>
      </c>
      <c r="E16" s="24">
        <f>VLOOKUP(A16,'P&amp;L Data'!A16:E158,5,FALSE)</f>
        <v>0</v>
      </c>
    </row>
    <row r="17" spans="1:6" x14ac:dyDescent="0.25">
      <c r="A17" s="14" t="s">
        <v>122</v>
      </c>
      <c r="B17" s="56">
        <f>VLOOKUP(A17,'P&amp;L Data'!A17:E159,2,FALSE)</f>
        <v>0</v>
      </c>
      <c r="C17" s="24">
        <f>VLOOKUP(A17,'P&amp;L Data'!A17:E159,3,FALSE)</f>
        <v>0</v>
      </c>
      <c r="D17" s="60">
        <f>VLOOKUP(A17,'P&amp;L Data'!A17:E159,4,FALSE)</f>
        <v>0</v>
      </c>
      <c r="E17" s="24">
        <f>VLOOKUP(A17,'P&amp;L Data'!A17:E159,5,FALSE)</f>
        <v>0</v>
      </c>
    </row>
    <row r="18" spans="1:6" x14ac:dyDescent="0.25">
      <c r="A18" s="14" t="s">
        <v>123</v>
      </c>
      <c r="B18" s="56">
        <f>VLOOKUP(A18,'P&amp;L Data'!A18:E160,2,FALSE)</f>
        <v>5276</v>
      </c>
      <c r="C18" s="24">
        <f>VLOOKUP(A18,'P&amp;L Data'!A18:E160,3,FALSE)</f>
        <v>0</v>
      </c>
      <c r="D18" s="56">
        <f>VLOOKUP(A18,'P&amp;L Data'!A18:E160,4,FALSE)</f>
        <v>5276</v>
      </c>
      <c r="E18" s="24">
        <f>VLOOKUP(A18,'P&amp;L Data'!A18:E160,5,FALSE)</f>
        <v>0</v>
      </c>
    </row>
    <row r="19" spans="1:6" x14ac:dyDescent="0.25">
      <c r="A19" s="14" t="s">
        <v>124</v>
      </c>
      <c r="B19" s="56">
        <f>VLOOKUP(A19,'P&amp;L Data'!A19:E161,2,FALSE)</f>
        <v>0</v>
      </c>
      <c r="C19" s="24">
        <f>VLOOKUP(A19,'P&amp;L Data'!A19:E161,3,FALSE)</f>
        <v>0</v>
      </c>
      <c r="D19" s="60">
        <f>VLOOKUP(A19,'P&amp;L Data'!A19:E161,4,FALSE)</f>
        <v>0</v>
      </c>
      <c r="E19" s="24">
        <f>VLOOKUP(A19,'P&amp;L Data'!A19:E161,5,FALSE)</f>
        <v>0</v>
      </c>
    </row>
    <row r="20" spans="1:6" ht="14.95" thickBot="1" x14ac:dyDescent="0.3">
      <c r="A20" s="14" t="s">
        <v>125</v>
      </c>
      <c r="B20" s="57">
        <f>VLOOKUP(A20,'P&amp;L Data'!A20:E162,2,FALSE)</f>
        <v>215428</v>
      </c>
      <c r="C20" s="58">
        <f>VLOOKUP(A20,'P&amp;L Data'!A20:E162,3,FALSE)</f>
        <v>7.53</v>
      </c>
      <c r="D20" s="57">
        <f>VLOOKUP(A20,'P&amp;L Data'!A20:E162,4,FALSE)</f>
        <v>215428</v>
      </c>
      <c r="E20" s="58">
        <f>VLOOKUP(A20,'P&amp;L Data'!A20:E162,5,FALSE)</f>
        <v>7.53</v>
      </c>
    </row>
    <row r="21" spans="1:6" x14ac:dyDescent="0.25">
      <c r="A21" s="14" t="s">
        <v>19</v>
      </c>
      <c r="B21" s="61">
        <f>VLOOKUP(A21,'P&amp;L Data'!A21:E163,2,FALSE)</f>
        <v>10424247</v>
      </c>
      <c r="C21" s="62">
        <f>VLOOKUP(A21,'P&amp;L Data'!A21:E163,3,FALSE)</f>
        <v>364.14</v>
      </c>
      <c r="D21" s="61">
        <f>VLOOKUP(A21,'P&amp;L Data'!A21:E163,4,FALSE)</f>
        <v>10424247</v>
      </c>
      <c r="E21" s="59">
        <f>VLOOKUP(A21,'P&amp;L Data'!A21:E163,5,FALSE)</f>
        <v>364.14</v>
      </c>
      <c r="F21" s="44"/>
    </row>
    <row r="22" spans="1:6" x14ac:dyDescent="0.25">
      <c r="A22" s="12" t="s">
        <v>20</v>
      </c>
      <c r="B22" s="2"/>
      <c r="C22" s="46"/>
      <c r="D22" s="2"/>
      <c r="E22" s="23"/>
    </row>
    <row r="23" spans="1:6" x14ac:dyDescent="0.25">
      <c r="A23" s="14" t="s">
        <v>113</v>
      </c>
      <c r="B23" s="5">
        <f>VLOOKUP(A23,'P&amp;L Data'!A23:E165,2,FALSE)</f>
        <v>16663</v>
      </c>
      <c r="C23" s="76">
        <f>VLOOKUP(A23,'P&amp;L Data'!A23:E165,3,FALSE)</f>
        <v>0</v>
      </c>
      <c r="D23" s="5">
        <f>VLOOKUP(A23,'P&amp;L Data'!A23:E165,4,FALSE)</f>
        <v>16663</v>
      </c>
      <c r="E23" s="24">
        <f>VLOOKUP(A23,'P&amp;L Data'!A23:E165,5,FALSE)</f>
        <v>0</v>
      </c>
    </row>
    <row r="24" spans="1:6" x14ac:dyDescent="0.25">
      <c r="A24" s="14" t="s">
        <v>114</v>
      </c>
      <c r="B24" s="5">
        <f>VLOOKUP(A24,'P&amp;L Data'!A24:E166,2,FALSE)</f>
        <v>1453</v>
      </c>
      <c r="C24" s="76">
        <f>VLOOKUP(A24,'P&amp;L Data'!A24:E166,3,FALSE)</f>
        <v>0</v>
      </c>
      <c r="D24" s="5">
        <f>VLOOKUP(A24,'P&amp;L Data'!A24:E166,4,FALSE)</f>
        <v>1453</v>
      </c>
      <c r="E24" s="24">
        <f>VLOOKUP(A24,'P&amp;L Data'!A24:E166,5,FALSE)</f>
        <v>0</v>
      </c>
    </row>
    <row r="25" spans="1:6" x14ac:dyDescent="0.25">
      <c r="A25" s="14" t="s">
        <v>115</v>
      </c>
      <c r="B25" s="5">
        <f>VLOOKUP(A25,'P&amp;L Data'!A25:E167,2,FALSE)</f>
        <v>3635</v>
      </c>
      <c r="C25" s="76">
        <f>VLOOKUP(A25,'P&amp;L Data'!A25:E167,3,FALSE)</f>
        <v>0</v>
      </c>
      <c r="D25" s="5">
        <f>VLOOKUP(A25,'P&amp;L Data'!A25:E167,4,FALSE)</f>
        <v>3635</v>
      </c>
      <c r="E25" s="24">
        <f>VLOOKUP(A25,'P&amp;L Data'!A25:E167,5,FALSE)</f>
        <v>0</v>
      </c>
    </row>
    <row r="26" spans="1:6" x14ac:dyDescent="0.25">
      <c r="A26" s="14" t="s">
        <v>116</v>
      </c>
      <c r="B26" s="5">
        <f>VLOOKUP(A26,'P&amp;L Data'!A26:E168,2,FALSE)</f>
        <v>2015</v>
      </c>
      <c r="C26" s="76">
        <f>VLOOKUP(A26,'P&amp;L Data'!A26:E168,3,FALSE)</f>
        <v>0</v>
      </c>
      <c r="D26" s="5">
        <f>VLOOKUP(A26,'P&amp;L Data'!A26:E168,4,FALSE)</f>
        <v>2015</v>
      </c>
      <c r="E26" s="24">
        <f>VLOOKUP(A26,'P&amp;L Data'!A26:E168,5,FALSE)</f>
        <v>0</v>
      </c>
    </row>
    <row r="27" spans="1:6" x14ac:dyDescent="0.25">
      <c r="A27" s="14" t="s">
        <v>117</v>
      </c>
      <c r="B27" s="5">
        <f>VLOOKUP(A27,'P&amp;L Data'!A27:E169,2,FALSE)</f>
        <v>4894</v>
      </c>
      <c r="C27" s="76">
        <f>VLOOKUP(A27,'P&amp;L Data'!A27:E169,3,FALSE)</f>
        <v>0</v>
      </c>
      <c r="D27" s="5">
        <f>VLOOKUP(A27,'P&amp;L Data'!A27:E169,4,FALSE)</f>
        <v>4894</v>
      </c>
      <c r="E27" s="24">
        <f>VLOOKUP(A27,'P&amp;L Data'!A27:E169,5,FALSE)</f>
        <v>0</v>
      </c>
    </row>
    <row r="28" spans="1:6" x14ac:dyDescent="0.25">
      <c r="A28" s="14" t="s">
        <v>118</v>
      </c>
      <c r="B28" s="5">
        <f>VLOOKUP(A28,'P&amp;L Data'!A28:E170,2,FALSE)</f>
        <v>0</v>
      </c>
      <c r="C28" s="76">
        <f>VLOOKUP(A28,'P&amp;L Data'!A28:E170,3,FALSE)</f>
        <v>0</v>
      </c>
      <c r="D28" s="5">
        <f>VLOOKUP(A28,'P&amp;L Data'!A28:E170,4,FALSE)</f>
        <v>0</v>
      </c>
      <c r="E28" s="24">
        <f>VLOOKUP(A28,'P&amp;L Data'!A28:E170,5,FALSE)</f>
        <v>0</v>
      </c>
    </row>
    <row r="29" spans="1:6" ht="14.95" thickBot="1" x14ac:dyDescent="0.3">
      <c r="A29" s="14" t="s">
        <v>126</v>
      </c>
      <c r="B29" s="56">
        <f>VLOOKUP(A29,'P&amp;L Data'!A29:E171,2,FALSE)</f>
        <v>0</v>
      </c>
      <c r="C29" s="76">
        <f>VLOOKUP(A29,'P&amp;L Data'!A29:E171,3,FALSE)</f>
        <v>0</v>
      </c>
      <c r="D29" s="56">
        <f>VLOOKUP(A29,'P&amp;L Data'!A29:E171,4,FALSE)</f>
        <v>0</v>
      </c>
      <c r="E29" s="24">
        <f>VLOOKUP(A29,'P&amp;L Data'!A29:E171,5,FALSE)</f>
        <v>0</v>
      </c>
    </row>
    <row r="30" spans="1:6" x14ac:dyDescent="0.25">
      <c r="A30" s="14" t="s">
        <v>21</v>
      </c>
      <c r="B30" s="63">
        <f>VLOOKUP(A30,'P&amp;L Data'!A30:E172,2,FALSE)</f>
        <v>28660</v>
      </c>
      <c r="C30" s="64">
        <f>VLOOKUP(A30,'P&amp;L Data'!A30:E172,3,FALSE)</f>
        <v>0</v>
      </c>
      <c r="D30" s="63">
        <f>VLOOKUP(A30,'P&amp;L Data'!A30:E172,4,FALSE)</f>
        <v>28660</v>
      </c>
      <c r="E30" s="65">
        <f>VLOOKUP(A30,'P&amp;L Data'!A30:E172,5,FALSE)</f>
        <v>0</v>
      </c>
    </row>
    <row r="31" spans="1:6" x14ac:dyDescent="0.25">
      <c r="A31" s="12" t="s">
        <v>22</v>
      </c>
      <c r="B31" s="2"/>
      <c r="C31" s="46"/>
      <c r="D31" s="2"/>
      <c r="E31" s="23"/>
    </row>
    <row r="32" spans="1:6" x14ac:dyDescent="0.25">
      <c r="A32" s="14" t="s">
        <v>127</v>
      </c>
      <c r="B32" s="3">
        <f>VLOOKUP(A32,'P&amp;L Data'!A32:E174,2,FALSE)</f>
        <v>105946</v>
      </c>
      <c r="C32" s="76">
        <f>VLOOKUP(A32,'P&amp;L Data'!A32:E174,3,FALSE)</f>
        <v>3.7</v>
      </c>
      <c r="D32" s="3">
        <f>VLOOKUP(A32,'P&amp;L Data'!A32:E174,4,FALSE)</f>
        <v>105946</v>
      </c>
      <c r="E32" s="24">
        <f>VLOOKUP(A32,'P&amp;L Data'!A32:E174,5,FALSE)</f>
        <v>3.7</v>
      </c>
    </row>
    <row r="33" spans="1:5" x14ac:dyDescent="0.25">
      <c r="A33" s="14" t="s">
        <v>128</v>
      </c>
      <c r="B33" s="5">
        <f>VLOOKUP(A33,'P&amp;L Data'!A33:E175,2,FALSE)</f>
        <v>85613</v>
      </c>
      <c r="C33" s="76">
        <f>VLOOKUP(A33,'P&amp;L Data'!A33:E175,3,FALSE)</f>
        <v>2.99</v>
      </c>
      <c r="D33" s="5">
        <f>VLOOKUP(A33,'P&amp;L Data'!A33:E175,4,FALSE)</f>
        <v>85613</v>
      </c>
      <c r="E33" s="24">
        <f>VLOOKUP(A33,'P&amp;L Data'!A33:E175,5,FALSE)</f>
        <v>2.99</v>
      </c>
    </row>
    <row r="34" spans="1:5" x14ac:dyDescent="0.25">
      <c r="A34" s="14" t="s">
        <v>129</v>
      </c>
      <c r="B34" s="3">
        <f>VLOOKUP(A34,'P&amp;L Data'!A34:E176,2,FALSE)</f>
        <v>800771</v>
      </c>
      <c r="C34" s="76">
        <f>VLOOKUP(A34,'P&amp;L Data'!A34:E176,3,FALSE)</f>
        <v>27.97</v>
      </c>
      <c r="D34" s="3">
        <f>VLOOKUP(A34,'P&amp;L Data'!A34:E176,4,FALSE)</f>
        <v>800771</v>
      </c>
      <c r="E34" s="24">
        <f>VLOOKUP(A34,'P&amp;L Data'!A34:E176,5,FALSE)</f>
        <v>27.97</v>
      </c>
    </row>
    <row r="35" spans="1:5" x14ac:dyDescent="0.25">
      <c r="A35" s="14" t="s">
        <v>130</v>
      </c>
      <c r="B35" s="3">
        <f>VLOOKUP(A35,'P&amp;L Data'!A35:E177,2,FALSE)</f>
        <v>442824</v>
      </c>
      <c r="C35" s="76">
        <f>VLOOKUP(A35,'P&amp;L Data'!A35:E177,3,FALSE)</f>
        <v>15.47</v>
      </c>
      <c r="D35" s="3">
        <f>VLOOKUP(A35,'P&amp;L Data'!A35:E177,4,FALSE)</f>
        <v>442824</v>
      </c>
      <c r="E35" s="24">
        <f>VLOOKUP(A35,'P&amp;L Data'!A35:E177,5,FALSE)</f>
        <v>15.47</v>
      </c>
    </row>
    <row r="36" spans="1:5" x14ac:dyDescent="0.25">
      <c r="A36" s="14" t="s">
        <v>131</v>
      </c>
      <c r="B36" s="3">
        <f>VLOOKUP(A36,'P&amp;L Data'!A36:E178,2,FALSE)</f>
        <v>1861774</v>
      </c>
      <c r="C36" s="76">
        <f>VLOOKUP(A36,'P&amp;L Data'!A36:E178,3,FALSE)</f>
        <v>65.040000000000006</v>
      </c>
      <c r="D36" s="3">
        <f>VLOOKUP(A36,'P&amp;L Data'!A36:E178,4,FALSE)</f>
        <v>1861774</v>
      </c>
      <c r="E36" s="24">
        <f>VLOOKUP(A36,'P&amp;L Data'!A36:E178,5,FALSE)</f>
        <v>65.040000000000006</v>
      </c>
    </row>
    <row r="37" spans="1:5" x14ac:dyDescent="0.25">
      <c r="A37" s="14" t="s">
        <v>132</v>
      </c>
      <c r="B37" s="3">
        <f>VLOOKUP(A37,'P&amp;L Data'!A37:E179,2,FALSE)</f>
        <v>92496</v>
      </c>
      <c r="C37" s="76">
        <f>VLOOKUP(A37,'P&amp;L Data'!A37:E179,3,FALSE)</f>
        <v>3.23</v>
      </c>
      <c r="D37" s="3">
        <f>VLOOKUP(A37,'P&amp;L Data'!A37:E179,4,FALSE)</f>
        <v>92496</v>
      </c>
      <c r="E37" s="24">
        <f>VLOOKUP(A37,'P&amp;L Data'!A37:E179,5,FALSE)</f>
        <v>3.23</v>
      </c>
    </row>
    <row r="38" spans="1:5" x14ac:dyDescent="0.25">
      <c r="A38" s="14" t="s">
        <v>133</v>
      </c>
      <c r="B38" s="5">
        <f>VLOOKUP(A38,'P&amp;L Data'!A38:E180,2,FALSE)</f>
        <v>0</v>
      </c>
      <c r="C38" s="76">
        <f>VLOOKUP(A38,'P&amp;L Data'!A38:E180,3,FALSE)</f>
        <v>0</v>
      </c>
      <c r="D38" s="5">
        <f>VLOOKUP(A38,'P&amp;L Data'!A38:E180,4,FALSE)</f>
        <v>0</v>
      </c>
      <c r="E38" s="24">
        <f>VLOOKUP(A38,'P&amp;L Data'!A38:E180,5,FALSE)</f>
        <v>0</v>
      </c>
    </row>
    <row r="39" spans="1:5" x14ac:dyDescent="0.25">
      <c r="A39" s="14" t="s">
        <v>134</v>
      </c>
      <c r="B39" s="3">
        <f>VLOOKUP(A39,'P&amp;L Data'!A39:E181,2,FALSE)</f>
        <v>177691</v>
      </c>
      <c r="C39" s="76">
        <f>VLOOKUP(A39,'P&amp;L Data'!A39:E181,3,FALSE)</f>
        <v>6.21</v>
      </c>
      <c r="D39" s="3">
        <f>VLOOKUP(A39,'P&amp;L Data'!A39:E181,4,FALSE)</f>
        <v>177691</v>
      </c>
      <c r="E39" s="24">
        <f>VLOOKUP(A39,'P&amp;L Data'!A39:E181,5,FALSE)</f>
        <v>6.21</v>
      </c>
    </row>
    <row r="40" spans="1:5" x14ac:dyDescent="0.25">
      <c r="A40" s="14" t="s">
        <v>135</v>
      </c>
      <c r="B40" s="3">
        <f>VLOOKUP(A40,'P&amp;L Data'!A40:E182,2,FALSE)</f>
        <v>18418</v>
      </c>
      <c r="C40" s="76">
        <f>VLOOKUP(A40,'P&amp;L Data'!A40:E182,3,FALSE)</f>
        <v>0.64</v>
      </c>
      <c r="D40" s="3">
        <f>VLOOKUP(A40,'P&amp;L Data'!A40:E182,4,FALSE)</f>
        <v>18418</v>
      </c>
      <c r="E40" s="24">
        <f>VLOOKUP(A40,'P&amp;L Data'!A40:E182,5,FALSE)</f>
        <v>0.64</v>
      </c>
    </row>
    <row r="41" spans="1:5" x14ac:dyDescent="0.25">
      <c r="A41" s="14" t="s">
        <v>136</v>
      </c>
      <c r="B41" s="3">
        <f>VLOOKUP(A41,'P&amp;L Data'!A41:E183,2,FALSE)</f>
        <v>167869</v>
      </c>
      <c r="C41" s="76">
        <f>VLOOKUP(A41,'P&amp;L Data'!A41:E183,3,FALSE)</f>
        <v>5.86</v>
      </c>
      <c r="D41" s="3">
        <f>VLOOKUP(A41,'P&amp;L Data'!A41:E183,4,FALSE)</f>
        <v>167869</v>
      </c>
      <c r="E41" s="24">
        <f>VLOOKUP(A41,'P&amp;L Data'!A41:E183,5,FALSE)</f>
        <v>5.86</v>
      </c>
    </row>
    <row r="42" spans="1:5" x14ac:dyDescent="0.25">
      <c r="A42" s="14" t="s">
        <v>137</v>
      </c>
      <c r="B42" s="3">
        <f>VLOOKUP(A42,'P&amp;L Data'!A42:E184,2,FALSE)</f>
        <v>107643</v>
      </c>
      <c r="C42" s="76">
        <f>VLOOKUP(A42,'P&amp;L Data'!A42:E184,3,FALSE)</f>
        <v>3.76</v>
      </c>
      <c r="D42" s="3">
        <f>VLOOKUP(A42,'P&amp;L Data'!A42:E184,4,FALSE)</f>
        <v>107643</v>
      </c>
      <c r="E42" s="24">
        <f>VLOOKUP(A42,'P&amp;L Data'!A42:E184,5,FALSE)</f>
        <v>3.76</v>
      </c>
    </row>
    <row r="43" spans="1:5" x14ac:dyDescent="0.25">
      <c r="A43" s="14" t="s">
        <v>138</v>
      </c>
      <c r="B43" s="5">
        <f>VLOOKUP(A43,'P&amp;L Data'!A43:E185,2,FALSE)</f>
        <v>8298</v>
      </c>
      <c r="C43" s="76">
        <f>VLOOKUP(A43,'P&amp;L Data'!A43:E185,3,FALSE)</f>
        <v>0.28999999999999998</v>
      </c>
      <c r="D43" s="5">
        <f>VLOOKUP(A43,'P&amp;L Data'!A43:E185,4,FALSE)</f>
        <v>8298</v>
      </c>
      <c r="E43" s="24">
        <f>VLOOKUP(A43,'P&amp;L Data'!A43:E185,5,FALSE)</f>
        <v>0.28999999999999998</v>
      </c>
    </row>
    <row r="44" spans="1:5" x14ac:dyDescent="0.25">
      <c r="A44" s="14" t="s">
        <v>139</v>
      </c>
      <c r="B44" s="3">
        <f>VLOOKUP(A44,'P&amp;L Data'!A44:E186,2,FALSE)</f>
        <v>122655</v>
      </c>
      <c r="C44" s="76">
        <f>VLOOKUP(A44,'P&amp;L Data'!A44:E186,3,FALSE)</f>
        <v>4.28</v>
      </c>
      <c r="D44" s="3">
        <f>VLOOKUP(A44,'P&amp;L Data'!A44:E186,4,FALSE)</f>
        <v>122655</v>
      </c>
      <c r="E44" s="24">
        <f>VLOOKUP(A44,'P&amp;L Data'!A44:E186,5,FALSE)</f>
        <v>4.28</v>
      </c>
    </row>
    <row r="45" spans="1:5" x14ac:dyDescent="0.25">
      <c r="A45" s="14" t="s">
        <v>140</v>
      </c>
      <c r="B45" s="3">
        <f>VLOOKUP(A45,'P&amp;L Data'!A45:E187,2,FALSE)</f>
        <v>30100</v>
      </c>
      <c r="C45" s="76">
        <f>VLOOKUP(A45,'P&amp;L Data'!A45:E187,3,FALSE)</f>
        <v>1.05</v>
      </c>
      <c r="D45" s="3">
        <f>VLOOKUP(A45,'P&amp;L Data'!A45:E187,4,FALSE)</f>
        <v>30100</v>
      </c>
      <c r="E45" s="24">
        <f>VLOOKUP(A45,'P&amp;L Data'!A45:E187,5,FALSE)</f>
        <v>1.05</v>
      </c>
    </row>
    <row r="46" spans="1:5" x14ac:dyDescent="0.25">
      <c r="A46" s="14" t="s">
        <v>141</v>
      </c>
      <c r="B46" s="5">
        <f>VLOOKUP(A46,'P&amp;L Data'!A46:E188,2,FALSE)</f>
        <v>0</v>
      </c>
      <c r="C46" s="76">
        <f>VLOOKUP(A46,'P&amp;L Data'!A46:E188,3,FALSE)</f>
        <v>0</v>
      </c>
      <c r="D46" s="5">
        <f>VLOOKUP(A46,'P&amp;L Data'!A46:E188,4,FALSE)</f>
        <v>0</v>
      </c>
      <c r="E46" s="24">
        <f>VLOOKUP(A46,'P&amp;L Data'!A46:E188,5,FALSE)</f>
        <v>0</v>
      </c>
    </row>
    <row r="47" spans="1:5" x14ac:dyDescent="0.25">
      <c r="A47" s="14" t="s">
        <v>142</v>
      </c>
      <c r="B47" s="3">
        <f>VLOOKUP(A47,'P&amp;L Data'!A47:E189,2,FALSE)</f>
        <v>22880</v>
      </c>
      <c r="C47" s="76">
        <f>VLOOKUP(A47,'P&amp;L Data'!A47:E189,3,FALSE)</f>
        <v>0.8</v>
      </c>
      <c r="D47" s="3">
        <f>VLOOKUP(A47,'P&amp;L Data'!A47:E189,4,FALSE)</f>
        <v>22880</v>
      </c>
      <c r="E47" s="24">
        <f>VLOOKUP(A47,'P&amp;L Data'!A47:E189,5,FALSE)</f>
        <v>0.8</v>
      </c>
    </row>
    <row r="48" spans="1:5" x14ac:dyDescent="0.25">
      <c r="A48" s="14" t="s">
        <v>143</v>
      </c>
      <c r="B48" s="5">
        <f>VLOOKUP(A48,'P&amp;L Data'!A48:E190,2,FALSE)</f>
        <v>13128</v>
      </c>
      <c r="C48" s="76">
        <f>VLOOKUP(A48,'P&amp;L Data'!A48:E190,3,FALSE)</f>
        <v>0.46</v>
      </c>
      <c r="D48" s="5">
        <f>VLOOKUP(A48,'P&amp;L Data'!A48:E190,4,FALSE)</f>
        <v>13128</v>
      </c>
      <c r="E48" s="24">
        <f>VLOOKUP(A48,'P&amp;L Data'!A48:E190,5,FALSE)</f>
        <v>0.46</v>
      </c>
    </row>
    <row r="49" spans="1:5" x14ac:dyDescent="0.25">
      <c r="A49" s="14" t="s">
        <v>144</v>
      </c>
      <c r="B49" s="5">
        <f>VLOOKUP(A49,'P&amp;L Data'!A49:E191,2,FALSE)</f>
        <v>26613</v>
      </c>
      <c r="C49" s="76">
        <f>VLOOKUP(A49,'P&amp;L Data'!A49:E191,3,FALSE)</f>
        <v>0.93</v>
      </c>
      <c r="D49" s="5">
        <f>VLOOKUP(A49,'P&amp;L Data'!A49:E191,4,FALSE)</f>
        <v>26613</v>
      </c>
      <c r="E49" s="24">
        <f>VLOOKUP(A49,'P&amp;L Data'!A49:E191,5,FALSE)</f>
        <v>0.93</v>
      </c>
    </row>
    <row r="50" spans="1:5" x14ac:dyDescent="0.25">
      <c r="A50" s="14" t="s">
        <v>145</v>
      </c>
      <c r="B50" s="3">
        <f>VLOOKUP(A50,'P&amp;L Data'!A50:E192,2,FALSE)</f>
        <v>12011</v>
      </c>
      <c r="C50" s="76">
        <f>VLOOKUP(A50,'P&amp;L Data'!A50:E192,3,FALSE)</f>
        <v>0.42</v>
      </c>
      <c r="D50" s="3">
        <f>VLOOKUP(A50,'P&amp;L Data'!A50:E192,4,FALSE)</f>
        <v>12011</v>
      </c>
      <c r="E50" s="24">
        <f>VLOOKUP(A50,'P&amp;L Data'!A50:E192,5,FALSE)</f>
        <v>0.42</v>
      </c>
    </row>
    <row r="51" spans="1:5" x14ac:dyDescent="0.25">
      <c r="A51" s="14" t="s">
        <v>146</v>
      </c>
      <c r="B51" s="5">
        <f>VLOOKUP(A51,'P&amp;L Data'!A51:E193,2,FALSE)</f>
        <v>10845</v>
      </c>
      <c r="C51" s="76">
        <f>VLOOKUP(A51,'P&amp;L Data'!A51:E193,3,FALSE)</f>
        <v>0.38</v>
      </c>
      <c r="D51" s="5">
        <f>VLOOKUP(A51,'P&amp;L Data'!A51:E193,4,FALSE)</f>
        <v>10845</v>
      </c>
      <c r="E51" s="24">
        <f>VLOOKUP(A51,'P&amp;L Data'!A51:E193,5,FALSE)</f>
        <v>0.38</v>
      </c>
    </row>
    <row r="52" spans="1:5" ht="14.95" thickBot="1" x14ac:dyDescent="0.3">
      <c r="A52" s="14" t="s">
        <v>147</v>
      </c>
      <c r="B52" s="5">
        <f>VLOOKUP(A52,'P&amp;L Data'!A52:E194,2,FALSE)</f>
        <v>0</v>
      </c>
      <c r="C52" s="24">
        <f>VLOOKUP(A52,'P&amp;L Data'!A52:E194,3,FALSE)</f>
        <v>0</v>
      </c>
      <c r="D52" s="5">
        <f>VLOOKUP(A52,'P&amp;L Data'!A52:E194,4,FALSE)</f>
        <v>0</v>
      </c>
      <c r="E52" s="24">
        <f>VLOOKUP(A52,'P&amp;L Data'!A52:E194,5,FALSE)</f>
        <v>0</v>
      </c>
    </row>
    <row r="53" spans="1:5" x14ac:dyDescent="0.25">
      <c r="A53" s="14" t="s">
        <v>23</v>
      </c>
      <c r="B53" s="66">
        <f>VLOOKUP(A53,'P&amp;L Data'!A53:E195,2,FALSE)</f>
        <v>4107575</v>
      </c>
      <c r="C53" s="67">
        <f>VLOOKUP(A53,'P&amp;L Data'!A53:E195,3,FALSE)</f>
        <v>143.49</v>
      </c>
      <c r="D53" s="82">
        <f>VLOOKUP(A53,'P&amp;L Data'!A53:E195,4,FALSE)</f>
        <v>4107575</v>
      </c>
      <c r="E53" s="83">
        <f>VLOOKUP(A53,'P&amp;L Data'!A53:E195,5,FALSE)</f>
        <v>143.49</v>
      </c>
    </row>
    <row r="54" spans="1:5" x14ac:dyDescent="0.25">
      <c r="A54" s="12" t="s">
        <v>24</v>
      </c>
      <c r="B54" s="2"/>
      <c r="C54" s="46"/>
      <c r="D54" s="84"/>
      <c r="E54" s="23"/>
    </row>
    <row r="55" spans="1:5" x14ac:dyDescent="0.25">
      <c r="A55" s="14" t="s">
        <v>148</v>
      </c>
      <c r="B55" s="3">
        <f>VLOOKUP(A55,'P&amp;L Data'!A55:E197,2,FALSE)</f>
        <v>273865</v>
      </c>
      <c r="C55" s="76">
        <f>VLOOKUP(A55,'P&amp;L Data'!A55:E197,3,FALSE)</f>
        <v>9.57</v>
      </c>
      <c r="D55" s="56">
        <f>VLOOKUP(A55,'P&amp;L Data'!A55:E197,4,FALSE)</f>
        <v>273865</v>
      </c>
      <c r="E55" s="24">
        <f>VLOOKUP(A55,'P&amp;L Data'!A55:E197,5,FALSE)</f>
        <v>9.57</v>
      </c>
    </row>
    <row r="56" spans="1:5" x14ac:dyDescent="0.25">
      <c r="A56" s="14" t="s">
        <v>149</v>
      </c>
      <c r="B56" s="3">
        <f>VLOOKUP(A56,'P&amp;L Data'!A56:E198,2,FALSE)</f>
        <v>240239</v>
      </c>
      <c r="C56" s="76">
        <f>VLOOKUP(A56,'P&amp;L Data'!A56:E198,3,FALSE)</f>
        <v>8.39</v>
      </c>
      <c r="D56" s="56">
        <f>VLOOKUP(A56,'P&amp;L Data'!A56:E198,4,FALSE)</f>
        <v>240239</v>
      </c>
      <c r="E56" s="24">
        <f>VLOOKUP(A56,'P&amp;L Data'!A56:E198,5,FALSE)</f>
        <v>8.39</v>
      </c>
    </row>
    <row r="57" spans="1:5" x14ac:dyDescent="0.25">
      <c r="A57" s="14" t="s">
        <v>150</v>
      </c>
      <c r="B57" s="5">
        <f>VLOOKUP(A57,'P&amp;L Data'!A57:E199,2,FALSE)</f>
        <v>33775</v>
      </c>
      <c r="C57" s="76">
        <f>VLOOKUP(A57,'P&amp;L Data'!A57:E199,3,FALSE)</f>
        <v>1.18</v>
      </c>
      <c r="D57" s="60">
        <f>VLOOKUP(A57,'P&amp;L Data'!A57:E199,4,FALSE)</f>
        <v>33775</v>
      </c>
      <c r="E57" s="24">
        <f>VLOOKUP(A57,'P&amp;L Data'!A57:E199,5,FALSE)</f>
        <v>1.18</v>
      </c>
    </row>
    <row r="58" spans="1:5" x14ac:dyDescent="0.25">
      <c r="A58" s="14" t="s">
        <v>151</v>
      </c>
      <c r="B58" s="5">
        <f>VLOOKUP(A58,'P&amp;L Data'!A58:E200,2,FALSE)</f>
        <v>14341</v>
      </c>
      <c r="C58" s="76">
        <f>VLOOKUP(A58,'P&amp;L Data'!A58:E200,3,FALSE)</f>
        <v>0.5</v>
      </c>
      <c r="D58" s="60">
        <f>VLOOKUP(A58,'P&amp;L Data'!A58:E200,4,FALSE)</f>
        <v>14341</v>
      </c>
      <c r="E58" s="24">
        <f>VLOOKUP(A58,'P&amp;L Data'!A58:E200,5,FALSE)</f>
        <v>0.5</v>
      </c>
    </row>
    <row r="59" spans="1:5" x14ac:dyDescent="0.25">
      <c r="A59" s="14" t="s">
        <v>152</v>
      </c>
      <c r="B59" s="3">
        <f>VLOOKUP(A59,'P&amp;L Data'!A59:E201,2,FALSE)</f>
        <v>71025</v>
      </c>
      <c r="C59" s="76">
        <f>VLOOKUP(A59,'P&amp;L Data'!A59:E201,3,FALSE)</f>
        <v>2.48</v>
      </c>
      <c r="D59" s="56">
        <f>VLOOKUP(A59,'P&amp;L Data'!A59:E201,4,FALSE)</f>
        <v>71025</v>
      </c>
      <c r="E59" s="24">
        <f>VLOOKUP(A59,'P&amp;L Data'!A59:E201,5,FALSE)</f>
        <v>2.48</v>
      </c>
    </row>
    <row r="60" spans="1:5" x14ac:dyDescent="0.25">
      <c r="A60" s="14" t="s">
        <v>153</v>
      </c>
      <c r="B60" s="3">
        <f>VLOOKUP(A60,'P&amp;L Data'!A60:E202,2,FALSE)</f>
        <v>38945</v>
      </c>
      <c r="C60" s="76">
        <f>VLOOKUP(A60,'P&amp;L Data'!A60:E202,3,FALSE)</f>
        <v>1.36</v>
      </c>
      <c r="D60" s="56">
        <f>VLOOKUP(A60,'P&amp;L Data'!A60:E202,4,FALSE)</f>
        <v>38945</v>
      </c>
      <c r="E60" s="24">
        <f>VLOOKUP(A60,'P&amp;L Data'!A60:E202,5,FALSE)</f>
        <v>1.36</v>
      </c>
    </row>
    <row r="61" spans="1:5" x14ac:dyDescent="0.25">
      <c r="A61" s="14" t="s">
        <v>154</v>
      </c>
      <c r="B61" s="3">
        <f>VLOOKUP(A61,'P&amp;L Data'!A61:E203,2,FALSE)</f>
        <v>0</v>
      </c>
      <c r="C61" s="76">
        <f>VLOOKUP(A61,'P&amp;L Data'!A61:E203,3,FALSE)</f>
        <v>0</v>
      </c>
      <c r="D61" s="56">
        <f>VLOOKUP(A61,'P&amp;L Data'!A61:E203,4,FALSE)</f>
        <v>0</v>
      </c>
      <c r="E61" s="24">
        <f>VLOOKUP(A61,'P&amp;L Data'!A61:E203,5,FALSE)</f>
        <v>0</v>
      </c>
    </row>
    <row r="62" spans="1:5" x14ac:dyDescent="0.25">
      <c r="A62" s="14" t="s">
        <v>155</v>
      </c>
      <c r="B62" s="5">
        <f>VLOOKUP(A62,'P&amp;L Data'!A62:E204,2,FALSE)</f>
        <v>5946</v>
      </c>
      <c r="C62" s="76">
        <f>VLOOKUP(A62,'P&amp;L Data'!A62:E204,3,FALSE)</f>
        <v>0.21</v>
      </c>
      <c r="D62" s="60">
        <f>VLOOKUP(A62,'P&amp;L Data'!A62:E204,4,FALSE)</f>
        <v>5946</v>
      </c>
      <c r="E62" s="24">
        <f>VLOOKUP(A62,'P&amp;L Data'!A62:E204,5,FALSE)</f>
        <v>0.21</v>
      </c>
    </row>
    <row r="63" spans="1:5" ht="14.95" thickBot="1" x14ac:dyDescent="0.3">
      <c r="A63" s="14" t="s">
        <v>156</v>
      </c>
      <c r="B63" s="69">
        <f>VLOOKUP(A63,'P&amp;L Data'!A63:E205,2,FALSE)</f>
        <v>17083</v>
      </c>
      <c r="C63" s="77">
        <f>VLOOKUP(A63,'P&amp;L Data'!A63:E205,3,FALSE)</f>
        <v>0.6</v>
      </c>
      <c r="D63" s="85">
        <f>VLOOKUP(A63,'P&amp;L Data'!A63:E205,4,FALSE)</f>
        <v>17083</v>
      </c>
      <c r="E63" s="86">
        <f>VLOOKUP(A63,'P&amp;L Data'!A63:E205,5,FALSE)</f>
        <v>0.6</v>
      </c>
    </row>
    <row r="64" spans="1:5" x14ac:dyDescent="0.25">
      <c r="A64" s="14" t="s">
        <v>25</v>
      </c>
      <c r="B64" s="66">
        <f>VLOOKUP(A64,'P&amp;L Data'!A64:E206,2,FALSE)</f>
        <v>695220</v>
      </c>
      <c r="C64" s="67">
        <f>VLOOKUP(A64,'P&amp;L Data'!A64:E206,3,FALSE)</f>
        <v>24.29</v>
      </c>
      <c r="D64" s="81">
        <f>VLOOKUP(A64,'P&amp;L Data'!A64:E206,4,FALSE)</f>
        <v>695220</v>
      </c>
      <c r="E64" s="78">
        <f>VLOOKUP(A64,'P&amp;L Data'!A64:E206,5,FALSE)</f>
        <v>24.29</v>
      </c>
    </row>
    <row r="65" spans="1:5" x14ac:dyDescent="0.25">
      <c r="A65" s="12" t="s">
        <v>26</v>
      </c>
      <c r="B65" s="2"/>
      <c r="C65" s="46"/>
      <c r="D65" s="2"/>
      <c r="E65" s="23"/>
    </row>
    <row r="66" spans="1:5" x14ac:dyDescent="0.25">
      <c r="A66" s="14" t="s">
        <v>157</v>
      </c>
      <c r="B66" s="3">
        <f>VLOOKUP(A66,'P&amp;L Data'!A66:E208,2,FALSE)</f>
        <v>69813</v>
      </c>
      <c r="C66" s="76">
        <f>VLOOKUP(A66,'P&amp;L Data'!A66:E208,3,FALSE)</f>
        <v>2.44</v>
      </c>
      <c r="D66" s="3">
        <f>VLOOKUP(A66,'P&amp;L Data'!A66:E208,4,FALSE)</f>
        <v>69813</v>
      </c>
      <c r="E66" s="24">
        <f>VLOOKUP(A66,'P&amp;L Data'!A66:E208,5,FALSE)</f>
        <v>2.44</v>
      </c>
    </row>
    <row r="67" spans="1:5" x14ac:dyDescent="0.25">
      <c r="A67" s="14" t="s">
        <v>158</v>
      </c>
      <c r="B67" s="3">
        <f>VLOOKUP(A67,'P&amp;L Data'!A67:E209,2,FALSE)</f>
        <v>39025</v>
      </c>
      <c r="C67" s="76">
        <f>VLOOKUP(A67,'P&amp;L Data'!A67:E209,3,FALSE)</f>
        <v>1.36</v>
      </c>
      <c r="D67" s="3">
        <f>VLOOKUP(A67,'P&amp;L Data'!A67:E209,4,FALSE)</f>
        <v>39025</v>
      </c>
      <c r="E67" s="24">
        <f>VLOOKUP(A67,'P&amp;L Data'!A67:E209,5,FALSE)</f>
        <v>1.36</v>
      </c>
    </row>
    <row r="68" spans="1:5" x14ac:dyDescent="0.25">
      <c r="A68" s="14" t="s">
        <v>159</v>
      </c>
      <c r="B68" s="5">
        <f>VLOOKUP(A68,'P&amp;L Data'!A68:E210,2,FALSE)</f>
        <v>0</v>
      </c>
      <c r="C68" s="76">
        <f>VLOOKUP(A68,'P&amp;L Data'!A68:E210,3,FALSE)</f>
        <v>0</v>
      </c>
      <c r="D68" s="5">
        <f>VLOOKUP(A68,'P&amp;L Data'!A68:E210,4,FALSE)</f>
        <v>0</v>
      </c>
      <c r="E68" s="24">
        <f>VLOOKUP(A68,'P&amp;L Data'!A68:E210,5,FALSE)</f>
        <v>0</v>
      </c>
    </row>
    <row r="69" spans="1:5" ht="14.95" thickBot="1" x14ac:dyDescent="0.3">
      <c r="A69" s="14" t="s">
        <v>160</v>
      </c>
      <c r="B69" s="3">
        <f>VLOOKUP(A69,'P&amp;L Data'!A69:E211,2,FALSE)</f>
        <v>5565</v>
      </c>
      <c r="C69" s="76">
        <f>VLOOKUP(A69,'P&amp;L Data'!A69:E211,3,FALSE)</f>
        <v>0.19</v>
      </c>
      <c r="D69" s="3">
        <f>VLOOKUP(A69,'P&amp;L Data'!A69:E211,4,FALSE)</f>
        <v>5565</v>
      </c>
      <c r="E69" s="24">
        <f>VLOOKUP(A69,'P&amp;L Data'!A69:E211,5,FALSE)</f>
        <v>0.19</v>
      </c>
    </row>
    <row r="70" spans="1:5" x14ac:dyDescent="0.25">
      <c r="A70" s="14" t="s">
        <v>27</v>
      </c>
      <c r="B70" s="66">
        <f>VLOOKUP(A70,'P&amp;L Data'!A70:E212,2,FALSE)</f>
        <v>114403</v>
      </c>
      <c r="C70" s="67">
        <f>VLOOKUP(A70,'P&amp;L Data'!A70:E212,3,FALSE)</f>
        <v>4</v>
      </c>
      <c r="D70" s="66">
        <f>VLOOKUP(A70,'P&amp;L Data'!A70:E212,4,FALSE)</f>
        <v>114403</v>
      </c>
      <c r="E70" s="68">
        <f>VLOOKUP(A70,'P&amp;L Data'!A70:E212,5,FALSE)</f>
        <v>4</v>
      </c>
    </row>
    <row r="71" spans="1:5" x14ac:dyDescent="0.25">
      <c r="A71" s="12" t="s">
        <v>28</v>
      </c>
      <c r="B71" s="2"/>
      <c r="C71" s="46"/>
      <c r="D71" s="2"/>
      <c r="E71" s="23"/>
    </row>
    <row r="72" spans="1:5" x14ac:dyDescent="0.25">
      <c r="A72" s="14" t="s">
        <v>161</v>
      </c>
      <c r="B72" s="3">
        <f>VLOOKUP(A72,'P&amp;L Data'!A72:E214,2,FALSE)</f>
        <v>142657</v>
      </c>
      <c r="C72" s="76">
        <f>VLOOKUP(A72,'P&amp;L Data'!A72:E214,3,FALSE)</f>
        <v>4.9800000000000004</v>
      </c>
      <c r="D72" s="3">
        <f>VLOOKUP(A72,'P&amp;L Data'!A72:E214,4,FALSE)</f>
        <v>142657</v>
      </c>
      <c r="E72" s="24">
        <f>VLOOKUP(A72,'P&amp;L Data'!A72:E214,5,FALSE)</f>
        <v>4.9800000000000004</v>
      </c>
    </row>
    <row r="73" spans="1:5" ht="14.95" thickBot="1" x14ac:dyDescent="0.3">
      <c r="A73" s="14" t="s">
        <v>162</v>
      </c>
      <c r="B73" s="3">
        <f>VLOOKUP(A73,'P&amp;L Data'!A73:E215,2,FALSE)</f>
        <v>19289</v>
      </c>
      <c r="C73" s="76">
        <f>VLOOKUP(A73,'P&amp;L Data'!A73:E215,3,FALSE)</f>
        <v>0.67</v>
      </c>
      <c r="D73" s="3">
        <f>VLOOKUP(A73,'P&amp;L Data'!A73:E215,4,FALSE)</f>
        <v>19289</v>
      </c>
      <c r="E73" s="24">
        <f>VLOOKUP(A73,'P&amp;L Data'!A73:E215,5,FALSE)</f>
        <v>0.67</v>
      </c>
    </row>
    <row r="74" spans="1:5" x14ac:dyDescent="0.25">
      <c r="A74" s="14" t="s">
        <v>29</v>
      </c>
      <c r="B74" s="66">
        <f>VLOOKUP(A74,'P&amp;L Data'!A74:E216,2,FALSE)</f>
        <v>161946</v>
      </c>
      <c r="C74" s="67">
        <f>VLOOKUP(A74,'P&amp;L Data'!A74:E216,3,FALSE)</f>
        <v>5.66</v>
      </c>
      <c r="D74" s="66">
        <f>VLOOKUP(A74,'P&amp;L Data'!A74:E216,4,FALSE)</f>
        <v>161946</v>
      </c>
      <c r="E74" s="68">
        <f>VLOOKUP(A74,'P&amp;L Data'!A74:E216,5,FALSE)</f>
        <v>5.66</v>
      </c>
    </row>
    <row r="75" spans="1:5" x14ac:dyDescent="0.25">
      <c r="A75" s="12" t="s">
        <v>30</v>
      </c>
      <c r="B75" s="2"/>
      <c r="C75" s="46"/>
      <c r="D75" s="2"/>
      <c r="E75" s="23"/>
    </row>
    <row r="76" spans="1:5" x14ac:dyDescent="0.25">
      <c r="A76" s="14" t="s">
        <v>163</v>
      </c>
      <c r="B76" s="3">
        <f>VLOOKUP(A76,'P&amp;L Data'!A76:E218,2,FALSE)</f>
        <v>133497</v>
      </c>
      <c r="C76" s="76">
        <f>VLOOKUP(A76,'P&amp;L Data'!A76:E218,3,FALSE)</f>
        <v>4.66</v>
      </c>
      <c r="D76" s="3">
        <f>VLOOKUP(A76,'P&amp;L Data'!A76:E218,4,FALSE)</f>
        <v>133497</v>
      </c>
      <c r="E76" s="24">
        <f>VLOOKUP(A76,'P&amp;L Data'!A76:E218,5,FALSE)</f>
        <v>4.66</v>
      </c>
    </row>
    <row r="77" spans="1:5" x14ac:dyDescent="0.25">
      <c r="A77" s="14" t="s">
        <v>164</v>
      </c>
      <c r="B77" s="5">
        <f>VLOOKUP(A77,'P&amp;L Data'!A77:E219,2,FALSE)</f>
        <v>70169</v>
      </c>
      <c r="C77" s="76">
        <f>VLOOKUP(A77,'P&amp;L Data'!A77:E219,3,FALSE)</f>
        <v>2.4500000000000002</v>
      </c>
      <c r="D77" s="5">
        <f>VLOOKUP(A77,'P&amp;L Data'!A77:E219,4,FALSE)</f>
        <v>70169</v>
      </c>
      <c r="E77" s="24">
        <f>VLOOKUP(A77,'P&amp;L Data'!A77:E219,5,FALSE)</f>
        <v>2.4500000000000002</v>
      </c>
    </row>
    <row r="78" spans="1:5" x14ac:dyDescent="0.25">
      <c r="A78" s="14" t="s">
        <v>165</v>
      </c>
      <c r="B78" s="3">
        <f>VLOOKUP(A78,'P&amp;L Data'!A78:E220,2,FALSE)</f>
        <v>143776</v>
      </c>
      <c r="C78" s="76">
        <f>VLOOKUP(A78,'P&amp;L Data'!A78:E220,3,FALSE)</f>
        <v>5.0199999999999996</v>
      </c>
      <c r="D78" s="3">
        <f>VLOOKUP(A78,'P&amp;L Data'!A78:E220,4,FALSE)</f>
        <v>143776</v>
      </c>
      <c r="E78" s="24">
        <f>VLOOKUP(A78,'P&amp;L Data'!A78:E220,5,FALSE)</f>
        <v>5.0199999999999996</v>
      </c>
    </row>
    <row r="79" spans="1:5" x14ac:dyDescent="0.25">
      <c r="A79" s="14" t="s">
        <v>166</v>
      </c>
      <c r="B79" s="5">
        <f>VLOOKUP(A79,'P&amp;L Data'!A79:E221,2,FALSE)</f>
        <v>0</v>
      </c>
      <c r="C79" s="76">
        <f>VLOOKUP(A79,'P&amp;L Data'!A79:E221,3,FALSE)</f>
        <v>0</v>
      </c>
      <c r="D79" s="5">
        <f>VLOOKUP(A79,'P&amp;L Data'!A79:E221,4,FALSE)</f>
        <v>0</v>
      </c>
      <c r="E79" s="24">
        <f>VLOOKUP(A79,'P&amp;L Data'!A79:E221,5,FALSE)</f>
        <v>0</v>
      </c>
    </row>
    <row r="80" spans="1:5" x14ac:dyDescent="0.25">
      <c r="A80" s="14" t="s">
        <v>167</v>
      </c>
      <c r="B80" s="3">
        <f>VLOOKUP(A80,'P&amp;L Data'!A80:E222,2,FALSE)</f>
        <v>20397</v>
      </c>
      <c r="C80" s="76">
        <f>VLOOKUP(A80,'P&amp;L Data'!A80:E222,3,FALSE)</f>
        <v>0.71</v>
      </c>
      <c r="D80" s="3">
        <f>VLOOKUP(A80,'P&amp;L Data'!A80:E222,4,FALSE)</f>
        <v>20397</v>
      </c>
      <c r="E80" s="24">
        <f>VLOOKUP(A80,'P&amp;L Data'!A80:E222,5,FALSE)</f>
        <v>0.71</v>
      </c>
    </row>
    <row r="81" spans="1:5" x14ac:dyDescent="0.25">
      <c r="A81" s="14" t="s">
        <v>168</v>
      </c>
      <c r="B81" s="5">
        <f>VLOOKUP(A81,'P&amp;L Data'!A81:E223,2,FALSE)</f>
        <v>0</v>
      </c>
      <c r="C81" s="76">
        <f>VLOOKUP(A81,'P&amp;L Data'!A81:E223,3,FALSE)</f>
        <v>0</v>
      </c>
      <c r="D81" s="5">
        <f>VLOOKUP(A81,'P&amp;L Data'!A81:E223,4,FALSE)</f>
        <v>0</v>
      </c>
      <c r="E81" s="24">
        <f>VLOOKUP(A81,'P&amp;L Data'!A81:E223,5,FALSE)</f>
        <v>0</v>
      </c>
    </row>
    <row r="82" spans="1:5" x14ac:dyDescent="0.25">
      <c r="A82" s="14" t="s">
        <v>169</v>
      </c>
      <c r="B82" s="5">
        <f>VLOOKUP(A82,'P&amp;L Data'!A82:E224,2,FALSE)</f>
        <v>4667</v>
      </c>
      <c r="C82" s="76">
        <f>VLOOKUP(A82,'P&amp;L Data'!A82:E224,3,FALSE)</f>
        <v>0.16</v>
      </c>
      <c r="D82" s="5">
        <f>VLOOKUP(A82,'P&amp;L Data'!A82:E224,4,FALSE)</f>
        <v>4667</v>
      </c>
      <c r="E82" s="24">
        <f>VLOOKUP(A82,'P&amp;L Data'!A82:E224,5,FALSE)</f>
        <v>0.16</v>
      </c>
    </row>
    <row r="83" spans="1:5" x14ac:dyDescent="0.25">
      <c r="A83" s="14" t="s">
        <v>170</v>
      </c>
      <c r="B83" s="5">
        <f>VLOOKUP(A83,'P&amp;L Data'!A83:E225,2,FALSE)</f>
        <v>8525</v>
      </c>
      <c r="C83" s="76">
        <f>VLOOKUP(A83,'P&amp;L Data'!A83:E225,3,FALSE)</f>
        <v>0.3</v>
      </c>
      <c r="D83" s="5">
        <f>VLOOKUP(A83,'P&amp;L Data'!A83:E225,4,FALSE)</f>
        <v>8525</v>
      </c>
      <c r="E83" s="24">
        <f>VLOOKUP(A83,'P&amp;L Data'!A83:E225,5,FALSE)</f>
        <v>0.3</v>
      </c>
    </row>
    <row r="84" spans="1:5" x14ac:dyDescent="0.25">
      <c r="A84" s="14" t="s">
        <v>171</v>
      </c>
      <c r="B84" s="3">
        <f>VLOOKUP(A84,'P&amp;L Data'!A84:E226,2,FALSE)</f>
        <v>30250</v>
      </c>
      <c r="C84" s="76">
        <f>VLOOKUP(A84,'P&amp;L Data'!A84:E226,3,FALSE)</f>
        <v>1.06</v>
      </c>
      <c r="D84" s="3">
        <f>VLOOKUP(A84,'P&amp;L Data'!A84:E226,4,FALSE)</f>
        <v>30250</v>
      </c>
      <c r="E84" s="24">
        <f>VLOOKUP(A84,'P&amp;L Data'!A84:E226,5,FALSE)</f>
        <v>1.06</v>
      </c>
    </row>
    <row r="85" spans="1:5" x14ac:dyDescent="0.25">
      <c r="A85" s="14" t="s">
        <v>172</v>
      </c>
      <c r="B85" s="3">
        <f>VLOOKUP(A85,'P&amp;L Data'!A85:E227,2,FALSE)</f>
        <v>207209</v>
      </c>
      <c r="C85" s="76">
        <f>VLOOKUP(A85,'P&amp;L Data'!A85:E227,3,FALSE)</f>
        <v>7.24</v>
      </c>
      <c r="D85" s="3">
        <f>VLOOKUP(A85,'P&amp;L Data'!A85:E227,4,FALSE)</f>
        <v>207209</v>
      </c>
      <c r="E85" s="24">
        <f>VLOOKUP(A85,'P&amp;L Data'!A85:E227,5,FALSE)</f>
        <v>7.24</v>
      </c>
    </row>
    <row r="86" spans="1:5" x14ac:dyDescent="0.25">
      <c r="A86" s="14" t="s">
        <v>173</v>
      </c>
      <c r="B86" s="5">
        <f>VLOOKUP(A86,'P&amp;L Data'!A86:E228,2,FALSE)</f>
        <v>8600</v>
      </c>
      <c r="C86" s="76">
        <f>VLOOKUP(A86,'P&amp;L Data'!A86:E228,3,FALSE)</f>
        <v>0.3</v>
      </c>
      <c r="D86" s="5">
        <f>VLOOKUP(A86,'P&amp;L Data'!A86:E228,4,FALSE)</f>
        <v>8600</v>
      </c>
      <c r="E86" s="24">
        <f>VLOOKUP(A86,'P&amp;L Data'!A86:E228,5,FALSE)</f>
        <v>0.3</v>
      </c>
    </row>
    <row r="87" spans="1:5" x14ac:dyDescent="0.25">
      <c r="A87" s="14" t="s">
        <v>174</v>
      </c>
      <c r="B87" s="3">
        <f>VLOOKUP(A87,'P&amp;L Data'!A87:E229,2,FALSE)</f>
        <v>16218</v>
      </c>
      <c r="C87" s="76">
        <f>VLOOKUP(A87,'P&amp;L Data'!A87:E229,3,FALSE)</f>
        <v>0.56999999999999995</v>
      </c>
      <c r="D87" s="3">
        <f>VLOOKUP(A87,'P&amp;L Data'!A87:E229,4,FALSE)</f>
        <v>16218</v>
      </c>
      <c r="E87" s="24">
        <f>VLOOKUP(A87,'P&amp;L Data'!A87:E229,5,FALSE)</f>
        <v>0.56999999999999995</v>
      </c>
    </row>
    <row r="88" spans="1:5" x14ac:dyDescent="0.25">
      <c r="A88" s="14" t="s">
        <v>175</v>
      </c>
      <c r="B88" s="5">
        <f>VLOOKUP(A88,'P&amp;L Data'!A88:E230,2,FALSE)</f>
        <v>0</v>
      </c>
      <c r="C88" s="76">
        <f>VLOOKUP(A88,'P&amp;L Data'!A88:E230,3,FALSE)</f>
        <v>0</v>
      </c>
      <c r="D88" s="5">
        <f>VLOOKUP(A88,'P&amp;L Data'!A88:E230,4,FALSE)</f>
        <v>0</v>
      </c>
      <c r="E88" s="24">
        <f>VLOOKUP(A88,'P&amp;L Data'!A88:E230,5,FALSE)</f>
        <v>0</v>
      </c>
    </row>
    <row r="89" spans="1:5" x14ac:dyDescent="0.25">
      <c r="A89" s="14" t="s">
        <v>176</v>
      </c>
      <c r="B89" s="3">
        <f>VLOOKUP(A89,'P&amp;L Data'!A89:E231,2,FALSE)</f>
        <v>59187</v>
      </c>
      <c r="C89" s="76">
        <f>VLOOKUP(A89,'P&amp;L Data'!A89:E231,3,FALSE)</f>
        <v>2.0699999999999998</v>
      </c>
      <c r="D89" s="3">
        <f>VLOOKUP(A89,'P&amp;L Data'!A89:E231,4,FALSE)</f>
        <v>59187</v>
      </c>
      <c r="E89" s="24">
        <f>VLOOKUP(A89,'P&amp;L Data'!A89:E231,5,FALSE)</f>
        <v>2.0699999999999998</v>
      </c>
    </row>
    <row r="90" spans="1:5" ht="14.95" thickBot="1" x14ac:dyDescent="0.3">
      <c r="A90" s="14" t="s">
        <v>177</v>
      </c>
      <c r="B90" s="5">
        <f>VLOOKUP(A90,'P&amp;L Data'!A90:E232,2,FALSE)</f>
        <v>31357</v>
      </c>
      <c r="C90" s="76">
        <f>VLOOKUP(A90,'P&amp;L Data'!A90:E232,3,FALSE)</f>
        <v>1.1000000000000001</v>
      </c>
      <c r="D90" s="5">
        <f>VLOOKUP(A90,'P&amp;L Data'!A90:E232,4,FALSE)</f>
        <v>31357</v>
      </c>
      <c r="E90" s="24">
        <f>VLOOKUP(A90,'P&amp;L Data'!A90:E232,5,FALSE)</f>
        <v>1.1000000000000001</v>
      </c>
    </row>
    <row r="91" spans="1:5" x14ac:dyDescent="0.25">
      <c r="A91" s="14" t="s">
        <v>31</v>
      </c>
      <c r="B91" s="66">
        <f>VLOOKUP(A91,'P&amp;L Data'!A91:E233,2,FALSE)</f>
        <v>733852</v>
      </c>
      <c r="C91" s="67">
        <f>VLOOKUP(A91,'P&amp;L Data'!A91:E233,3,FALSE)</f>
        <v>25.63</v>
      </c>
      <c r="D91" s="66">
        <f>VLOOKUP(A91,'P&amp;L Data'!A91:E233,4,FALSE)</f>
        <v>733852</v>
      </c>
      <c r="E91" s="68">
        <f>VLOOKUP(A91,'P&amp;L Data'!A91:E233,5,FALSE)</f>
        <v>25.63</v>
      </c>
    </row>
    <row r="92" spans="1:5" x14ac:dyDescent="0.25">
      <c r="A92" s="12" t="s">
        <v>32</v>
      </c>
      <c r="B92" s="2"/>
      <c r="C92" s="46"/>
      <c r="D92" s="2"/>
      <c r="E92" s="23"/>
    </row>
    <row r="93" spans="1:5" x14ac:dyDescent="0.25">
      <c r="A93" s="14" t="s">
        <v>178</v>
      </c>
      <c r="B93" s="3">
        <f>VLOOKUP(A93,'P&amp;L Data'!A93:E235,2,FALSE)</f>
        <v>336433</v>
      </c>
      <c r="C93" s="76">
        <f>VLOOKUP(A93,'P&amp;L Data'!A93:E235,3,FALSE)</f>
        <v>11.75</v>
      </c>
      <c r="D93" s="3">
        <f>VLOOKUP(A93,'P&amp;L Data'!A93:E235,4,FALSE)</f>
        <v>336433</v>
      </c>
      <c r="E93" s="24">
        <f>VLOOKUP(A93,'P&amp;L Data'!A93:E235,5,FALSE)</f>
        <v>11.75</v>
      </c>
    </row>
    <row r="94" spans="1:5" x14ac:dyDescent="0.25">
      <c r="A94" s="14" t="s">
        <v>179</v>
      </c>
      <c r="B94" s="3">
        <f>VLOOKUP(A94,'P&amp;L Data'!A94:E236,2,FALSE)</f>
        <v>229970</v>
      </c>
      <c r="C94" s="76">
        <f>VLOOKUP(A94,'P&amp;L Data'!A94:E236,3,FALSE)</f>
        <v>8.0299999999999994</v>
      </c>
      <c r="D94" s="3">
        <f>VLOOKUP(A94,'P&amp;L Data'!A94:E236,4,FALSE)</f>
        <v>229970</v>
      </c>
      <c r="E94" s="24">
        <f>VLOOKUP(A94,'P&amp;L Data'!A94:E236,5,FALSE)</f>
        <v>8.0299999999999994</v>
      </c>
    </row>
    <row r="95" spans="1:5" x14ac:dyDescent="0.25">
      <c r="A95" s="14" t="s">
        <v>180</v>
      </c>
      <c r="B95" s="3">
        <f>VLOOKUP(A95,'P&amp;L Data'!A95:E237,2,FALSE)</f>
        <v>16972</v>
      </c>
      <c r="C95" s="76">
        <f>VLOOKUP(A95,'P&amp;L Data'!A95:E237,3,FALSE)</f>
        <v>0.59</v>
      </c>
      <c r="D95" s="3">
        <f>VLOOKUP(A95,'P&amp;L Data'!A95:E237,4,FALSE)</f>
        <v>16972</v>
      </c>
      <c r="E95" s="24">
        <f>VLOOKUP(A95,'P&amp;L Data'!A95:E237,5,FALSE)</f>
        <v>0.59</v>
      </c>
    </row>
    <row r="96" spans="1:5" x14ac:dyDescent="0.25">
      <c r="A96" s="14" t="s">
        <v>181</v>
      </c>
      <c r="B96" s="5">
        <f>VLOOKUP(A96,'P&amp;L Data'!A96:E238,2,FALSE)</f>
        <v>27844</v>
      </c>
      <c r="C96" s="76">
        <f>VLOOKUP(A96,'P&amp;L Data'!A96:E238,3,FALSE)</f>
        <v>0.97</v>
      </c>
      <c r="D96" s="5">
        <f>VLOOKUP(A96,'P&amp;L Data'!A96:E238,4,FALSE)</f>
        <v>27844</v>
      </c>
      <c r="E96" s="24">
        <f>VLOOKUP(A96,'P&amp;L Data'!A96:E238,5,FALSE)</f>
        <v>0.97</v>
      </c>
    </row>
    <row r="97" spans="1:5" x14ac:dyDescent="0.25">
      <c r="A97" s="14" t="s">
        <v>182</v>
      </c>
      <c r="B97" s="5">
        <f>VLOOKUP(A97,'P&amp;L Data'!A97:E239,2,FALSE)</f>
        <v>0</v>
      </c>
      <c r="C97" s="76">
        <f>VLOOKUP(A97,'P&amp;L Data'!A97:E239,3,FALSE)</f>
        <v>0</v>
      </c>
      <c r="D97" s="5">
        <f>VLOOKUP(A97,'P&amp;L Data'!A97:E239,4,FALSE)</f>
        <v>0</v>
      </c>
      <c r="E97" s="24">
        <f>VLOOKUP(A97,'P&amp;L Data'!A97:E239,5,FALSE)</f>
        <v>0</v>
      </c>
    </row>
    <row r="98" spans="1:5" ht="14.95" thickBot="1" x14ac:dyDescent="0.3">
      <c r="A98" s="14" t="s">
        <v>183</v>
      </c>
      <c r="B98" s="3">
        <f>VLOOKUP(A98,'P&amp;L Data'!A98:E240,2,FALSE)</f>
        <v>760</v>
      </c>
      <c r="C98" s="76">
        <f>VLOOKUP(A98,'P&amp;L Data'!A98:E240,3,FALSE)</f>
        <v>0.03</v>
      </c>
      <c r="D98" s="3">
        <f>VLOOKUP(A98,'P&amp;L Data'!A98:E240,4,FALSE)</f>
        <v>760</v>
      </c>
      <c r="E98" s="24">
        <f>VLOOKUP(A98,'P&amp;L Data'!A98:E240,5,FALSE)</f>
        <v>0.03</v>
      </c>
    </row>
    <row r="99" spans="1:5" x14ac:dyDescent="0.25">
      <c r="A99" s="14" t="s">
        <v>33</v>
      </c>
      <c r="B99" s="66">
        <f>VLOOKUP(A99,'P&amp;L Data'!A99:E241,2,FALSE)</f>
        <v>611979</v>
      </c>
      <c r="C99" s="67">
        <f>VLOOKUP(A99,'P&amp;L Data'!A99:E241,3,FALSE)</f>
        <v>21.38</v>
      </c>
      <c r="D99" s="66">
        <f>VLOOKUP(A99,'P&amp;L Data'!A99:E241,4,FALSE)</f>
        <v>611979</v>
      </c>
      <c r="E99" s="68">
        <f>VLOOKUP(A99,'P&amp;L Data'!A99:E241,5,FALSE)</f>
        <v>21.38</v>
      </c>
    </row>
    <row r="100" spans="1:5" x14ac:dyDescent="0.25">
      <c r="A100" s="12" t="s">
        <v>34</v>
      </c>
      <c r="B100" s="2"/>
      <c r="C100" s="46"/>
      <c r="D100" s="2"/>
      <c r="E100" s="23"/>
    </row>
    <row r="101" spans="1:5" x14ac:dyDescent="0.25">
      <c r="A101" s="14" t="s">
        <v>184</v>
      </c>
      <c r="B101" s="3">
        <f>VLOOKUP(A101,'P&amp;L Data'!A101:E243,2,FALSE)</f>
        <v>396658</v>
      </c>
      <c r="C101" s="76">
        <f>VLOOKUP(A101,'P&amp;L Data'!A101:E243,3,FALSE)</f>
        <v>13.86</v>
      </c>
      <c r="D101" s="3">
        <f>VLOOKUP(A101,'P&amp;L Data'!A101:E243,4,FALSE)</f>
        <v>396658</v>
      </c>
      <c r="E101" s="24">
        <f>VLOOKUP(A101,'P&amp;L Data'!A101:E243,5,FALSE)</f>
        <v>13.86</v>
      </c>
    </row>
    <row r="102" spans="1:5" x14ac:dyDescent="0.25">
      <c r="A102" s="14" t="s">
        <v>185</v>
      </c>
      <c r="B102" s="3">
        <f>VLOOKUP(A102,'P&amp;L Data'!A102:E244,2,FALSE)</f>
        <v>37669</v>
      </c>
      <c r="C102" s="76">
        <f>VLOOKUP(A102,'P&amp;L Data'!A102:E244,3,FALSE)</f>
        <v>1.32</v>
      </c>
      <c r="D102" s="3">
        <f>VLOOKUP(A102,'P&amp;L Data'!A102:E244,4,FALSE)</f>
        <v>37669</v>
      </c>
      <c r="E102" s="24">
        <f>VLOOKUP(A102,'P&amp;L Data'!A102:E244,5,FALSE)</f>
        <v>1.32</v>
      </c>
    </row>
    <row r="103" spans="1:5" x14ac:dyDescent="0.25">
      <c r="A103" s="14" t="s">
        <v>186</v>
      </c>
      <c r="B103" s="3">
        <f>VLOOKUP(A103,'P&amp;L Data'!A103:E245,2,FALSE)</f>
        <v>18006</v>
      </c>
      <c r="C103" s="76">
        <f>VLOOKUP(A103,'P&amp;L Data'!A103:E245,3,FALSE)</f>
        <v>0.63</v>
      </c>
      <c r="D103" s="3">
        <f>VLOOKUP(A103,'P&amp;L Data'!A103:E245,4,FALSE)</f>
        <v>18006</v>
      </c>
      <c r="E103" s="24">
        <f>VLOOKUP(A103,'P&amp;L Data'!A103:E245,5,FALSE)</f>
        <v>0.63</v>
      </c>
    </row>
    <row r="104" spans="1:5" x14ac:dyDescent="0.25">
      <c r="A104" s="14" t="s">
        <v>187</v>
      </c>
      <c r="B104" s="3">
        <f>VLOOKUP(A104,'P&amp;L Data'!A104:E246,2,FALSE)</f>
        <v>119935</v>
      </c>
      <c r="C104" s="76">
        <f>VLOOKUP(A104,'P&amp;L Data'!A104:E246,3,FALSE)</f>
        <v>4.1900000000000004</v>
      </c>
      <c r="D104" s="3">
        <f>VLOOKUP(A104,'P&amp;L Data'!A104:E246,4,FALSE)</f>
        <v>119935</v>
      </c>
      <c r="E104" s="24">
        <f>VLOOKUP(A104,'P&amp;L Data'!A104:E246,5,FALSE)</f>
        <v>4.1900000000000004</v>
      </c>
    </row>
    <row r="105" spans="1:5" x14ac:dyDescent="0.25">
      <c r="A105" s="14" t="s">
        <v>188</v>
      </c>
      <c r="B105" s="3">
        <f>VLOOKUP(A105,'P&amp;L Data'!A105:E247,2,FALSE)</f>
        <v>6635</v>
      </c>
      <c r="C105" s="76">
        <f>VLOOKUP(A105,'P&amp;L Data'!A105:E247,3,FALSE)</f>
        <v>0.23</v>
      </c>
      <c r="D105" s="3">
        <f>VLOOKUP(A105,'P&amp;L Data'!A105:E247,4,FALSE)</f>
        <v>6635</v>
      </c>
      <c r="E105" s="24">
        <f>VLOOKUP(A105,'P&amp;L Data'!A105:E247,5,FALSE)</f>
        <v>0.23</v>
      </c>
    </row>
    <row r="106" spans="1:5" ht="14.95" thickBot="1" x14ac:dyDescent="0.3">
      <c r="A106" s="14" t="s">
        <v>189</v>
      </c>
      <c r="B106" s="5">
        <f>VLOOKUP(A106,'P&amp;L Data'!A106:E248,2,FALSE)</f>
        <v>32297</v>
      </c>
      <c r="C106" s="76">
        <f>VLOOKUP(A106,'P&amp;L Data'!A106:E248,3,FALSE)</f>
        <v>1.1299999999999999</v>
      </c>
      <c r="D106" s="5">
        <f>VLOOKUP(A106,'P&amp;L Data'!A106:E248,4,FALSE)</f>
        <v>32297</v>
      </c>
      <c r="E106" s="24">
        <f>VLOOKUP(A106,'P&amp;L Data'!A106:E248,5,FALSE)</f>
        <v>1.1299999999999999</v>
      </c>
    </row>
    <row r="107" spans="1:5" x14ac:dyDescent="0.25">
      <c r="A107" s="14" t="s">
        <v>35</v>
      </c>
      <c r="B107" s="66">
        <f>VLOOKUP(A107,'P&amp;L Data'!A107:E249,2,FALSE)</f>
        <v>611200</v>
      </c>
      <c r="C107" s="67">
        <f>VLOOKUP(A107,'P&amp;L Data'!A107:E249,3,FALSE)</f>
        <v>21.35</v>
      </c>
      <c r="D107" s="66">
        <f>VLOOKUP(A107,'P&amp;L Data'!A107:E249,4,FALSE)</f>
        <v>611200</v>
      </c>
      <c r="E107" s="68">
        <f>VLOOKUP(A107,'P&amp;L Data'!A107:E249,5,FALSE)</f>
        <v>21.35</v>
      </c>
    </row>
    <row r="108" spans="1:5" x14ac:dyDescent="0.25">
      <c r="A108" s="12" t="s">
        <v>36</v>
      </c>
      <c r="B108" s="2"/>
      <c r="C108" s="46"/>
      <c r="D108" s="2"/>
      <c r="E108" s="23"/>
    </row>
    <row r="109" spans="1:5" x14ac:dyDescent="0.25">
      <c r="A109" s="14" t="s">
        <v>190</v>
      </c>
      <c r="B109" s="3">
        <f>VLOOKUP(A109,'P&amp;L Data'!A109:E251,2,FALSE)</f>
        <v>150615</v>
      </c>
      <c r="C109" s="76">
        <f>VLOOKUP(A109,'P&amp;L Data'!A109:E251,3,FALSE)</f>
        <v>5.26</v>
      </c>
      <c r="D109" s="3">
        <f>VLOOKUP(A109,'P&amp;L Data'!A109:E251,4,FALSE)</f>
        <v>150615</v>
      </c>
      <c r="E109" s="24">
        <f>VLOOKUP(A109,'P&amp;L Data'!A109:E251,5,FALSE)</f>
        <v>5.26</v>
      </c>
    </row>
    <row r="110" spans="1:5" x14ac:dyDescent="0.25">
      <c r="A110" s="14" t="s">
        <v>191</v>
      </c>
      <c r="B110" s="3">
        <f>VLOOKUP(A110,'P&amp;L Data'!A110:E252,2,FALSE)</f>
        <v>101094</v>
      </c>
      <c r="C110" s="76">
        <f>VLOOKUP(A110,'P&amp;L Data'!A110:E252,3,FALSE)</f>
        <v>3.53</v>
      </c>
      <c r="D110" s="3">
        <f>VLOOKUP(A110,'P&amp;L Data'!A110:E252,4,FALSE)</f>
        <v>101094</v>
      </c>
      <c r="E110" s="24">
        <f>VLOOKUP(A110,'P&amp;L Data'!A110:E252,5,FALSE)</f>
        <v>3.53</v>
      </c>
    </row>
    <row r="111" spans="1:5" x14ac:dyDescent="0.25">
      <c r="A111" s="14" t="s">
        <v>192</v>
      </c>
      <c r="B111" s="5">
        <f>VLOOKUP(A111,'P&amp;L Data'!A111:E253,2,FALSE)</f>
        <v>0</v>
      </c>
      <c r="C111" s="76">
        <f>VLOOKUP(A111,'P&amp;L Data'!A111:E253,3,FALSE)</f>
        <v>0</v>
      </c>
      <c r="D111" s="5">
        <f>VLOOKUP(A111,'P&amp;L Data'!A111:E253,4,FALSE)</f>
        <v>0</v>
      </c>
      <c r="E111" s="24">
        <f>VLOOKUP(A111,'P&amp;L Data'!A111:E253,5,FALSE)</f>
        <v>0</v>
      </c>
    </row>
    <row r="112" spans="1:5" x14ac:dyDescent="0.25">
      <c r="A112" s="14" t="s">
        <v>193</v>
      </c>
      <c r="B112" s="3">
        <f>VLOOKUP(A112,'P&amp;L Data'!A112:E254,2,FALSE)</f>
        <v>11292</v>
      </c>
      <c r="C112" s="76">
        <f>VLOOKUP(A112,'P&amp;L Data'!A112:E254,3,FALSE)</f>
        <v>0.39</v>
      </c>
      <c r="D112" s="3">
        <f>VLOOKUP(A112,'P&amp;L Data'!A112:E254,4,FALSE)</f>
        <v>11292</v>
      </c>
      <c r="E112" s="24">
        <f>VLOOKUP(A112,'P&amp;L Data'!A112:E254,5,FALSE)</f>
        <v>0.39</v>
      </c>
    </row>
    <row r="113" spans="1:5" x14ac:dyDescent="0.25">
      <c r="A113" s="14" t="s">
        <v>194</v>
      </c>
      <c r="B113" s="3">
        <f>VLOOKUP(A113,'P&amp;L Data'!A113:E255,2,FALSE)</f>
        <v>68480</v>
      </c>
      <c r="C113" s="76">
        <f>VLOOKUP(A113,'P&amp;L Data'!A113:E255,3,FALSE)</f>
        <v>2.39</v>
      </c>
      <c r="D113" s="3">
        <f>VLOOKUP(A113,'P&amp;L Data'!A113:E255,4,FALSE)</f>
        <v>68480</v>
      </c>
      <c r="E113" s="24">
        <f>VLOOKUP(A113,'P&amp;L Data'!A113:E255,5,FALSE)</f>
        <v>2.39</v>
      </c>
    </row>
    <row r="114" spans="1:5" x14ac:dyDescent="0.25">
      <c r="A114" s="14" t="s">
        <v>195</v>
      </c>
      <c r="B114" s="3">
        <f>VLOOKUP(A114,'P&amp;L Data'!A114:E256,2,FALSE)</f>
        <v>11708</v>
      </c>
      <c r="C114" s="76">
        <f>VLOOKUP(A114,'P&amp;L Data'!A114:E256,3,FALSE)</f>
        <v>0.41</v>
      </c>
      <c r="D114" s="3">
        <f>VLOOKUP(A114,'P&amp;L Data'!A114:E256,4,FALSE)</f>
        <v>11708</v>
      </c>
      <c r="E114" s="24">
        <f>VLOOKUP(A114,'P&amp;L Data'!A114:E256,5,FALSE)</f>
        <v>0.41</v>
      </c>
    </row>
    <row r="115" spans="1:5" x14ac:dyDescent="0.25">
      <c r="A115" s="14" t="s">
        <v>196</v>
      </c>
      <c r="B115" s="5">
        <f>VLOOKUP(A115,'P&amp;L Data'!A115:E257,2,FALSE)</f>
        <v>29720</v>
      </c>
      <c r="C115" s="76">
        <f>VLOOKUP(A115,'P&amp;L Data'!A115:E257,3,FALSE)</f>
        <v>1.04</v>
      </c>
      <c r="D115" s="5">
        <f>VLOOKUP(A115,'P&amp;L Data'!A115:E257,4,FALSE)</f>
        <v>29720</v>
      </c>
      <c r="E115" s="24">
        <f>VLOOKUP(A115,'P&amp;L Data'!A115:E257,5,FALSE)</f>
        <v>1.04</v>
      </c>
    </row>
    <row r="116" spans="1:5" x14ac:dyDescent="0.25">
      <c r="A116" s="14" t="s">
        <v>197</v>
      </c>
      <c r="B116" s="5">
        <f>VLOOKUP(A116,'P&amp;L Data'!A116:E258,2,FALSE)</f>
        <v>0</v>
      </c>
      <c r="C116" s="76">
        <f>VLOOKUP(A116,'P&amp;L Data'!A116:E258,3,FALSE)</f>
        <v>0</v>
      </c>
      <c r="D116" s="5">
        <f>VLOOKUP(A116,'P&amp;L Data'!A116:E258,4,FALSE)</f>
        <v>0</v>
      </c>
      <c r="E116" s="24">
        <f>VLOOKUP(A116,'P&amp;L Data'!A116:E258,5,FALSE)</f>
        <v>0</v>
      </c>
    </row>
    <row r="117" spans="1:5" x14ac:dyDescent="0.25">
      <c r="A117" s="14" t="s">
        <v>198</v>
      </c>
      <c r="B117" s="5">
        <f>VLOOKUP(A117,'P&amp;L Data'!A117:E259,2,FALSE)</f>
        <v>731</v>
      </c>
      <c r="C117" s="76">
        <f>VLOOKUP(A117,'P&amp;L Data'!A117:E259,3,FALSE)</f>
        <v>0.03</v>
      </c>
      <c r="D117" s="5">
        <f>VLOOKUP(A117,'P&amp;L Data'!A117:E259,4,FALSE)</f>
        <v>731</v>
      </c>
      <c r="E117" s="24">
        <f>VLOOKUP(A117,'P&amp;L Data'!A117:E259,5,FALSE)</f>
        <v>0.03</v>
      </c>
    </row>
    <row r="118" spans="1:5" x14ac:dyDescent="0.25">
      <c r="A118" s="14" t="s">
        <v>199</v>
      </c>
      <c r="B118" s="5">
        <f>VLOOKUP(A118,'P&amp;L Data'!A118:E260,2,FALSE)</f>
        <v>26134</v>
      </c>
      <c r="C118" s="76">
        <f>VLOOKUP(A118,'P&amp;L Data'!A118:E260,3,FALSE)</f>
        <v>0.91</v>
      </c>
      <c r="D118" s="5">
        <f>VLOOKUP(A118,'P&amp;L Data'!A118:E260,4,FALSE)</f>
        <v>26134</v>
      </c>
      <c r="E118" s="24">
        <f>VLOOKUP(A118,'P&amp;L Data'!A118:E260,5,FALSE)</f>
        <v>0.91</v>
      </c>
    </row>
    <row r="119" spans="1:5" x14ac:dyDescent="0.25">
      <c r="A119" s="14" t="s">
        <v>200</v>
      </c>
      <c r="B119" s="5">
        <f>VLOOKUP(A119,'P&amp;L Data'!A119:E261,2,FALSE)</f>
        <v>32420</v>
      </c>
      <c r="C119" s="76">
        <f>VLOOKUP(A119,'P&amp;L Data'!A119:E261,3,FALSE)</f>
        <v>1.1299999999999999</v>
      </c>
      <c r="D119" s="5">
        <f>VLOOKUP(A119,'P&amp;L Data'!A119:E261,4,FALSE)</f>
        <v>32420</v>
      </c>
      <c r="E119" s="24">
        <f>VLOOKUP(A119,'P&amp;L Data'!A119:E261,5,FALSE)</f>
        <v>1.1299999999999999</v>
      </c>
    </row>
    <row r="120" spans="1:5" x14ac:dyDescent="0.25">
      <c r="A120" s="14" t="s">
        <v>201</v>
      </c>
      <c r="B120" s="3">
        <f>VLOOKUP(A120,'P&amp;L Data'!A120:E262,2,FALSE)</f>
        <v>16311</v>
      </c>
      <c r="C120" s="76">
        <f>VLOOKUP(A120,'P&amp;L Data'!A120:E262,3,FALSE)</f>
        <v>0.56999999999999995</v>
      </c>
      <c r="D120" s="3">
        <f>VLOOKUP(A120,'P&amp;L Data'!A120:E262,4,FALSE)</f>
        <v>16311</v>
      </c>
      <c r="E120" s="24">
        <f>VLOOKUP(A120,'P&amp;L Data'!A120:E262,5,FALSE)</f>
        <v>0.56999999999999995</v>
      </c>
    </row>
    <row r="121" spans="1:5" x14ac:dyDescent="0.25">
      <c r="A121" s="14" t="s">
        <v>202</v>
      </c>
      <c r="B121" s="5">
        <f>VLOOKUP(A121,'P&amp;L Data'!A121:E263,2,FALSE)</f>
        <v>17106</v>
      </c>
      <c r="C121" s="76">
        <f>VLOOKUP(A121,'P&amp;L Data'!A121:E263,3,FALSE)</f>
        <v>0.6</v>
      </c>
      <c r="D121" s="5">
        <f>VLOOKUP(A121,'P&amp;L Data'!A121:E263,4,FALSE)</f>
        <v>17106</v>
      </c>
      <c r="E121" s="24">
        <f>VLOOKUP(A121,'P&amp;L Data'!A121:E263,5,FALSE)</f>
        <v>0.6</v>
      </c>
    </row>
    <row r="122" spans="1:5" x14ac:dyDescent="0.25">
      <c r="A122" s="14" t="s">
        <v>203</v>
      </c>
      <c r="B122" s="5">
        <f>VLOOKUP(A122,'P&amp;L Data'!A122:E264,2,FALSE)</f>
        <v>0</v>
      </c>
      <c r="C122" s="76">
        <f>VLOOKUP(A122,'P&amp;L Data'!A122:E264,3,FALSE)</f>
        <v>0</v>
      </c>
      <c r="D122" s="5">
        <f>VLOOKUP(A122,'P&amp;L Data'!A122:E264,4,FALSE)</f>
        <v>0</v>
      </c>
      <c r="E122" s="24">
        <f>VLOOKUP(A122,'P&amp;L Data'!A122:E264,5,FALSE)</f>
        <v>0</v>
      </c>
    </row>
    <row r="123" spans="1:5" x14ac:dyDescent="0.25">
      <c r="A123" s="14" t="s">
        <v>204</v>
      </c>
      <c r="B123" s="5">
        <f>VLOOKUP(A123,'P&amp;L Data'!A123:E265,2,FALSE)</f>
        <v>6563</v>
      </c>
      <c r="C123" s="76">
        <f>VLOOKUP(A123,'P&amp;L Data'!A123:E265,3,FALSE)</f>
        <v>0.23</v>
      </c>
      <c r="D123" s="5">
        <f>VLOOKUP(A123,'P&amp;L Data'!A123:E265,4,FALSE)</f>
        <v>6563</v>
      </c>
      <c r="E123" s="24">
        <f>VLOOKUP(A123,'P&amp;L Data'!A123:E265,5,FALSE)</f>
        <v>0.23</v>
      </c>
    </row>
    <row r="124" spans="1:5" x14ac:dyDescent="0.25">
      <c r="A124" s="14" t="s">
        <v>205</v>
      </c>
      <c r="B124" s="3">
        <f>VLOOKUP(A124,'P&amp;L Data'!A124:E266,2,FALSE)</f>
        <v>518437</v>
      </c>
      <c r="C124" s="76">
        <f>VLOOKUP(A124,'P&amp;L Data'!A124:E266,3,FALSE)</f>
        <v>18.11</v>
      </c>
      <c r="D124" s="3">
        <f>VLOOKUP(A124,'P&amp;L Data'!A124:E266,4,FALSE)</f>
        <v>518437</v>
      </c>
      <c r="E124" s="24">
        <f>VLOOKUP(A124,'P&amp;L Data'!A124:E266,5,FALSE)</f>
        <v>18.11</v>
      </c>
    </row>
    <row r="125" spans="1:5" x14ac:dyDescent="0.25">
      <c r="A125" s="14" t="s">
        <v>206</v>
      </c>
      <c r="B125" s="3">
        <f>VLOOKUP(A125,'P&amp;L Data'!A125:E267,2,FALSE)</f>
        <v>147928</v>
      </c>
      <c r="C125" s="76">
        <f>VLOOKUP(A125,'P&amp;L Data'!A125:E267,3,FALSE)</f>
        <v>5.17</v>
      </c>
      <c r="D125" s="3">
        <f>VLOOKUP(A125,'P&amp;L Data'!A125:E267,4,FALSE)</f>
        <v>147928</v>
      </c>
      <c r="E125" s="24">
        <f>VLOOKUP(A125,'P&amp;L Data'!A125:E267,5,FALSE)</f>
        <v>5.17</v>
      </c>
    </row>
    <row r="126" spans="1:5" x14ac:dyDescent="0.25">
      <c r="A126" s="14" t="s">
        <v>207</v>
      </c>
      <c r="B126" s="3">
        <f>VLOOKUP(A126,'P&amp;L Data'!A126:E268,2,FALSE)</f>
        <v>39364</v>
      </c>
      <c r="C126" s="76">
        <f>VLOOKUP(A126,'P&amp;L Data'!A126:E268,3,FALSE)</f>
        <v>1.38</v>
      </c>
      <c r="D126" s="3">
        <f>VLOOKUP(A126,'P&amp;L Data'!A126:E268,4,FALSE)</f>
        <v>39364</v>
      </c>
      <c r="E126" s="24">
        <f>VLOOKUP(A126,'P&amp;L Data'!A126:E268,5,FALSE)</f>
        <v>1.38</v>
      </c>
    </row>
    <row r="127" spans="1:5" x14ac:dyDescent="0.25">
      <c r="A127" s="14" t="s">
        <v>208</v>
      </c>
      <c r="B127" s="3">
        <f>VLOOKUP(A127,'P&amp;L Data'!A127:E269,2,FALSE)</f>
        <v>65284</v>
      </c>
      <c r="C127" s="76">
        <f>VLOOKUP(A127,'P&amp;L Data'!A127:E269,3,FALSE)</f>
        <v>2.2799999999999998</v>
      </c>
      <c r="D127" s="3">
        <f>VLOOKUP(A127,'P&amp;L Data'!A127:E269,4,FALSE)</f>
        <v>65284</v>
      </c>
      <c r="E127" s="24">
        <f>VLOOKUP(A127,'P&amp;L Data'!A127:E269,5,FALSE)</f>
        <v>2.2799999999999998</v>
      </c>
    </row>
    <row r="128" spans="1:5" x14ac:dyDescent="0.25">
      <c r="A128" s="14" t="s">
        <v>209</v>
      </c>
      <c r="B128" s="3">
        <f>VLOOKUP(A128,'P&amp;L Data'!A128:E270,2,FALSE)</f>
        <v>119742</v>
      </c>
      <c r="C128" s="76">
        <f>VLOOKUP(A128,'P&amp;L Data'!A128:E270,3,FALSE)</f>
        <v>4.18</v>
      </c>
      <c r="D128" s="3">
        <f>VLOOKUP(A128,'P&amp;L Data'!A128:E270,4,FALSE)</f>
        <v>119742</v>
      </c>
      <c r="E128" s="24">
        <f>VLOOKUP(A128,'P&amp;L Data'!A128:E270,5,FALSE)</f>
        <v>4.18</v>
      </c>
    </row>
    <row r="129" spans="1:5" x14ac:dyDescent="0.25">
      <c r="A129" s="14" t="s">
        <v>210</v>
      </c>
      <c r="B129" s="5">
        <f>VLOOKUP(A129,'P&amp;L Data'!A129:E271,2,FALSE)</f>
        <v>0</v>
      </c>
      <c r="C129" s="76">
        <f>VLOOKUP(A129,'P&amp;L Data'!A129:E271,3,FALSE)</f>
        <v>0</v>
      </c>
      <c r="D129" s="5">
        <f>VLOOKUP(A129,'P&amp;L Data'!A129:E271,4,FALSE)</f>
        <v>0</v>
      </c>
      <c r="E129" s="24">
        <f>VLOOKUP(A129,'P&amp;L Data'!A129:E271,5,FALSE)</f>
        <v>0</v>
      </c>
    </row>
    <row r="130" spans="1:5" x14ac:dyDescent="0.25">
      <c r="A130" s="14" t="s">
        <v>211</v>
      </c>
      <c r="B130" s="5">
        <f>VLOOKUP(A130,'P&amp;L Data'!A130:E272,2,FALSE)</f>
        <v>46467</v>
      </c>
      <c r="C130" s="76">
        <f>VLOOKUP(A130,'P&amp;L Data'!A130:E272,3,FALSE)</f>
        <v>1.62</v>
      </c>
      <c r="D130" s="5">
        <f>VLOOKUP(A130,'P&amp;L Data'!A130:E272,4,FALSE)</f>
        <v>46467</v>
      </c>
      <c r="E130" s="24">
        <f>VLOOKUP(A130,'P&amp;L Data'!A130:E272,5,FALSE)</f>
        <v>1.62</v>
      </c>
    </row>
    <row r="131" spans="1:5" x14ac:dyDescent="0.25">
      <c r="A131" s="14" t="s">
        <v>212</v>
      </c>
      <c r="B131" s="3">
        <f>VLOOKUP(A131,'P&amp;L Data'!A131:E273,2,FALSE)</f>
        <v>0</v>
      </c>
      <c r="C131" s="76">
        <f>VLOOKUP(A131,'P&amp;L Data'!A131:E273,3,FALSE)</f>
        <v>0</v>
      </c>
      <c r="D131" s="3">
        <f>VLOOKUP(A131,'P&amp;L Data'!A131:E273,4,FALSE)</f>
        <v>0</v>
      </c>
      <c r="E131" s="24">
        <f>VLOOKUP(A131,'P&amp;L Data'!A131:E273,5,FALSE)</f>
        <v>0</v>
      </c>
    </row>
    <row r="132" spans="1:5" x14ac:dyDescent="0.25">
      <c r="A132" s="14" t="s">
        <v>213</v>
      </c>
      <c r="B132" s="3">
        <f>VLOOKUP(A132,'P&amp;L Data'!A132:E274,2,FALSE)</f>
        <v>469141</v>
      </c>
      <c r="C132" s="76">
        <f>VLOOKUP(A132,'P&amp;L Data'!A132:E274,3,FALSE)</f>
        <v>16.39</v>
      </c>
      <c r="D132" s="3">
        <f>VLOOKUP(A132,'P&amp;L Data'!A132:E274,4,FALSE)</f>
        <v>469141</v>
      </c>
      <c r="E132" s="24">
        <f>VLOOKUP(A132,'P&amp;L Data'!A132:E274,5,FALSE)</f>
        <v>16.39</v>
      </c>
    </row>
    <row r="133" spans="1:5" ht="14.95" thickBot="1" x14ac:dyDescent="0.3">
      <c r="A133" s="14" t="s">
        <v>214</v>
      </c>
      <c r="B133" s="3">
        <f>VLOOKUP(A133,'P&amp;L Data'!A133:E275,2,FALSE)</f>
        <v>203915</v>
      </c>
      <c r="C133" s="76">
        <f>VLOOKUP(A133,'P&amp;L Data'!A133:E275,3,FALSE)</f>
        <v>7.12</v>
      </c>
      <c r="D133" s="3">
        <f>VLOOKUP(A133,'P&amp;L Data'!A133:E275,4,FALSE)</f>
        <v>203915</v>
      </c>
      <c r="E133" s="24">
        <f>VLOOKUP(A133,'P&amp;L Data'!A133:E275,5,FALSE)</f>
        <v>7.12</v>
      </c>
    </row>
    <row r="134" spans="1:5" x14ac:dyDescent="0.25">
      <c r="A134" s="14" t="s">
        <v>37</v>
      </c>
      <c r="B134" s="66">
        <f>VLOOKUP(A134,'P&amp;L Data'!A134:E276,2,FALSE)</f>
        <v>2082453</v>
      </c>
      <c r="C134" s="67">
        <f>VLOOKUP(A134,'P&amp;L Data'!A134:E276,3,FALSE)</f>
        <v>72.739999999999995</v>
      </c>
      <c r="D134" s="66">
        <f>VLOOKUP(A134,'P&amp;L Data'!A134:E276,4,FALSE)</f>
        <v>2082453</v>
      </c>
      <c r="E134" s="68">
        <f>VLOOKUP(A134,'P&amp;L Data'!A134:E276,5,FALSE)</f>
        <v>72.739999999999995</v>
      </c>
    </row>
    <row r="135" spans="1:5" x14ac:dyDescent="0.25">
      <c r="A135" s="12" t="s">
        <v>38</v>
      </c>
      <c r="B135" s="2"/>
      <c r="C135" s="46"/>
      <c r="D135" s="2"/>
      <c r="E135" s="23"/>
    </row>
    <row r="136" spans="1:5" x14ac:dyDescent="0.25">
      <c r="A136" s="14" t="s">
        <v>215</v>
      </c>
      <c r="B136" s="3">
        <f>VLOOKUP(A136,'P&amp;L Data'!A136:E278,2,FALSE)</f>
        <v>704984</v>
      </c>
      <c r="C136" s="76">
        <f>VLOOKUP(A136,'P&amp;L Data'!A136:E278,3,FALSE)</f>
        <v>24.63</v>
      </c>
      <c r="D136" s="3">
        <f>VLOOKUP(A136,'P&amp;L Data'!A136:E278,4,FALSE)</f>
        <v>704984</v>
      </c>
      <c r="E136" s="24">
        <f>VLOOKUP(A136,'P&amp;L Data'!A136:E278,5,FALSE)</f>
        <v>24.63</v>
      </c>
    </row>
    <row r="137" spans="1:5" x14ac:dyDescent="0.25">
      <c r="A137" s="14" t="s">
        <v>216</v>
      </c>
      <c r="B137" s="3">
        <f>VLOOKUP(A137,'P&amp;L Data'!A137:E279,2,FALSE)</f>
        <v>53320</v>
      </c>
      <c r="C137" s="76">
        <f>VLOOKUP(A137,'P&amp;L Data'!A137:E279,3,FALSE)</f>
        <v>1.86</v>
      </c>
      <c r="D137" s="3">
        <f>VLOOKUP(A137,'P&amp;L Data'!A137:E279,4,FALSE)</f>
        <v>53320</v>
      </c>
      <c r="E137" s="24">
        <f>VLOOKUP(A137,'P&amp;L Data'!A137:E279,5,FALSE)</f>
        <v>1.86</v>
      </c>
    </row>
    <row r="138" spans="1:5" x14ac:dyDescent="0.25">
      <c r="A138" s="14" t="s">
        <v>217</v>
      </c>
      <c r="B138" s="3">
        <f>VLOOKUP(A138,'P&amp;L Data'!A138:E280,2,FALSE)</f>
        <v>37111</v>
      </c>
      <c r="C138" s="76">
        <f>VLOOKUP(A138,'P&amp;L Data'!A138:E280,3,FALSE)</f>
        <v>1.3</v>
      </c>
      <c r="D138" s="3">
        <f>VLOOKUP(A138,'P&amp;L Data'!A138:E280,4,FALSE)</f>
        <v>37111</v>
      </c>
      <c r="E138" s="24">
        <f>VLOOKUP(A138,'P&amp;L Data'!A138:E280,5,FALSE)</f>
        <v>1.3</v>
      </c>
    </row>
    <row r="139" spans="1:5" x14ac:dyDescent="0.25">
      <c r="A139" s="14" t="s">
        <v>218</v>
      </c>
      <c r="B139" s="3">
        <f>VLOOKUP(A139,'P&amp;L Data'!A139:E281,2,FALSE)</f>
        <v>40256</v>
      </c>
      <c r="C139" s="76">
        <f>VLOOKUP(A139,'P&amp;L Data'!A139:E281,3,FALSE)</f>
        <v>1.41</v>
      </c>
      <c r="D139" s="3">
        <f>VLOOKUP(A139,'P&amp;L Data'!A139:E281,4,FALSE)</f>
        <v>40256</v>
      </c>
      <c r="E139" s="24">
        <f>VLOOKUP(A139,'P&amp;L Data'!A139:E281,5,FALSE)</f>
        <v>1.41</v>
      </c>
    </row>
    <row r="140" spans="1:5" x14ac:dyDescent="0.25">
      <c r="A140" s="14" t="s">
        <v>219</v>
      </c>
      <c r="B140" s="3">
        <f>VLOOKUP(A140,'P&amp;L Data'!A140:E282,2,FALSE)</f>
        <v>54382</v>
      </c>
      <c r="C140" s="76">
        <f>VLOOKUP(A140,'P&amp;L Data'!A140:E282,3,FALSE)</f>
        <v>1.9</v>
      </c>
      <c r="D140" s="3">
        <f>VLOOKUP(A140,'P&amp;L Data'!A140:E282,4,FALSE)</f>
        <v>54382</v>
      </c>
      <c r="E140" s="24">
        <f>VLOOKUP(A140,'P&amp;L Data'!A140:E282,5,FALSE)</f>
        <v>1.9</v>
      </c>
    </row>
    <row r="141" spans="1:5" x14ac:dyDescent="0.25">
      <c r="A141" s="14" t="s">
        <v>220</v>
      </c>
      <c r="B141" s="5">
        <f>VLOOKUP(A141,'P&amp;L Data'!A141:E283,2,FALSE)</f>
        <v>0</v>
      </c>
      <c r="C141" s="76">
        <f>VLOOKUP(A141,'P&amp;L Data'!A141:E283,3,FALSE)</f>
        <v>0</v>
      </c>
      <c r="D141" s="5">
        <f>VLOOKUP(A141,'P&amp;L Data'!A141:E283,4,FALSE)</f>
        <v>0</v>
      </c>
      <c r="E141" s="24">
        <f>VLOOKUP(A141,'P&amp;L Data'!A141:E283,5,FALSE)</f>
        <v>0</v>
      </c>
    </row>
    <row r="142" spans="1:5" x14ac:dyDescent="0.25">
      <c r="A142" s="14" t="s">
        <v>221</v>
      </c>
      <c r="B142" s="5">
        <f>VLOOKUP(A142,'P&amp;L Data'!A142:E284,2,FALSE)</f>
        <v>21532</v>
      </c>
      <c r="C142" s="76">
        <f>VLOOKUP(A142,'P&amp;L Data'!A142:E284,3,FALSE)</f>
        <v>0.75</v>
      </c>
      <c r="D142" s="5">
        <f>VLOOKUP(A142,'P&amp;L Data'!A142:E284,4,FALSE)</f>
        <v>21532</v>
      </c>
      <c r="E142" s="24">
        <f>VLOOKUP(A142,'P&amp;L Data'!A142:E284,5,FALSE)</f>
        <v>0.75</v>
      </c>
    </row>
    <row r="143" spans="1:5" ht="14.95" thickBot="1" x14ac:dyDescent="0.3">
      <c r="A143" s="14" t="s">
        <v>222</v>
      </c>
      <c r="B143" s="3">
        <f>VLOOKUP(A143,'P&amp;L Data'!A143:E285,2,FALSE)</f>
        <v>55438</v>
      </c>
      <c r="C143" s="76">
        <f>VLOOKUP(A143,'P&amp;L Data'!A143:E285,3,FALSE)</f>
        <v>1.94</v>
      </c>
      <c r="D143" s="3">
        <f>VLOOKUP(A143,'P&amp;L Data'!A143:E285,4,FALSE)</f>
        <v>55438</v>
      </c>
      <c r="E143" s="24">
        <f>VLOOKUP(A143,'P&amp;L Data'!A143:E285,5,FALSE)</f>
        <v>1.94</v>
      </c>
    </row>
    <row r="144" spans="1:5" x14ac:dyDescent="0.25">
      <c r="A144" s="14" t="s">
        <v>39</v>
      </c>
      <c r="B144" s="66">
        <f>VLOOKUP(A144,'P&amp;L Data'!A144:E286,2,FALSE)</f>
        <v>967023</v>
      </c>
      <c r="C144" s="67">
        <f>VLOOKUP(A144,'P&amp;L Data'!A144:E286,3,FALSE)</f>
        <v>33.78</v>
      </c>
      <c r="D144" s="66">
        <f>VLOOKUP(A144,'P&amp;L Data'!A144:E286,4,FALSE)</f>
        <v>967023</v>
      </c>
      <c r="E144" s="68">
        <f>VLOOKUP(A144,'P&amp;L Data'!A144:E286,5,FALSE)</f>
        <v>33.78</v>
      </c>
    </row>
    <row r="145" spans="1:7" x14ac:dyDescent="0.25">
      <c r="A145" s="18" t="s">
        <v>40</v>
      </c>
      <c r="B145" s="70">
        <f>VLOOKUP(A145,'P&amp;L Data'!A145:E287,2,FALSE)</f>
        <v>10085651</v>
      </c>
      <c r="C145" s="79">
        <f>VLOOKUP(A145,'P&amp;L Data'!A145:E287,3,FALSE)</f>
        <v>352.31</v>
      </c>
      <c r="D145" s="70">
        <f>VLOOKUP(A145,'P&amp;L Data'!A145:E287,4,FALSE)</f>
        <v>10085651</v>
      </c>
      <c r="E145" s="72">
        <f>VLOOKUP(A145,'P&amp;L Data'!A145:E287,5,FALSE)</f>
        <v>352.31</v>
      </c>
      <c r="F145" s="44"/>
    </row>
    <row r="146" spans="1:7" x14ac:dyDescent="0.25">
      <c r="A146" s="11"/>
      <c r="B146" s="9"/>
      <c r="C146" s="49"/>
      <c r="D146" s="9"/>
      <c r="E146" s="26"/>
    </row>
    <row r="147" spans="1:7" ht="14.95" thickBot="1" x14ac:dyDescent="0.3">
      <c r="A147" s="18" t="s">
        <v>41</v>
      </c>
      <c r="B147" s="70">
        <f>VLOOKUP(A147,'P&amp;L Data'!A147:E289,2,FALSE)</f>
        <v>338596</v>
      </c>
      <c r="C147" s="80">
        <f>VLOOKUP(A147,'P&amp;L Data'!A147:E289,3,FALSE)</f>
        <v>11.83</v>
      </c>
      <c r="D147" s="70">
        <f>VLOOKUP(A147,'P&amp;L Data'!A147:E289,4,FALSE)</f>
        <v>338596</v>
      </c>
      <c r="E147" s="71">
        <f>VLOOKUP(A147,'P&amp;L Data'!A147:E289,5,FALSE)</f>
        <v>11.83</v>
      </c>
    </row>
    <row r="148" spans="1:7" ht="15.65" thickTop="1" thickBot="1" x14ac:dyDescent="0.3">
      <c r="A148" s="31"/>
      <c r="B148" s="32"/>
      <c r="C148" s="33"/>
      <c r="D148" s="32"/>
      <c r="E148" s="34"/>
      <c r="G148" s="45"/>
    </row>
  </sheetData>
  <mergeCells count="4">
    <mergeCell ref="A1:E1"/>
    <mergeCell ref="A2:E2"/>
    <mergeCell ref="A3:E3"/>
    <mergeCell ref="A4:E4"/>
  </mergeCells>
  <printOptions horizontalCentered="1" verticalCentered="1"/>
  <pageMargins left="0.2" right="0.2" top="0.25" bottom="0.25" header="0" footer="0"/>
  <pageSetup scale="80" orientation="portrait" r:id="rId1"/>
  <rowBreaks count="2" manualBreakCount="2">
    <brk id="53" max="16383" man="1"/>
    <brk id="9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850C-9AB2-4057-B8F7-39136105A9D4}">
  <sheetPr>
    <pageSetUpPr fitToPage="1"/>
  </sheetPr>
  <dimension ref="A1:AB148"/>
  <sheetViews>
    <sheetView workbookViewId="0">
      <selection activeCell="G20" sqref="G20"/>
    </sheetView>
  </sheetViews>
  <sheetFormatPr defaultColWidth="9" defaultRowHeight="14.3" x14ac:dyDescent="0.25"/>
  <cols>
    <col min="1" max="1" width="26.875" bestFit="1" customWidth="1"/>
    <col min="2" max="2" width="8.625" bestFit="1" customWidth="1"/>
    <col min="3" max="3" width="9.125" bestFit="1" customWidth="1"/>
    <col min="4" max="4" width="8.625" bestFit="1" customWidth="1"/>
    <col min="5" max="5" width="9.125" bestFit="1" customWidth="1"/>
    <col min="6" max="6" width="6.625" bestFit="1" customWidth="1"/>
    <col min="7" max="7" width="9.125" bestFit="1" customWidth="1"/>
    <col min="8" max="8" width="6.625" bestFit="1" customWidth="1"/>
    <col min="9" max="9" width="9.125" bestFit="1" customWidth="1"/>
    <col min="10" max="10" width="6.625" bestFit="1" customWidth="1"/>
    <col min="11" max="11" width="9.125" bestFit="1" customWidth="1"/>
    <col min="12" max="12" width="6.625" bestFit="1" customWidth="1"/>
    <col min="13" max="13" width="9.125" bestFit="1" customWidth="1"/>
    <col min="14" max="14" width="6.625" bestFit="1" customWidth="1"/>
    <col min="15" max="15" width="9.125" bestFit="1" customWidth="1"/>
    <col min="16" max="16" width="6.625" bestFit="1" customWidth="1"/>
    <col min="17" max="17" width="9.125" bestFit="1" customWidth="1"/>
    <col min="18" max="18" width="6.625" bestFit="1" customWidth="1"/>
    <col min="19" max="19" width="9.125" bestFit="1" customWidth="1"/>
    <col min="20" max="20" width="6.625" bestFit="1" customWidth="1"/>
    <col min="21" max="21" width="9.125" bestFit="1" customWidth="1"/>
    <col min="22" max="22" width="6.625" bestFit="1" customWidth="1"/>
    <col min="23" max="23" width="9.125" bestFit="1" customWidth="1"/>
    <col min="24" max="24" width="7.75" bestFit="1" customWidth="1"/>
    <col min="25" max="25" width="9.125" bestFit="1" customWidth="1"/>
    <col min="26" max="26" width="8.625" bestFit="1" customWidth="1"/>
    <col min="27" max="27" width="9.125" bestFit="1" customWidth="1"/>
  </cols>
  <sheetData>
    <row r="1" spans="1:27" ht="14.95" x14ac:dyDescent="0.25">
      <c r="A1" s="145" t="str">
        <f>BS!A1</f>
        <v>Allure of Peru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</row>
    <row r="2" spans="1:27" ht="14.95" x14ac:dyDescent="0.25">
      <c r="A2" s="148" t="s">
        <v>51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</row>
    <row r="3" spans="1:27" x14ac:dyDescent="0.25">
      <c r="A3" s="148" t="str">
        <f>'P&amp;L Trending Data'!B4</f>
        <v>1/1/2025 to 12/31/2025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50"/>
    </row>
    <row r="4" spans="1:27" ht="14.95" thickBot="1" x14ac:dyDescent="0.3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</row>
    <row r="5" spans="1:27" ht="14.95" thickBot="1" x14ac:dyDescent="0.3">
      <c r="A5" s="94"/>
      <c r="B5" s="142">
        <f>'DTF &amp; QuickCalc'!A72</f>
        <v>45658</v>
      </c>
      <c r="C5" s="35"/>
      <c r="D5" s="115">
        <f t="shared" ref="D5" si="0">EDATE(B5,1)</f>
        <v>45689</v>
      </c>
      <c r="E5" s="35"/>
      <c r="F5" s="115">
        <f>EDATE(D5,1)</f>
        <v>45717</v>
      </c>
      <c r="G5" s="35"/>
      <c r="H5" s="115">
        <f t="shared" ref="H5" si="1">EDATE(F5,1)</f>
        <v>45748</v>
      </c>
      <c r="I5" s="35"/>
      <c r="J5" s="115">
        <f>EDATE(H5,1)</f>
        <v>45778</v>
      </c>
      <c r="K5" s="35"/>
      <c r="L5" s="115">
        <f t="shared" ref="L5" si="2">EDATE(J5,1)</f>
        <v>45809</v>
      </c>
      <c r="M5" s="35"/>
      <c r="N5" s="115">
        <f t="shared" ref="N5" si="3">EDATE(L5,1)</f>
        <v>45839</v>
      </c>
      <c r="O5" s="35"/>
      <c r="P5" s="115">
        <f t="shared" ref="P5" si="4">EDATE(N5,1)</f>
        <v>45870</v>
      </c>
      <c r="Q5" s="35"/>
      <c r="R5" s="115">
        <f t="shared" ref="R5" si="5">EDATE(P5,1)</f>
        <v>45901</v>
      </c>
      <c r="S5" s="35"/>
      <c r="T5" s="115">
        <f t="shared" ref="T5" si="6">EDATE(R5,1)</f>
        <v>45931</v>
      </c>
      <c r="U5" s="35"/>
      <c r="V5" s="115">
        <f t="shared" ref="V5" si="7">EDATE(T5,1)</f>
        <v>45962</v>
      </c>
      <c r="W5" s="35"/>
      <c r="X5" s="115">
        <f t="shared" ref="X5" si="8">EDATE(V5,1)</f>
        <v>45992</v>
      </c>
      <c r="Y5" s="35"/>
      <c r="Z5" s="92" t="s">
        <v>15</v>
      </c>
      <c r="AA5" s="93"/>
    </row>
    <row r="6" spans="1:27" ht="14.95" thickBot="1" x14ac:dyDescent="0.3">
      <c r="A6" s="95"/>
      <c r="B6" s="7" t="s">
        <v>2</v>
      </c>
      <c r="C6" s="7" t="s">
        <v>16</v>
      </c>
      <c r="D6" s="1" t="s">
        <v>2</v>
      </c>
      <c r="E6" s="7" t="s">
        <v>16</v>
      </c>
      <c r="F6" s="1" t="s">
        <v>2</v>
      </c>
      <c r="G6" s="7" t="s">
        <v>16</v>
      </c>
      <c r="H6" s="1" t="s">
        <v>2</v>
      </c>
      <c r="I6" s="7" t="s">
        <v>16</v>
      </c>
      <c r="J6" s="1" t="s">
        <v>2</v>
      </c>
      <c r="K6" s="7" t="s">
        <v>16</v>
      </c>
      <c r="L6" s="1" t="s">
        <v>2</v>
      </c>
      <c r="M6" s="7" t="s">
        <v>16</v>
      </c>
      <c r="N6" s="1" t="s">
        <v>2</v>
      </c>
      <c r="O6" s="7" t="s">
        <v>16</v>
      </c>
      <c r="P6" s="1" t="s">
        <v>2</v>
      </c>
      <c r="Q6" s="7" t="s">
        <v>16</v>
      </c>
      <c r="R6" s="1" t="s">
        <v>2</v>
      </c>
      <c r="S6" s="7" t="s">
        <v>16</v>
      </c>
      <c r="T6" s="1" t="s">
        <v>2</v>
      </c>
      <c r="U6" s="7" t="s">
        <v>16</v>
      </c>
      <c r="V6" s="1" t="s">
        <v>2</v>
      </c>
      <c r="W6" s="7" t="s">
        <v>16</v>
      </c>
      <c r="X6" s="1" t="s">
        <v>2</v>
      </c>
      <c r="Y6" s="7" t="s">
        <v>16</v>
      </c>
      <c r="Z6" s="89" t="s">
        <v>2</v>
      </c>
      <c r="AA6" s="25" t="s">
        <v>16</v>
      </c>
    </row>
    <row r="7" spans="1:27" x14ac:dyDescent="0.25">
      <c r="A7" s="12" t="s">
        <v>17</v>
      </c>
      <c r="B7" s="2"/>
      <c r="C7" s="46"/>
      <c r="D7" s="2"/>
      <c r="E7" s="46"/>
      <c r="F7" s="2"/>
      <c r="G7" s="46"/>
      <c r="H7" s="2"/>
      <c r="I7" s="46"/>
      <c r="J7" s="2"/>
      <c r="K7" s="46"/>
      <c r="L7" s="2"/>
      <c r="M7" s="46"/>
      <c r="N7" s="2"/>
      <c r="O7" s="46"/>
      <c r="P7" s="2"/>
      <c r="Q7" s="46"/>
      <c r="R7" s="2"/>
      <c r="S7" s="46"/>
      <c r="T7" s="2"/>
      <c r="U7" s="46"/>
      <c r="V7" s="2"/>
      <c r="W7" s="46"/>
      <c r="X7" s="2"/>
      <c r="Y7" s="46"/>
      <c r="Z7" s="90"/>
      <c r="AA7" s="91"/>
    </row>
    <row r="8" spans="1:27" x14ac:dyDescent="0.25">
      <c r="A8" s="14" t="s">
        <v>113</v>
      </c>
      <c r="B8" s="3" cm="1">
        <f t="array" ref="B8:Y8">_xlfn.XLOOKUP(A8,'P&amp;L Trending Data'!A9:A149,'P&amp;L Trending Data'!B9:Y149)</f>
        <v>388276</v>
      </c>
      <c r="C8" s="76">
        <v>276.75</v>
      </c>
      <c r="D8" s="3">
        <v>408258</v>
      </c>
      <c r="E8" s="76">
        <v>279.82</v>
      </c>
      <c r="F8" s="3">
        <v>406113</v>
      </c>
      <c r="G8" s="76">
        <v>278.35000000000002</v>
      </c>
      <c r="H8" s="3">
        <v>370960</v>
      </c>
      <c r="I8" s="76">
        <v>282.52999999999997</v>
      </c>
      <c r="J8" s="3">
        <v>371972</v>
      </c>
      <c r="K8" s="76">
        <v>282.87</v>
      </c>
      <c r="L8" s="3">
        <v>407087</v>
      </c>
      <c r="M8" s="76">
        <v>282.11</v>
      </c>
      <c r="N8" s="3">
        <v>395127</v>
      </c>
      <c r="O8" s="76">
        <v>295.98</v>
      </c>
      <c r="P8" s="3">
        <v>413088</v>
      </c>
      <c r="Q8" s="76">
        <v>295.7</v>
      </c>
      <c r="R8" s="3">
        <v>410913</v>
      </c>
      <c r="S8" s="76">
        <v>296.05</v>
      </c>
      <c r="T8" s="3">
        <v>369135</v>
      </c>
      <c r="U8" s="76">
        <v>262.73</v>
      </c>
      <c r="V8" s="3">
        <v>320350</v>
      </c>
      <c r="W8" s="76">
        <v>261.3</v>
      </c>
      <c r="X8" s="3">
        <v>389012</v>
      </c>
      <c r="Y8" s="76">
        <v>262.85000000000002</v>
      </c>
      <c r="Z8" s="87">
        <f>B8+D8+F8+H8+J8+L8+N8+P8+R8+T8+V8+X8</f>
        <v>4650291</v>
      </c>
      <c r="AA8" s="24">
        <f>C8+E8+G8+I8+K8+M8+O8+Q8+S8+U8+W8+Y8</f>
        <v>3357.04</v>
      </c>
    </row>
    <row r="9" spans="1:27" x14ac:dyDescent="0.25">
      <c r="A9" s="14" t="s">
        <v>114</v>
      </c>
      <c r="B9" s="3" cm="1">
        <f t="array" ref="B9:Y9">_xlfn.XLOOKUP(A9,'P&amp;L Trending Data'!A10:A150,'P&amp;L Trending Data'!B10:Y150)</f>
        <v>23801</v>
      </c>
      <c r="C9" s="76">
        <v>276.76</v>
      </c>
      <c r="D9" s="3">
        <v>26023</v>
      </c>
      <c r="E9" s="76">
        <v>279.82</v>
      </c>
      <c r="F9" s="3">
        <v>33402</v>
      </c>
      <c r="G9" s="76">
        <v>278.35000000000002</v>
      </c>
      <c r="H9" s="3">
        <v>32504</v>
      </c>
      <c r="I9" s="76">
        <v>282.64</v>
      </c>
      <c r="J9" s="3">
        <v>37308</v>
      </c>
      <c r="K9" s="76">
        <v>282.64</v>
      </c>
      <c r="L9" s="3">
        <v>18649</v>
      </c>
      <c r="M9" s="76">
        <v>286.91000000000003</v>
      </c>
      <c r="N9" s="3">
        <v>27562</v>
      </c>
      <c r="O9" s="76">
        <v>296.37</v>
      </c>
      <c r="P9" s="3">
        <v>41492</v>
      </c>
      <c r="Q9" s="76">
        <v>296.37</v>
      </c>
      <c r="R9" s="3">
        <v>42085</v>
      </c>
      <c r="S9" s="76">
        <v>296.37</v>
      </c>
      <c r="T9" s="3">
        <v>37000</v>
      </c>
      <c r="U9" s="76">
        <v>262.41000000000003</v>
      </c>
      <c r="V9" s="3">
        <v>30470</v>
      </c>
      <c r="W9" s="76">
        <v>253.92</v>
      </c>
      <c r="X9" s="3">
        <v>54056</v>
      </c>
      <c r="Y9" s="76">
        <v>262.41000000000003</v>
      </c>
      <c r="Z9" s="87">
        <f t="shared" ref="Z9:AA21" si="9">B9+D9+F9+H9+J9+L9+N9+P9+R9+T9+V9+X9</f>
        <v>404352</v>
      </c>
      <c r="AA9" s="24">
        <f t="shared" si="9"/>
        <v>3354.97</v>
      </c>
    </row>
    <row r="10" spans="1:27" x14ac:dyDescent="0.25">
      <c r="A10" s="14" t="s">
        <v>115</v>
      </c>
      <c r="B10" s="3" cm="1">
        <f t="array" ref="B10:Y10">_xlfn.XLOOKUP(A10,'P&amp;L Trending Data'!A11:A151,'P&amp;L Trending Data'!B11:Y151)</f>
        <v>276629</v>
      </c>
      <c r="C10" s="76">
        <v>726.06</v>
      </c>
      <c r="D10" s="3">
        <v>190410</v>
      </c>
      <c r="E10" s="76">
        <v>721.25</v>
      </c>
      <c r="F10" s="3">
        <v>271459</v>
      </c>
      <c r="G10" s="76">
        <v>696.05</v>
      </c>
      <c r="H10" s="3">
        <v>231688</v>
      </c>
      <c r="I10" s="76">
        <v>675.47</v>
      </c>
      <c r="J10" s="3">
        <v>234861</v>
      </c>
      <c r="K10" s="76">
        <v>727.13</v>
      </c>
      <c r="L10" s="3">
        <v>188683</v>
      </c>
      <c r="M10" s="76">
        <v>681.16</v>
      </c>
      <c r="N10" s="3">
        <v>195908</v>
      </c>
      <c r="O10" s="76">
        <v>653.03</v>
      </c>
      <c r="P10" s="3">
        <v>150286</v>
      </c>
      <c r="Q10" s="76">
        <v>615.92999999999995</v>
      </c>
      <c r="R10" s="3">
        <v>180454</v>
      </c>
      <c r="S10" s="76">
        <v>649.11</v>
      </c>
      <c r="T10" s="3">
        <v>173470</v>
      </c>
      <c r="U10" s="76">
        <v>649.70000000000005</v>
      </c>
      <c r="V10" s="3">
        <v>165678</v>
      </c>
      <c r="W10" s="76">
        <v>676.24</v>
      </c>
      <c r="X10" s="3">
        <v>221112</v>
      </c>
      <c r="Y10" s="76">
        <v>684.56</v>
      </c>
      <c r="Z10" s="87">
        <f t="shared" si="9"/>
        <v>2480638</v>
      </c>
      <c r="AA10" s="24">
        <f t="shared" si="9"/>
        <v>8155.6899999999987</v>
      </c>
    </row>
    <row r="11" spans="1:27" x14ac:dyDescent="0.25">
      <c r="A11" s="14" t="s">
        <v>116</v>
      </c>
      <c r="B11" s="3" cm="1">
        <f t="array" ref="B11:Y11">_xlfn.XLOOKUP(A11,'P&amp;L Trending Data'!A12:A152,'P&amp;L Trending Data'!B12:Y152)</f>
        <v>106231</v>
      </c>
      <c r="C11" s="76">
        <v>440.79</v>
      </c>
      <c r="D11" s="3">
        <v>113904</v>
      </c>
      <c r="E11" s="76">
        <v>433.09</v>
      </c>
      <c r="F11" s="3">
        <v>112617</v>
      </c>
      <c r="G11" s="76">
        <v>415.56</v>
      </c>
      <c r="H11" s="3">
        <v>58193</v>
      </c>
      <c r="I11" s="76">
        <v>476.99</v>
      </c>
      <c r="J11" s="3">
        <v>45675</v>
      </c>
      <c r="K11" s="76">
        <v>400.66</v>
      </c>
      <c r="L11" s="3">
        <v>43336</v>
      </c>
      <c r="M11" s="76">
        <v>577.80999999999995</v>
      </c>
      <c r="N11" s="3">
        <v>52479</v>
      </c>
      <c r="O11" s="76">
        <v>460.34</v>
      </c>
      <c r="P11" s="3">
        <v>77254</v>
      </c>
      <c r="Q11" s="76">
        <v>508.25</v>
      </c>
      <c r="R11" s="3">
        <v>91873</v>
      </c>
      <c r="S11" s="76">
        <v>419.51</v>
      </c>
      <c r="T11" s="3">
        <v>53007</v>
      </c>
      <c r="U11" s="76">
        <v>486.3</v>
      </c>
      <c r="V11" s="3">
        <v>50226</v>
      </c>
      <c r="W11" s="76">
        <v>469.41</v>
      </c>
      <c r="X11" s="3">
        <v>119379</v>
      </c>
      <c r="Y11" s="76">
        <v>523.59</v>
      </c>
      <c r="Z11" s="87">
        <f t="shared" si="9"/>
        <v>924174</v>
      </c>
      <c r="AA11" s="24">
        <f t="shared" si="9"/>
        <v>5612.3</v>
      </c>
    </row>
    <row r="12" spans="1:27" x14ac:dyDescent="0.25">
      <c r="A12" s="14" t="s">
        <v>117</v>
      </c>
      <c r="B12" s="3" cm="1">
        <f t="array" ref="B12:Y12">_xlfn.XLOOKUP(A12,'P&amp;L Trending Data'!A13:A153,'P&amp;L Trending Data'!B13:Y153)</f>
        <v>138594</v>
      </c>
      <c r="C12" s="76">
        <v>304.60000000000002</v>
      </c>
      <c r="D12" s="3">
        <v>98035</v>
      </c>
      <c r="E12" s="76">
        <v>304.45999999999998</v>
      </c>
      <c r="F12" s="3">
        <v>102135</v>
      </c>
      <c r="G12" s="76">
        <v>289.33999999999997</v>
      </c>
      <c r="H12" s="3">
        <v>103587</v>
      </c>
      <c r="I12" s="76">
        <v>287.74</v>
      </c>
      <c r="J12" s="3">
        <v>167586</v>
      </c>
      <c r="K12" s="76">
        <v>287.95</v>
      </c>
      <c r="L12" s="3">
        <v>140418</v>
      </c>
      <c r="M12" s="76">
        <v>312.04000000000002</v>
      </c>
      <c r="N12" s="3">
        <v>155881</v>
      </c>
      <c r="O12" s="76">
        <v>292.45999999999998</v>
      </c>
      <c r="P12" s="3">
        <v>123863</v>
      </c>
      <c r="Q12" s="76">
        <v>306.58999999999997</v>
      </c>
      <c r="R12" s="3">
        <v>130438</v>
      </c>
      <c r="S12" s="76">
        <v>299.86</v>
      </c>
      <c r="T12" s="3">
        <v>104916</v>
      </c>
      <c r="U12" s="76">
        <v>303.22000000000003</v>
      </c>
      <c r="V12" s="3">
        <v>120531</v>
      </c>
      <c r="W12" s="76">
        <v>269.64</v>
      </c>
      <c r="X12" s="3">
        <v>60990</v>
      </c>
      <c r="Y12" s="76">
        <v>285</v>
      </c>
      <c r="Z12" s="87">
        <f t="shared" si="9"/>
        <v>1446974</v>
      </c>
      <c r="AA12" s="24">
        <f t="shared" si="9"/>
        <v>3542.9</v>
      </c>
    </row>
    <row r="13" spans="1:27" x14ac:dyDescent="0.25">
      <c r="A13" s="14" t="s">
        <v>118</v>
      </c>
      <c r="B13" s="3" cm="1">
        <f t="array" ref="B13:Y13">_xlfn.XLOOKUP(A13,'P&amp;L Trending Data'!A14:A154,'P&amp;L Trending Data'!B14:Y154)</f>
        <v>0</v>
      </c>
      <c r="C13" s="76">
        <v>0</v>
      </c>
      <c r="D13" s="3">
        <v>0</v>
      </c>
      <c r="E13" s="76">
        <v>0</v>
      </c>
      <c r="F13" s="3">
        <v>0</v>
      </c>
      <c r="G13" s="76">
        <v>0</v>
      </c>
      <c r="H13" s="3">
        <v>0</v>
      </c>
      <c r="I13" s="76">
        <v>0</v>
      </c>
      <c r="J13" s="3">
        <v>0</v>
      </c>
      <c r="K13" s="76">
        <v>0</v>
      </c>
      <c r="L13" s="3">
        <v>0</v>
      </c>
      <c r="M13" s="76">
        <v>0</v>
      </c>
      <c r="N13" s="3">
        <v>0</v>
      </c>
      <c r="O13" s="76">
        <v>0</v>
      </c>
      <c r="P13" s="3">
        <v>0</v>
      </c>
      <c r="Q13" s="76">
        <v>0</v>
      </c>
      <c r="R13" s="3">
        <v>0</v>
      </c>
      <c r="S13" s="76">
        <v>0</v>
      </c>
      <c r="T13" s="3">
        <v>0</v>
      </c>
      <c r="U13" s="76">
        <v>0</v>
      </c>
      <c r="V13" s="3">
        <v>0</v>
      </c>
      <c r="W13" s="76">
        <v>0</v>
      </c>
      <c r="X13" s="3">
        <v>0</v>
      </c>
      <c r="Y13" s="76">
        <v>0</v>
      </c>
      <c r="Z13" s="87">
        <f t="shared" si="9"/>
        <v>0</v>
      </c>
      <c r="AA13" s="24">
        <f t="shared" si="9"/>
        <v>0</v>
      </c>
    </row>
    <row r="14" spans="1:27" x14ac:dyDescent="0.25">
      <c r="A14" s="14" t="s">
        <v>119</v>
      </c>
      <c r="B14" s="3" cm="1">
        <f t="array" ref="B14:Y14">_xlfn.XLOOKUP(A14,'P&amp;L Trending Data'!A15:A155,'P&amp;L Trending Data'!B15:Y155)</f>
        <v>22407</v>
      </c>
      <c r="C14" s="76">
        <v>0</v>
      </c>
      <c r="D14" s="3">
        <v>1600</v>
      </c>
      <c r="E14" s="76">
        <v>0</v>
      </c>
      <c r="F14" s="3">
        <v>38819</v>
      </c>
      <c r="G14" s="76">
        <v>0</v>
      </c>
      <c r="H14" s="3">
        <v>21411</v>
      </c>
      <c r="I14" s="76">
        <v>0</v>
      </c>
      <c r="J14" s="3">
        <v>26503</v>
      </c>
      <c r="K14" s="76">
        <v>0</v>
      </c>
      <c r="L14" s="3">
        <v>27290</v>
      </c>
      <c r="M14" s="76">
        <v>0</v>
      </c>
      <c r="N14" s="3">
        <v>31718</v>
      </c>
      <c r="O14" s="76">
        <v>0</v>
      </c>
      <c r="P14" s="3">
        <v>29662</v>
      </c>
      <c r="Q14" s="76">
        <v>0</v>
      </c>
      <c r="R14" s="3">
        <v>24022</v>
      </c>
      <c r="S14" s="76">
        <v>0</v>
      </c>
      <c r="T14" s="3">
        <v>32306</v>
      </c>
      <c r="U14" s="76">
        <v>0</v>
      </c>
      <c r="V14" s="3">
        <v>18907</v>
      </c>
      <c r="W14" s="76">
        <v>0</v>
      </c>
      <c r="X14" s="3">
        <v>22468</v>
      </c>
      <c r="Y14" s="76">
        <v>0</v>
      </c>
      <c r="Z14" s="87">
        <f t="shared" si="9"/>
        <v>297113</v>
      </c>
      <c r="AA14" s="24">
        <f t="shared" si="9"/>
        <v>0</v>
      </c>
    </row>
    <row r="15" spans="1:27" x14ac:dyDescent="0.25">
      <c r="A15" s="14" t="s">
        <v>120</v>
      </c>
      <c r="B15" s="56" cm="1">
        <f t="array" ref="B15:Y15">_xlfn.XLOOKUP(A15,'P&amp;L Trending Data'!A16:A156,'P&amp;L Trending Data'!B16:Y156)</f>
        <v>0</v>
      </c>
      <c r="C15" s="24">
        <v>0</v>
      </c>
      <c r="D15" s="56">
        <v>0</v>
      </c>
      <c r="E15" s="24">
        <v>0</v>
      </c>
      <c r="F15" s="5">
        <v>0</v>
      </c>
      <c r="G15" s="76">
        <v>0</v>
      </c>
      <c r="H15" s="5">
        <v>0</v>
      </c>
      <c r="I15" s="76">
        <v>0</v>
      </c>
      <c r="J15" s="5">
        <v>0</v>
      </c>
      <c r="K15" s="76">
        <v>0</v>
      </c>
      <c r="L15" s="5">
        <v>0</v>
      </c>
      <c r="M15" s="76">
        <v>0</v>
      </c>
      <c r="N15" s="5">
        <v>0</v>
      </c>
      <c r="O15" s="76">
        <v>0</v>
      </c>
      <c r="P15" s="5">
        <v>0</v>
      </c>
      <c r="Q15" s="76">
        <v>0</v>
      </c>
      <c r="R15" s="5">
        <v>0</v>
      </c>
      <c r="S15" s="76">
        <v>0</v>
      </c>
      <c r="T15" s="5">
        <v>0</v>
      </c>
      <c r="U15" s="76">
        <v>0</v>
      </c>
      <c r="V15" s="5">
        <v>0</v>
      </c>
      <c r="W15" s="76">
        <v>0</v>
      </c>
      <c r="X15" s="5">
        <v>0</v>
      </c>
      <c r="Y15" s="76">
        <v>0</v>
      </c>
      <c r="Z15" s="87">
        <f t="shared" si="9"/>
        <v>0</v>
      </c>
      <c r="AA15" s="24">
        <f t="shared" si="9"/>
        <v>0</v>
      </c>
    </row>
    <row r="16" spans="1:27" x14ac:dyDescent="0.25">
      <c r="A16" s="14" t="s">
        <v>121</v>
      </c>
      <c r="B16" s="56" cm="1">
        <f t="array" ref="B16:Y16">_xlfn.XLOOKUP(A16,'P&amp;L Trending Data'!A17:A157,'P&amp;L Trending Data'!B17:Y157)</f>
        <v>0</v>
      </c>
      <c r="C16" s="24">
        <v>0</v>
      </c>
      <c r="D16" s="56">
        <v>0</v>
      </c>
      <c r="E16" s="24">
        <v>0</v>
      </c>
      <c r="F16" s="5">
        <v>0</v>
      </c>
      <c r="G16" s="76">
        <v>0</v>
      </c>
      <c r="H16" s="5">
        <v>0</v>
      </c>
      <c r="I16" s="76">
        <v>0</v>
      </c>
      <c r="J16" s="5">
        <v>0</v>
      </c>
      <c r="K16" s="76">
        <v>0</v>
      </c>
      <c r="L16" s="5">
        <v>0</v>
      </c>
      <c r="M16" s="76">
        <v>0</v>
      </c>
      <c r="N16" s="5">
        <v>0</v>
      </c>
      <c r="O16" s="76">
        <v>0</v>
      </c>
      <c r="P16" s="5">
        <v>0</v>
      </c>
      <c r="Q16" s="76">
        <v>0</v>
      </c>
      <c r="R16" s="5">
        <v>0</v>
      </c>
      <c r="S16" s="76">
        <v>0</v>
      </c>
      <c r="T16" s="5">
        <v>0</v>
      </c>
      <c r="U16" s="76">
        <v>0</v>
      </c>
      <c r="V16" s="5">
        <v>0</v>
      </c>
      <c r="W16" s="76">
        <v>0</v>
      </c>
      <c r="X16" s="5">
        <v>0</v>
      </c>
      <c r="Y16" s="76">
        <v>0</v>
      </c>
      <c r="Z16" s="87">
        <f t="shared" si="9"/>
        <v>0</v>
      </c>
      <c r="AA16" s="24">
        <f t="shared" si="9"/>
        <v>0</v>
      </c>
    </row>
    <row r="17" spans="1:27" x14ac:dyDescent="0.25">
      <c r="A17" s="14" t="s">
        <v>122</v>
      </c>
      <c r="B17" s="56" cm="1">
        <f t="array" ref="B17:Y17">_xlfn.XLOOKUP(A17,'P&amp;L Trending Data'!A18:A158,'P&amp;L Trending Data'!B18:Y158)</f>
        <v>0</v>
      </c>
      <c r="C17" s="24">
        <v>0</v>
      </c>
      <c r="D17" s="56">
        <v>0</v>
      </c>
      <c r="E17" s="24">
        <v>0</v>
      </c>
      <c r="F17" s="5">
        <v>0</v>
      </c>
      <c r="G17" s="76">
        <v>0</v>
      </c>
      <c r="H17" s="5">
        <v>0</v>
      </c>
      <c r="I17" s="76">
        <v>0</v>
      </c>
      <c r="J17" s="5">
        <v>0</v>
      </c>
      <c r="K17" s="76">
        <v>0</v>
      </c>
      <c r="L17" s="5">
        <v>0</v>
      </c>
      <c r="M17" s="76">
        <v>0</v>
      </c>
      <c r="N17" s="5">
        <v>0</v>
      </c>
      <c r="O17" s="76">
        <v>0</v>
      </c>
      <c r="P17" s="5">
        <v>0</v>
      </c>
      <c r="Q17" s="76">
        <v>0</v>
      </c>
      <c r="R17" s="5">
        <v>0</v>
      </c>
      <c r="S17" s="76">
        <v>0</v>
      </c>
      <c r="T17" s="5">
        <v>0</v>
      </c>
      <c r="U17" s="76">
        <v>0</v>
      </c>
      <c r="V17" s="5">
        <v>0</v>
      </c>
      <c r="W17" s="76">
        <v>0</v>
      </c>
      <c r="X17" s="5">
        <v>0</v>
      </c>
      <c r="Y17" s="76">
        <v>0</v>
      </c>
      <c r="Z17" s="87">
        <f t="shared" si="9"/>
        <v>0</v>
      </c>
      <c r="AA17" s="24">
        <f t="shared" si="9"/>
        <v>0</v>
      </c>
    </row>
    <row r="18" spans="1:27" x14ac:dyDescent="0.25">
      <c r="A18" s="14" t="s">
        <v>123</v>
      </c>
      <c r="B18" s="56" cm="1">
        <f t="array" ref="B18:Y18">_xlfn.XLOOKUP(A18,'P&amp;L Trending Data'!A19:A159,'P&amp;L Trending Data'!B19:Y159)</f>
        <v>313</v>
      </c>
      <c r="C18" s="24">
        <v>0</v>
      </c>
      <c r="D18" s="56">
        <v>1116</v>
      </c>
      <c r="E18" s="24">
        <v>0</v>
      </c>
      <c r="F18" s="3">
        <v>84</v>
      </c>
      <c r="G18" s="76">
        <v>0</v>
      </c>
      <c r="H18" s="3">
        <v>82</v>
      </c>
      <c r="I18" s="76">
        <v>0</v>
      </c>
      <c r="J18" s="3">
        <v>96</v>
      </c>
      <c r="K18" s="76">
        <v>0</v>
      </c>
      <c r="L18" s="3">
        <v>114</v>
      </c>
      <c r="M18" s="76">
        <v>0</v>
      </c>
      <c r="N18" s="3">
        <v>87</v>
      </c>
      <c r="O18" s="76">
        <v>0</v>
      </c>
      <c r="P18" s="3">
        <v>1923</v>
      </c>
      <c r="Q18" s="76">
        <v>0</v>
      </c>
      <c r="R18" s="3">
        <v>139</v>
      </c>
      <c r="S18" s="76">
        <v>0</v>
      </c>
      <c r="T18" s="3">
        <v>635</v>
      </c>
      <c r="U18" s="76">
        <v>0</v>
      </c>
      <c r="V18" s="3">
        <v>578</v>
      </c>
      <c r="W18" s="76">
        <v>0</v>
      </c>
      <c r="X18" s="3">
        <v>108</v>
      </c>
      <c r="Y18" s="76">
        <v>0</v>
      </c>
      <c r="Z18" s="87">
        <f t="shared" si="9"/>
        <v>5275</v>
      </c>
      <c r="AA18" s="24">
        <f t="shared" si="9"/>
        <v>0</v>
      </c>
    </row>
    <row r="19" spans="1:27" x14ac:dyDescent="0.25">
      <c r="A19" s="14" t="s">
        <v>124</v>
      </c>
      <c r="B19" s="56" cm="1">
        <f t="array" ref="B19:Y19">_xlfn.XLOOKUP(A19,'P&amp;L Trending Data'!A20:A160,'P&amp;L Trending Data'!B20:Y160)</f>
        <v>0</v>
      </c>
      <c r="C19" s="24">
        <v>0</v>
      </c>
      <c r="D19" s="56">
        <v>0</v>
      </c>
      <c r="E19" s="24">
        <v>0</v>
      </c>
      <c r="F19" s="5">
        <v>0</v>
      </c>
      <c r="G19" s="76">
        <v>0</v>
      </c>
      <c r="H19" s="5">
        <v>0</v>
      </c>
      <c r="I19" s="76">
        <v>0</v>
      </c>
      <c r="J19" s="5">
        <v>0</v>
      </c>
      <c r="K19" s="76">
        <v>0</v>
      </c>
      <c r="L19" s="5">
        <v>0</v>
      </c>
      <c r="M19" s="76">
        <v>0</v>
      </c>
      <c r="N19" s="5">
        <v>0</v>
      </c>
      <c r="O19" s="76">
        <v>0</v>
      </c>
      <c r="P19" s="5">
        <v>0</v>
      </c>
      <c r="Q19" s="76">
        <v>0</v>
      </c>
      <c r="R19" s="5">
        <v>0</v>
      </c>
      <c r="S19" s="76">
        <v>0</v>
      </c>
      <c r="T19" s="5">
        <v>0</v>
      </c>
      <c r="U19" s="76">
        <v>0</v>
      </c>
      <c r="V19" s="5">
        <v>0</v>
      </c>
      <c r="W19" s="76">
        <v>0</v>
      </c>
      <c r="X19" s="5">
        <v>0</v>
      </c>
      <c r="Y19" s="76">
        <v>0</v>
      </c>
      <c r="Z19" s="87">
        <f t="shared" si="9"/>
        <v>0</v>
      </c>
      <c r="AA19" s="24">
        <f t="shared" si="9"/>
        <v>0</v>
      </c>
    </row>
    <row r="20" spans="1:27" ht="14.95" thickBot="1" x14ac:dyDescent="0.3">
      <c r="A20" s="14" t="s">
        <v>125</v>
      </c>
      <c r="B20" s="57" cm="1">
        <f t="array" ref="B20:Y20">_xlfn.XLOOKUP(A20,'P&amp;L Trending Data'!A21:A161,'P&amp;L Trending Data'!B21:Y161)</f>
        <v>18506</v>
      </c>
      <c r="C20" s="58">
        <v>7.21</v>
      </c>
      <c r="D20" s="57">
        <v>18506</v>
      </c>
      <c r="E20" s="58">
        <v>7.71</v>
      </c>
      <c r="F20" s="3">
        <v>18506</v>
      </c>
      <c r="G20" s="76">
        <v>7.14</v>
      </c>
      <c r="H20" s="3">
        <v>16901</v>
      </c>
      <c r="I20" s="76">
        <v>7.5</v>
      </c>
      <c r="J20" s="3">
        <v>16901</v>
      </c>
      <c r="K20" s="76">
        <v>6.85</v>
      </c>
      <c r="L20" s="3">
        <v>16901</v>
      </c>
      <c r="M20" s="76">
        <v>7.32</v>
      </c>
      <c r="N20" s="3">
        <v>18546</v>
      </c>
      <c r="O20" s="76">
        <v>7.81</v>
      </c>
      <c r="P20" s="3">
        <v>18546</v>
      </c>
      <c r="Q20" s="76">
        <v>7.94</v>
      </c>
      <c r="R20" s="3">
        <v>18546</v>
      </c>
      <c r="S20" s="76">
        <v>7.53</v>
      </c>
      <c r="T20" s="3">
        <v>18546</v>
      </c>
      <c r="U20" s="76">
        <v>8.18</v>
      </c>
      <c r="V20" s="3">
        <v>17166</v>
      </c>
      <c r="W20" s="76">
        <v>8</v>
      </c>
      <c r="X20" s="3">
        <v>17856</v>
      </c>
      <c r="Y20" s="76">
        <v>7.29</v>
      </c>
      <c r="Z20" s="88">
        <f t="shared" si="9"/>
        <v>215427</v>
      </c>
      <c r="AA20" s="58">
        <f t="shared" si="9"/>
        <v>90.48</v>
      </c>
    </row>
    <row r="21" spans="1:27" x14ac:dyDescent="0.25">
      <c r="A21" s="14" t="s">
        <v>19</v>
      </c>
      <c r="B21" s="61" cm="1">
        <f t="array" ref="B21:Y21">_xlfn.XLOOKUP(A21,'P&amp;L Trending Data'!A22:A162,'P&amp;L Trending Data'!B22:Y162)</f>
        <v>974758</v>
      </c>
      <c r="C21" s="62">
        <v>379.87</v>
      </c>
      <c r="D21" s="61">
        <v>857852</v>
      </c>
      <c r="E21" s="62">
        <v>357.29</v>
      </c>
      <c r="F21" s="66">
        <v>983136</v>
      </c>
      <c r="G21" s="8">
        <v>379.15</v>
      </c>
      <c r="H21" s="66">
        <v>835326</v>
      </c>
      <c r="I21" s="8">
        <v>370.76</v>
      </c>
      <c r="J21" s="66">
        <v>900903</v>
      </c>
      <c r="K21" s="8">
        <v>365.33</v>
      </c>
      <c r="L21" s="66">
        <v>842479</v>
      </c>
      <c r="M21" s="8">
        <v>364.71</v>
      </c>
      <c r="N21" s="66">
        <v>877308</v>
      </c>
      <c r="O21" s="8">
        <v>369.39</v>
      </c>
      <c r="P21" s="66">
        <v>856113</v>
      </c>
      <c r="Q21" s="8">
        <v>366.33</v>
      </c>
      <c r="R21" s="66">
        <v>898468</v>
      </c>
      <c r="S21" s="8">
        <v>364.93</v>
      </c>
      <c r="T21" s="66">
        <v>789014</v>
      </c>
      <c r="U21" s="8">
        <v>347.89</v>
      </c>
      <c r="V21" s="66">
        <v>723906</v>
      </c>
      <c r="W21" s="8">
        <v>337.49</v>
      </c>
      <c r="X21" s="66">
        <v>884982</v>
      </c>
      <c r="Y21" s="8">
        <v>361.07</v>
      </c>
      <c r="Z21" s="81">
        <f>B21+D21+F21+H21+J21+L21+N21+P21+R21+T21+V21+X21</f>
        <v>10424245</v>
      </c>
      <c r="AA21" s="24">
        <f t="shared" si="9"/>
        <v>4364.2099999999991</v>
      </c>
    </row>
    <row r="22" spans="1:27" x14ac:dyDescent="0.25">
      <c r="A22" s="12" t="s">
        <v>20</v>
      </c>
      <c r="B22" s="2"/>
      <c r="C22" s="46"/>
      <c r="D22" s="2"/>
      <c r="E22" s="46"/>
      <c r="F22" s="2"/>
      <c r="G22" s="46"/>
      <c r="H22" s="2"/>
      <c r="I22" s="46"/>
      <c r="J22" s="2"/>
      <c r="K22" s="46"/>
      <c r="L22" s="2"/>
      <c r="M22" s="46"/>
      <c r="N22" s="2"/>
      <c r="O22" s="46"/>
      <c r="P22" s="2"/>
      <c r="Q22" s="46"/>
      <c r="R22" s="2"/>
      <c r="S22" s="46"/>
      <c r="T22" s="2"/>
      <c r="U22" s="46"/>
      <c r="V22" s="2"/>
      <c r="W22" s="46"/>
      <c r="X22" s="2"/>
      <c r="Y22" s="46"/>
      <c r="Z22" s="84"/>
      <c r="AA22" s="23"/>
    </row>
    <row r="23" spans="1:27" x14ac:dyDescent="0.25">
      <c r="A23" s="14" t="s">
        <v>113</v>
      </c>
      <c r="B23" s="5" cm="1">
        <f t="array" ref="B23:Y23">_xlfn.XLOOKUP(A23,'P&amp;L Trending Data'!A24:A164,'P&amp;L Trending Data'!B24:Y164)</f>
        <v>1445</v>
      </c>
      <c r="C23" s="76">
        <v>0</v>
      </c>
      <c r="D23" s="5">
        <v>1459</v>
      </c>
      <c r="E23" s="76">
        <v>0</v>
      </c>
      <c r="F23" s="5">
        <v>1452</v>
      </c>
      <c r="G23" s="76">
        <v>0</v>
      </c>
      <c r="H23" s="5">
        <v>1313</v>
      </c>
      <c r="I23" s="76">
        <v>0</v>
      </c>
      <c r="J23" s="5">
        <v>1315</v>
      </c>
      <c r="K23" s="76">
        <v>0</v>
      </c>
      <c r="L23" s="5">
        <v>1449</v>
      </c>
      <c r="M23" s="76">
        <v>0</v>
      </c>
      <c r="N23" s="5">
        <v>1335</v>
      </c>
      <c r="O23" s="76">
        <v>0</v>
      </c>
      <c r="P23" s="5">
        <v>1397</v>
      </c>
      <c r="Q23" s="76">
        <v>0</v>
      </c>
      <c r="R23" s="5">
        <v>1388</v>
      </c>
      <c r="S23" s="76">
        <v>0</v>
      </c>
      <c r="T23" s="5">
        <v>1405</v>
      </c>
      <c r="U23" s="76">
        <v>0</v>
      </c>
      <c r="V23" s="5">
        <v>1225</v>
      </c>
      <c r="W23" s="76">
        <v>0</v>
      </c>
      <c r="X23" s="5">
        <v>1480</v>
      </c>
      <c r="Y23" s="76">
        <v>0</v>
      </c>
      <c r="Z23" s="87">
        <f t="shared" ref="Z23:Z30" si="10">B23+D23+F23+H23+J23+L23+N23+P23+R23+T23+V23+X23</f>
        <v>16663</v>
      </c>
      <c r="AA23" s="24" t="s">
        <v>18</v>
      </c>
    </row>
    <row r="24" spans="1:27" x14ac:dyDescent="0.25">
      <c r="A24" s="14" t="s">
        <v>114</v>
      </c>
      <c r="B24" s="5" cm="1">
        <f t="array" ref="B24:Y24">_xlfn.XLOOKUP(A24,'P&amp;L Trending Data'!A25:A165,'P&amp;L Trending Data'!B25:Y165)</f>
        <v>86</v>
      </c>
      <c r="C24" s="76">
        <v>0</v>
      </c>
      <c r="D24" s="5">
        <v>93</v>
      </c>
      <c r="E24" s="76">
        <v>0</v>
      </c>
      <c r="F24" s="5">
        <v>120</v>
      </c>
      <c r="G24" s="76">
        <v>0</v>
      </c>
      <c r="H24" s="5">
        <v>115</v>
      </c>
      <c r="I24" s="76">
        <v>0</v>
      </c>
      <c r="J24" s="5">
        <v>132</v>
      </c>
      <c r="K24" s="76">
        <v>0</v>
      </c>
      <c r="L24" s="5">
        <v>65</v>
      </c>
      <c r="M24" s="76">
        <v>0</v>
      </c>
      <c r="N24" s="5">
        <v>93</v>
      </c>
      <c r="O24" s="76">
        <v>0</v>
      </c>
      <c r="P24" s="5">
        <v>140</v>
      </c>
      <c r="Q24" s="76">
        <v>0</v>
      </c>
      <c r="R24" s="5">
        <v>142</v>
      </c>
      <c r="S24" s="76">
        <v>0</v>
      </c>
      <c r="T24" s="5">
        <v>141</v>
      </c>
      <c r="U24" s="76">
        <v>0</v>
      </c>
      <c r="V24" s="5">
        <v>120</v>
      </c>
      <c r="W24" s="76">
        <v>0</v>
      </c>
      <c r="X24" s="5">
        <v>206</v>
      </c>
      <c r="Y24" s="76">
        <v>0</v>
      </c>
      <c r="Z24" s="87">
        <f t="shared" si="10"/>
        <v>1453</v>
      </c>
      <c r="AA24" s="24" t="s">
        <v>18</v>
      </c>
    </row>
    <row r="25" spans="1:27" x14ac:dyDescent="0.25">
      <c r="A25" s="14" t="s">
        <v>115</v>
      </c>
      <c r="B25" s="5" cm="1">
        <f t="array" ref="B25:Y25">_xlfn.XLOOKUP(A25,'P&amp;L Trending Data'!A26:A166,'P&amp;L Trending Data'!B26:Y166)</f>
        <v>381</v>
      </c>
      <c r="C25" s="76">
        <v>0</v>
      </c>
      <c r="D25" s="5">
        <v>264</v>
      </c>
      <c r="E25" s="76">
        <v>0</v>
      </c>
      <c r="F25" s="5">
        <v>390</v>
      </c>
      <c r="G25" s="76">
        <v>0</v>
      </c>
      <c r="H25" s="5">
        <v>343</v>
      </c>
      <c r="I25" s="76">
        <v>0</v>
      </c>
      <c r="J25" s="5">
        <v>323</v>
      </c>
      <c r="K25" s="76">
        <v>0</v>
      </c>
      <c r="L25" s="5">
        <v>277</v>
      </c>
      <c r="M25" s="76">
        <v>0</v>
      </c>
      <c r="N25" s="5">
        <v>300</v>
      </c>
      <c r="O25" s="76">
        <v>0</v>
      </c>
      <c r="P25" s="5">
        <v>244</v>
      </c>
      <c r="Q25" s="76">
        <v>0</v>
      </c>
      <c r="R25" s="5">
        <v>278</v>
      </c>
      <c r="S25" s="76">
        <v>0</v>
      </c>
      <c r="T25" s="5">
        <v>267</v>
      </c>
      <c r="U25" s="76">
        <v>0</v>
      </c>
      <c r="V25" s="5">
        <v>245</v>
      </c>
      <c r="W25" s="76">
        <v>0</v>
      </c>
      <c r="X25" s="5">
        <v>323</v>
      </c>
      <c r="Y25" s="76">
        <v>0</v>
      </c>
      <c r="Z25" s="87">
        <f t="shared" si="10"/>
        <v>3635</v>
      </c>
      <c r="AA25" s="24" t="s">
        <v>18</v>
      </c>
    </row>
    <row r="26" spans="1:27" x14ac:dyDescent="0.25">
      <c r="A26" s="14" t="s">
        <v>116</v>
      </c>
      <c r="B26" s="5" cm="1">
        <f t="array" ref="B26:Y26">_xlfn.XLOOKUP(A26,'P&amp;L Trending Data'!A27:A167,'P&amp;L Trending Data'!B27:Y167)</f>
        <v>241</v>
      </c>
      <c r="C26" s="76">
        <v>0</v>
      </c>
      <c r="D26" s="5">
        <v>263</v>
      </c>
      <c r="E26" s="76">
        <v>0</v>
      </c>
      <c r="F26" s="5">
        <v>271</v>
      </c>
      <c r="G26" s="76">
        <v>0</v>
      </c>
      <c r="H26" s="5">
        <v>122</v>
      </c>
      <c r="I26" s="76">
        <v>0</v>
      </c>
      <c r="J26" s="5">
        <v>114</v>
      </c>
      <c r="K26" s="76">
        <v>0</v>
      </c>
      <c r="L26" s="5">
        <v>75</v>
      </c>
      <c r="M26" s="76">
        <v>0</v>
      </c>
      <c r="N26" s="5">
        <v>114</v>
      </c>
      <c r="O26" s="76">
        <v>0</v>
      </c>
      <c r="P26" s="5">
        <v>152</v>
      </c>
      <c r="Q26" s="76">
        <v>0</v>
      </c>
      <c r="R26" s="5">
        <v>219</v>
      </c>
      <c r="S26" s="76">
        <v>0</v>
      </c>
      <c r="T26" s="5">
        <v>109</v>
      </c>
      <c r="U26" s="76">
        <v>0</v>
      </c>
      <c r="V26" s="5">
        <v>107</v>
      </c>
      <c r="W26" s="76">
        <v>0</v>
      </c>
      <c r="X26" s="5">
        <v>228</v>
      </c>
      <c r="Y26" s="76">
        <v>0</v>
      </c>
      <c r="Z26" s="87">
        <f t="shared" si="10"/>
        <v>2015</v>
      </c>
      <c r="AA26" s="24" t="s">
        <v>18</v>
      </c>
    </row>
    <row r="27" spans="1:27" x14ac:dyDescent="0.25">
      <c r="A27" s="14" t="s">
        <v>117</v>
      </c>
      <c r="B27" s="5" cm="1">
        <f t="array" ref="B27:Y27">_xlfn.XLOOKUP(A27,'P&amp;L Trending Data'!A28:A168,'P&amp;L Trending Data'!B28:Y168)</f>
        <v>455</v>
      </c>
      <c r="C27" s="76">
        <v>0</v>
      </c>
      <c r="D27" s="5">
        <v>322</v>
      </c>
      <c r="E27" s="76">
        <v>0</v>
      </c>
      <c r="F27" s="5">
        <v>353</v>
      </c>
      <c r="G27" s="76">
        <v>0</v>
      </c>
      <c r="H27" s="5">
        <v>360</v>
      </c>
      <c r="I27" s="76">
        <v>0</v>
      </c>
      <c r="J27" s="5">
        <v>582</v>
      </c>
      <c r="K27" s="76">
        <v>0</v>
      </c>
      <c r="L27" s="5">
        <v>450</v>
      </c>
      <c r="M27" s="76">
        <v>0</v>
      </c>
      <c r="N27" s="5">
        <v>533</v>
      </c>
      <c r="O27" s="76">
        <v>0</v>
      </c>
      <c r="P27" s="5">
        <v>404</v>
      </c>
      <c r="Q27" s="76">
        <v>0</v>
      </c>
      <c r="R27" s="5">
        <v>435</v>
      </c>
      <c r="S27" s="76">
        <v>0</v>
      </c>
      <c r="T27" s="5">
        <v>340</v>
      </c>
      <c r="U27" s="76">
        <v>0</v>
      </c>
      <c r="V27" s="5">
        <v>442</v>
      </c>
      <c r="W27" s="76">
        <v>0</v>
      </c>
      <c r="X27" s="5">
        <v>218</v>
      </c>
      <c r="Y27" s="76">
        <v>0</v>
      </c>
      <c r="Z27" s="87">
        <f t="shared" si="10"/>
        <v>4894</v>
      </c>
      <c r="AA27" s="24" t="s">
        <v>18</v>
      </c>
    </row>
    <row r="28" spans="1:27" x14ac:dyDescent="0.25">
      <c r="A28" s="14" t="s">
        <v>118</v>
      </c>
      <c r="B28" s="5" cm="1">
        <f t="array" ref="B28:Y28">_xlfn.XLOOKUP(A28,'P&amp;L Trending Data'!A29:A169,'P&amp;L Trending Data'!B29:Y169)</f>
        <v>0</v>
      </c>
      <c r="C28" s="76">
        <v>0</v>
      </c>
      <c r="D28" s="5">
        <v>0</v>
      </c>
      <c r="E28" s="76">
        <v>0</v>
      </c>
      <c r="F28" s="5">
        <v>0</v>
      </c>
      <c r="G28" s="76">
        <v>0</v>
      </c>
      <c r="H28" s="5">
        <v>0</v>
      </c>
      <c r="I28" s="76">
        <v>0</v>
      </c>
      <c r="J28" s="5">
        <v>0</v>
      </c>
      <c r="K28" s="76">
        <v>0</v>
      </c>
      <c r="L28" s="5">
        <v>0</v>
      </c>
      <c r="M28" s="76">
        <v>0</v>
      </c>
      <c r="N28" s="5">
        <v>0</v>
      </c>
      <c r="O28" s="76">
        <v>0</v>
      </c>
      <c r="P28" s="5">
        <v>0</v>
      </c>
      <c r="Q28" s="76">
        <v>0</v>
      </c>
      <c r="R28" s="5">
        <v>0</v>
      </c>
      <c r="S28" s="76">
        <v>0</v>
      </c>
      <c r="T28" s="5">
        <v>0</v>
      </c>
      <c r="U28" s="76">
        <v>0</v>
      </c>
      <c r="V28" s="5">
        <v>0</v>
      </c>
      <c r="W28" s="76">
        <v>0</v>
      </c>
      <c r="X28" s="5">
        <v>0</v>
      </c>
      <c r="Y28" s="76">
        <v>0</v>
      </c>
      <c r="Z28" s="87">
        <f t="shared" si="10"/>
        <v>0</v>
      </c>
      <c r="AA28" s="24" t="s">
        <v>18</v>
      </c>
    </row>
    <row r="29" spans="1:27" ht="14.95" thickBot="1" x14ac:dyDescent="0.3">
      <c r="A29" s="14" t="s">
        <v>126</v>
      </c>
      <c r="B29" s="56" cm="1">
        <f t="array" ref="B29:Y29">_xlfn.XLOOKUP(A29,'P&amp;L Trending Data'!A30:A170,'P&amp;L Trending Data'!B30:Y170)</f>
        <v>0</v>
      </c>
      <c r="C29" s="76">
        <v>0</v>
      </c>
      <c r="D29" s="56">
        <v>0</v>
      </c>
      <c r="E29" s="76">
        <v>0</v>
      </c>
      <c r="F29" s="5">
        <v>0</v>
      </c>
      <c r="G29" s="76">
        <v>0</v>
      </c>
      <c r="H29" s="5">
        <v>0</v>
      </c>
      <c r="I29" s="76">
        <v>0</v>
      </c>
      <c r="J29" s="5">
        <v>0</v>
      </c>
      <c r="K29" s="76">
        <v>0</v>
      </c>
      <c r="L29" s="5">
        <v>0</v>
      </c>
      <c r="M29" s="76">
        <v>0</v>
      </c>
      <c r="N29" s="5">
        <v>0</v>
      </c>
      <c r="O29" s="76">
        <v>0</v>
      </c>
      <c r="P29" s="5">
        <v>0</v>
      </c>
      <c r="Q29" s="76">
        <v>0</v>
      </c>
      <c r="R29" s="5">
        <v>0</v>
      </c>
      <c r="S29" s="76">
        <v>0</v>
      </c>
      <c r="T29" s="5">
        <v>0</v>
      </c>
      <c r="U29" s="76">
        <v>0</v>
      </c>
      <c r="V29" s="5">
        <v>0</v>
      </c>
      <c r="W29" s="76">
        <v>0</v>
      </c>
      <c r="X29" s="5">
        <v>0</v>
      </c>
      <c r="Y29" s="76">
        <v>0</v>
      </c>
      <c r="Z29" s="88">
        <f t="shared" si="10"/>
        <v>0</v>
      </c>
      <c r="AA29" s="58" t="s">
        <v>18</v>
      </c>
    </row>
    <row r="30" spans="1:27" x14ac:dyDescent="0.25">
      <c r="A30" s="14" t="s">
        <v>21</v>
      </c>
      <c r="B30" s="63" cm="1">
        <f t="array" ref="B30:Y30">_xlfn.XLOOKUP(A30,'P&amp;L Trending Data'!A31:A171,'P&amp;L Trending Data'!B31:Y171)</f>
        <v>2608</v>
      </c>
      <c r="C30" s="64">
        <v>0</v>
      </c>
      <c r="D30" s="63">
        <v>2401</v>
      </c>
      <c r="E30" s="64">
        <v>0</v>
      </c>
      <c r="F30" s="66">
        <v>2586</v>
      </c>
      <c r="G30" s="8">
        <v>0</v>
      </c>
      <c r="H30" s="66">
        <v>2253</v>
      </c>
      <c r="I30" s="8">
        <v>0</v>
      </c>
      <c r="J30" s="66">
        <v>2466</v>
      </c>
      <c r="K30" s="8">
        <v>0</v>
      </c>
      <c r="L30" s="66">
        <v>2316</v>
      </c>
      <c r="M30" s="8">
        <v>0</v>
      </c>
      <c r="N30" s="66">
        <v>2375</v>
      </c>
      <c r="O30" s="8">
        <v>0</v>
      </c>
      <c r="P30" s="66">
        <v>2337</v>
      </c>
      <c r="Q30" s="8">
        <v>0</v>
      </c>
      <c r="R30" s="66">
        <v>2462</v>
      </c>
      <c r="S30" s="8">
        <v>0</v>
      </c>
      <c r="T30" s="66">
        <v>2262</v>
      </c>
      <c r="U30" s="8">
        <v>0</v>
      </c>
      <c r="V30" s="66">
        <v>2139</v>
      </c>
      <c r="W30" s="8">
        <v>0</v>
      </c>
      <c r="X30" s="66">
        <v>2455</v>
      </c>
      <c r="Y30" s="8">
        <v>0</v>
      </c>
      <c r="Z30" s="81">
        <f t="shared" si="10"/>
        <v>28660</v>
      </c>
      <c r="AA30" s="24">
        <f t="shared" ref="AA30" si="11">C30+E30+G30+I30+K30+M30+O30+Q30+S30+U30+W30+Y30</f>
        <v>0</v>
      </c>
    </row>
    <row r="31" spans="1:27" x14ac:dyDescent="0.25">
      <c r="A31" s="12" t="s">
        <v>22</v>
      </c>
      <c r="B31" s="2"/>
      <c r="C31" s="46"/>
      <c r="D31" s="2"/>
      <c r="E31" s="46"/>
      <c r="F31" s="2"/>
      <c r="G31" s="46"/>
      <c r="H31" s="2"/>
      <c r="I31" s="46"/>
      <c r="J31" s="2"/>
      <c r="K31" s="46"/>
      <c r="L31" s="2"/>
      <c r="M31" s="46"/>
      <c r="N31" s="2"/>
      <c r="O31" s="46"/>
      <c r="P31" s="2"/>
      <c r="Q31" s="46"/>
      <c r="R31" s="2"/>
      <c r="S31" s="46"/>
      <c r="T31" s="2"/>
      <c r="U31" s="46"/>
      <c r="V31" s="2"/>
      <c r="W31" s="46"/>
      <c r="X31" s="2"/>
      <c r="Y31" s="46"/>
      <c r="Z31" s="2"/>
      <c r="AA31" s="23"/>
    </row>
    <row r="32" spans="1:27" x14ac:dyDescent="0.25">
      <c r="A32" s="14" t="s">
        <v>127</v>
      </c>
      <c r="B32" s="3" cm="1">
        <f t="array" ref="B32:Y32">_xlfn.XLOOKUP(A32,'P&amp;L Trending Data'!A33:A173,'P&amp;L Trending Data'!B33:Y173)</f>
        <v>9212</v>
      </c>
      <c r="C32" s="76">
        <v>3.59</v>
      </c>
      <c r="D32" s="3">
        <v>7717</v>
      </c>
      <c r="E32" s="76">
        <v>3.21</v>
      </c>
      <c r="F32" s="3">
        <v>8952</v>
      </c>
      <c r="G32" s="76">
        <v>3.45</v>
      </c>
      <c r="H32" s="3">
        <v>8492</v>
      </c>
      <c r="I32" s="76">
        <v>3.77</v>
      </c>
      <c r="J32" s="3">
        <v>8997</v>
      </c>
      <c r="K32" s="76">
        <v>3.65</v>
      </c>
      <c r="L32" s="3">
        <v>8509</v>
      </c>
      <c r="M32" s="76">
        <v>3.68</v>
      </c>
      <c r="N32" s="3">
        <v>10067</v>
      </c>
      <c r="O32" s="76">
        <v>4.24</v>
      </c>
      <c r="P32" s="3">
        <v>8597</v>
      </c>
      <c r="Q32" s="76">
        <v>3.68</v>
      </c>
      <c r="R32" s="3">
        <v>8438</v>
      </c>
      <c r="S32" s="76">
        <v>3.43</v>
      </c>
      <c r="T32" s="3">
        <v>9040</v>
      </c>
      <c r="U32" s="76">
        <v>3.99</v>
      </c>
      <c r="V32" s="3">
        <v>9054</v>
      </c>
      <c r="W32" s="76">
        <v>4.22</v>
      </c>
      <c r="X32" s="3">
        <v>8871</v>
      </c>
      <c r="Y32" s="76">
        <v>3.62</v>
      </c>
      <c r="Z32" s="81">
        <f t="shared" ref="Z32:Z53" si="12">B32+D32+F32+H32+J32+L32+N32+P32+R32+T32+V32+X32</f>
        <v>105946</v>
      </c>
      <c r="AA32" s="24">
        <f t="shared" ref="AA32:AA53" si="13">C32+E32+G32+I32+K32+M32+O32+Q32+S32+U32+W32+Y32</f>
        <v>44.529999999999994</v>
      </c>
    </row>
    <row r="33" spans="1:27" x14ac:dyDescent="0.25">
      <c r="A33" s="14" t="s">
        <v>128</v>
      </c>
      <c r="B33" s="5" cm="1">
        <f t="array" ref="B33:Y33">_xlfn.XLOOKUP(A33,'P&amp;L Trending Data'!A34:A174,'P&amp;L Trending Data'!B34:Y174)</f>
        <v>7877</v>
      </c>
      <c r="C33" s="76">
        <v>3.07</v>
      </c>
      <c r="D33" s="5">
        <v>7354</v>
      </c>
      <c r="E33" s="76">
        <v>3.06</v>
      </c>
      <c r="F33" s="3">
        <v>7832</v>
      </c>
      <c r="G33" s="76">
        <v>3.02</v>
      </c>
      <c r="H33" s="3">
        <v>7552</v>
      </c>
      <c r="I33" s="76">
        <v>3.35</v>
      </c>
      <c r="J33" s="3">
        <v>8298</v>
      </c>
      <c r="K33" s="76">
        <v>3.36</v>
      </c>
      <c r="L33" s="3">
        <v>7532</v>
      </c>
      <c r="M33" s="76">
        <v>3.26</v>
      </c>
      <c r="N33" s="3">
        <v>7601</v>
      </c>
      <c r="O33" s="76">
        <v>3.2</v>
      </c>
      <c r="P33" s="3">
        <v>7638</v>
      </c>
      <c r="Q33" s="76">
        <v>3.27</v>
      </c>
      <c r="R33" s="3">
        <v>6659</v>
      </c>
      <c r="S33" s="76">
        <v>2.7</v>
      </c>
      <c r="T33" s="3">
        <v>1904</v>
      </c>
      <c r="U33" s="76">
        <v>0.84</v>
      </c>
      <c r="V33" s="3">
        <v>6738</v>
      </c>
      <c r="W33" s="76">
        <v>3.14</v>
      </c>
      <c r="X33" s="3">
        <v>8630</v>
      </c>
      <c r="Y33" s="76">
        <v>3.52</v>
      </c>
      <c r="Z33" s="81">
        <f t="shared" si="12"/>
        <v>85615</v>
      </c>
      <c r="AA33" s="24">
        <f t="shared" si="13"/>
        <v>35.79</v>
      </c>
    </row>
    <row r="34" spans="1:27" x14ac:dyDescent="0.25">
      <c r="A34" s="14" t="s">
        <v>129</v>
      </c>
      <c r="B34" s="3" cm="1">
        <f t="array" ref="B34:Y34">_xlfn.XLOOKUP(A34,'P&amp;L Trending Data'!A35:A175,'P&amp;L Trending Data'!B35:Y175)</f>
        <v>65236</v>
      </c>
      <c r="C34" s="76">
        <v>25.42</v>
      </c>
      <c r="D34" s="3">
        <v>60365</v>
      </c>
      <c r="E34" s="76">
        <v>25.14</v>
      </c>
      <c r="F34" s="3">
        <v>68632</v>
      </c>
      <c r="G34" s="76">
        <v>26.47</v>
      </c>
      <c r="H34" s="3">
        <v>69671</v>
      </c>
      <c r="I34" s="76">
        <v>30.92</v>
      </c>
      <c r="J34" s="3">
        <v>71475</v>
      </c>
      <c r="K34" s="76">
        <v>28.98</v>
      </c>
      <c r="L34" s="3">
        <v>69227</v>
      </c>
      <c r="M34" s="76">
        <v>29.97</v>
      </c>
      <c r="N34" s="3">
        <v>72869</v>
      </c>
      <c r="O34" s="76">
        <v>30.68</v>
      </c>
      <c r="P34" s="3">
        <v>66824</v>
      </c>
      <c r="Q34" s="76">
        <v>28.59</v>
      </c>
      <c r="R34" s="3">
        <v>64087</v>
      </c>
      <c r="S34" s="76">
        <v>26.03</v>
      </c>
      <c r="T34" s="3">
        <v>66427</v>
      </c>
      <c r="U34" s="76">
        <v>29.29</v>
      </c>
      <c r="V34" s="3">
        <v>64275</v>
      </c>
      <c r="W34" s="76">
        <v>29.97</v>
      </c>
      <c r="X34" s="3">
        <v>61682</v>
      </c>
      <c r="Y34" s="76">
        <v>25.17</v>
      </c>
      <c r="Z34" s="81">
        <f t="shared" si="12"/>
        <v>800770</v>
      </c>
      <c r="AA34" s="24">
        <f t="shared" si="13"/>
        <v>336.63000000000005</v>
      </c>
    </row>
    <row r="35" spans="1:27" x14ac:dyDescent="0.25">
      <c r="A35" s="14" t="s">
        <v>130</v>
      </c>
      <c r="B35" s="3" cm="1">
        <f t="array" ref="B35:Y35">_xlfn.XLOOKUP(A35,'P&amp;L Trending Data'!A36:A176,'P&amp;L Trending Data'!B36:Y176)</f>
        <v>36740</v>
      </c>
      <c r="C35" s="76">
        <v>14.32</v>
      </c>
      <c r="D35" s="3">
        <v>36131</v>
      </c>
      <c r="E35" s="76">
        <v>15.05</v>
      </c>
      <c r="F35" s="3">
        <v>35983</v>
      </c>
      <c r="G35" s="76">
        <v>13.88</v>
      </c>
      <c r="H35" s="3">
        <v>33791</v>
      </c>
      <c r="I35" s="76">
        <v>15</v>
      </c>
      <c r="J35" s="3">
        <v>33989</v>
      </c>
      <c r="K35" s="76">
        <v>13.78</v>
      </c>
      <c r="L35" s="3">
        <v>40210</v>
      </c>
      <c r="M35" s="76">
        <v>17.41</v>
      </c>
      <c r="N35" s="3">
        <v>34691</v>
      </c>
      <c r="O35" s="76">
        <v>14.61</v>
      </c>
      <c r="P35" s="3">
        <v>34825</v>
      </c>
      <c r="Q35" s="76">
        <v>14.9</v>
      </c>
      <c r="R35" s="3">
        <v>35716</v>
      </c>
      <c r="S35" s="76">
        <v>14.51</v>
      </c>
      <c r="T35" s="3">
        <v>40897</v>
      </c>
      <c r="U35" s="76">
        <v>18.03</v>
      </c>
      <c r="V35" s="3">
        <v>39372</v>
      </c>
      <c r="W35" s="76">
        <v>18.36</v>
      </c>
      <c r="X35" s="3">
        <v>40479</v>
      </c>
      <c r="Y35" s="76">
        <v>16.52</v>
      </c>
      <c r="Z35" s="81">
        <f t="shared" si="12"/>
        <v>442824</v>
      </c>
      <c r="AA35" s="24">
        <f t="shared" si="13"/>
        <v>186.37000000000003</v>
      </c>
    </row>
    <row r="36" spans="1:27" x14ac:dyDescent="0.25">
      <c r="A36" s="14" t="s">
        <v>131</v>
      </c>
      <c r="B36" s="3" cm="1">
        <f t="array" ref="B36:Y36">_xlfn.XLOOKUP(A36,'P&amp;L Trending Data'!A37:A177,'P&amp;L Trending Data'!B37:Y177)</f>
        <v>158997</v>
      </c>
      <c r="C36" s="76">
        <v>61.96</v>
      </c>
      <c r="D36" s="3">
        <v>131266</v>
      </c>
      <c r="E36" s="76">
        <v>54.67</v>
      </c>
      <c r="F36" s="3">
        <v>156709</v>
      </c>
      <c r="G36" s="76">
        <v>60.44</v>
      </c>
      <c r="H36" s="3">
        <v>157935</v>
      </c>
      <c r="I36" s="76">
        <v>70.099999999999994</v>
      </c>
      <c r="J36" s="3">
        <v>171345</v>
      </c>
      <c r="K36" s="76">
        <v>69.48</v>
      </c>
      <c r="L36" s="3">
        <v>162985</v>
      </c>
      <c r="M36" s="76">
        <v>70.56</v>
      </c>
      <c r="N36" s="3">
        <v>155904</v>
      </c>
      <c r="O36" s="76">
        <v>65.64</v>
      </c>
      <c r="P36" s="3">
        <v>145993</v>
      </c>
      <c r="Q36" s="76">
        <v>62.47</v>
      </c>
      <c r="R36" s="3">
        <v>154712</v>
      </c>
      <c r="S36" s="76">
        <v>62.84</v>
      </c>
      <c r="T36" s="3">
        <v>142246</v>
      </c>
      <c r="U36" s="76">
        <v>62.72</v>
      </c>
      <c r="V36" s="3">
        <v>151314</v>
      </c>
      <c r="W36" s="76">
        <v>70.540000000000006</v>
      </c>
      <c r="X36" s="3">
        <v>172369</v>
      </c>
      <c r="Y36" s="76">
        <v>70.33</v>
      </c>
      <c r="Z36" s="81">
        <f t="shared" si="12"/>
        <v>1861775</v>
      </c>
      <c r="AA36" s="24">
        <f t="shared" si="13"/>
        <v>781.75</v>
      </c>
    </row>
    <row r="37" spans="1:27" x14ac:dyDescent="0.25">
      <c r="A37" s="14" t="s">
        <v>132</v>
      </c>
      <c r="B37" s="3" cm="1">
        <f t="array" ref="B37:Y37">_xlfn.XLOOKUP(A37,'P&amp;L Trending Data'!A38:A178,'P&amp;L Trending Data'!B38:Y178)</f>
        <v>7723</v>
      </c>
      <c r="C37" s="76">
        <v>3.01</v>
      </c>
      <c r="D37" s="3">
        <v>7800</v>
      </c>
      <c r="E37" s="76">
        <v>3.25</v>
      </c>
      <c r="F37" s="3">
        <v>7670</v>
      </c>
      <c r="G37" s="76">
        <v>2.96</v>
      </c>
      <c r="H37" s="3">
        <v>7340</v>
      </c>
      <c r="I37" s="76">
        <v>3.26</v>
      </c>
      <c r="J37" s="3">
        <v>8444</v>
      </c>
      <c r="K37" s="76">
        <v>3.42</v>
      </c>
      <c r="L37" s="3">
        <v>7123</v>
      </c>
      <c r="M37" s="76">
        <v>3.08</v>
      </c>
      <c r="N37" s="3">
        <v>7715</v>
      </c>
      <c r="O37" s="76">
        <v>3.25</v>
      </c>
      <c r="P37" s="3">
        <v>7615</v>
      </c>
      <c r="Q37" s="76">
        <v>3.26</v>
      </c>
      <c r="R37" s="3">
        <v>7479</v>
      </c>
      <c r="S37" s="76">
        <v>3.04</v>
      </c>
      <c r="T37" s="3">
        <v>7624</v>
      </c>
      <c r="U37" s="76">
        <v>3.36</v>
      </c>
      <c r="V37" s="3">
        <v>7485</v>
      </c>
      <c r="W37" s="76">
        <v>3.49</v>
      </c>
      <c r="X37" s="3">
        <v>8478</v>
      </c>
      <c r="Y37" s="76">
        <v>3.46</v>
      </c>
      <c r="Z37" s="81">
        <f t="shared" si="12"/>
        <v>92496</v>
      </c>
      <c r="AA37" s="24">
        <f t="shared" si="13"/>
        <v>38.839999999999996</v>
      </c>
    </row>
    <row r="38" spans="1:27" x14ac:dyDescent="0.25">
      <c r="A38" s="14" t="s">
        <v>133</v>
      </c>
      <c r="B38" s="5" cm="1">
        <f t="array" ref="B38:Y38">_xlfn.XLOOKUP(A38,'P&amp;L Trending Data'!A39:A179,'P&amp;L Trending Data'!B39:Y179)</f>
        <v>0</v>
      </c>
      <c r="C38" s="76">
        <v>0</v>
      </c>
      <c r="D38" s="5">
        <v>0</v>
      </c>
      <c r="E38" s="76">
        <v>0</v>
      </c>
      <c r="F38" s="5">
        <v>0</v>
      </c>
      <c r="G38" s="76">
        <v>0</v>
      </c>
      <c r="H38" s="5">
        <v>0</v>
      </c>
      <c r="I38" s="76">
        <v>0</v>
      </c>
      <c r="J38" s="5">
        <v>0</v>
      </c>
      <c r="K38" s="76">
        <v>0</v>
      </c>
      <c r="L38" s="5">
        <v>0</v>
      </c>
      <c r="M38" s="76">
        <v>0</v>
      </c>
      <c r="N38" s="5">
        <v>0</v>
      </c>
      <c r="O38" s="76">
        <v>0</v>
      </c>
      <c r="P38" s="5">
        <v>0</v>
      </c>
      <c r="Q38" s="76">
        <v>0</v>
      </c>
      <c r="R38" s="5">
        <v>0</v>
      </c>
      <c r="S38" s="76">
        <v>0</v>
      </c>
      <c r="T38" s="5">
        <v>0</v>
      </c>
      <c r="U38" s="76">
        <v>0</v>
      </c>
      <c r="V38" s="5">
        <v>0</v>
      </c>
      <c r="W38" s="76">
        <v>0</v>
      </c>
      <c r="X38" s="5">
        <v>0</v>
      </c>
      <c r="Y38" s="76">
        <v>0</v>
      </c>
      <c r="Z38" s="81">
        <f t="shared" si="12"/>
        <v>0</v>
      </c>
      <c r="AA38" s="24">
        <f t="shared" si="13"/>
        <v>0</v>
      </c>
    </row>
    <row r="39" spans="1:27" x14ac:dyDescent="0.25">
      <c r="A39" s="14" t="s">
        <v>134</v>
      </c>
      <c r="B39" s="3" cm="1">
        <f t="array" ref="B39:Y39">_xlfn.XLOOKUP(A39,'P&amp;L Trending Data'!A40:A180,'P&amp;L Trending Data'!B40:Y180)</f>
        <v>24990</v>
      </c>
      <c r="C39" s="76">
        <v>9.74</v>
      </c>
      <c r="D39" s="3">
        <v>10031</v>
      </c>
      <c r="E39" s="76">
        <v>4.18</v>
      </c>
      <c r="F39" s="3">
        <v>15243</v>
      </c>
      <c r="G39" s="76">
        <v>5.88</v>
      </c>
      <c r="H39" s="3">
        <v>4530</v>
      </c>
      <c r="I39" s="76">
        <v>2.0099999999999998</v>
      </c>
      <c r="J39" s="3">
        <v>15581</v>
      </c>
      <c r="K39" s="76">
        <v>6.32</v>
      </c>
      <c r="L39" s="3">
        <v>13713</v>
      </c>
      <c r="M39" s="76">
        <v>5.94</v>
      </c>
      <c r="N39" s="3">
        <v>13755</v>
      </c>
      <c r="O39" s="76">
        <v>5.79</v>
      </c>
      <c r="P39" s="3">
        <v>5793</v>
      </c>
      <c r="Q39" s="76">
        <v>2.48</v>
      </c>
      <c r="R39" s="3">
        <v>26888</v>
      </c>
      <c r="S39" s="76">
        <v>10.92</v>
      </c>
      <c r="T39" s="3">
        <v>12299</v>
      </c>
      <c r="U39" s="76">
        <v>5.42</v>
      </c>
      <c r="V39" s="3">
        <v>8223</v>
      </c>
      <c r="W39" s="76">
        <v>3.83</v>
      </c>
      <c r="X39" s="3">
        <v>26644</v>
      </c>
      <c r="Y39" s="76">
        <v>10.87</v>
      </c>
      <c r="Z39" s="81">
        <f t="shared" si="12"/>
        <v>177690</v>
      </c>
      <c r="AA39" s="24">
        <f t="shared" si="13"/>
        <v>73.38</v>
      </c>
    </row>
    <row r="40" spans="1:27" x14ac:dyDescent="0.25">
      <c r="A40" s="14" t="s">
        <v>135</v>
      </c>
      <c r="B40" s="3" cm="1">
        <f t="array" ref="B40:Y40">_xlfn.XLOOKUP(A40,'P&amp;L Trending Data'!A41:A181,'P&amp;L Trending Data'!B41:Y181)</f>
        <v>7758</v>
      </c>
      <c r="C40" s="76">
        <v>3.02</v>
      </c>
      <c r="D40" s="3">
        <v>1974</v>
      </c>
      <c r="E40" s="76">
        <v>0.82</v>
      </c>
      <c r="F40" s="3">
        <v>3687</v>
      </c>
      <c r="G40" s="76">
        <v>1.42</v>
      </c>
      <c r="H40" s="3">
        <v>0</v>
      </c>
      <c r="I40" s="76">
        <v>0</v>
      </c>
      <c r="J40" s="3">
        <v>1264</v>
      </c>
      <c r="K40" s="76">
        <v>0.51</v>
      </c>
      <c r="L40" s="3">
        <v>193</v>
      </c>
      <c r="M40" s="76">
        <v>0.08</v>
      </c>
      <c r="N40" s="3">
        <v>882</v>
      </c>
      <c r="O40" s="76">
        <v>0.37</v>
      </c>
      <c r="P40" s="3">
        <v>0</v>
      </c>
      <c r="Q40" s="76">
        <v>0</v>
      </c>
      <c r="R40" s="3">
        <v>0</v>
      </c>
      <c r="S40" s="76">
        <v>0</v>
      </c>
      <c r="T40" s="3">
        <v>260</v>
      </c>
      <c r="U40" s="76">
        <v>0.11</v>
      </c>
      <c r="V40" s="3">
        <v>0</v>
      </c>
      <c r="W40" s="76">
        <v>0</v>
      </c>
      <c r="X40" s="3">
        <v>2399</v>
      </c>
      <c r="Y40" s="76">
        <v>0.98</v>
      </c>
      <c r="Z40" s="81">
        <f t="shared" si="12"/>
        <v>18417</v>
      </c>
      <c r="AA40" s="24">
        <f t="shared" si="13"/>
        <v>7.3100000000000005</v>
      </c>
    </row>
    <row r="41" spans="1:27" x14ac:dyDescent="0.25">
      <c r="A41" s="14" t="s">
        <v>136</v>
      </c>
      <c r="B41" s="3" cm="1">
        <f t="array" ref="B41:Y41">_xlfn.XLOOKUP(A41,'P&amp;L Trending Data'!A42:A182,'P&amp;L Trending Data'!B42:Y182)</f>
        <v>17567</v>
      </c>
      <c r="C41" s="76">
        <v>6.85</v>
      </c>
      <c r="D41" s="3">
        <v>28226</v>
      </c>
      <c r="E41" s="76">
        <v>11.76</v>
      </c>
      <c r="F41" s="3">
        <v>33572</v>
      </c>
      <c r="G41" s="76">
        <v>12.95</v>
      </c>
      <c r="H41" s="3">
        <v>11167</v>
      </c>
      <c r="I41" s="76">
        <v>4.96</v>
      </c>
      <c r="J41" s="3">
        <v>10005</v>
      </c>
      <c r="K41" s="76">
        <v>4.0599999999999996</v>
      </c>
      <c r="L41" s="3">
        <v>7191</v>
      </c>
      <c r="M41" s="76">
        <v>3.11</v>
      </c>
      <c r="N41" s="3">
        <v>4771</v>
      </c>
      <c r="O41" s="76">
        <v>2.0099999999999998</v>
      </c>
      <c r="P41" s="3">
        <v>3121</v>
      </c>
      <c r="Q41" s="76">
        <v>1.34</v>
      </c>
      <c r="R41" s="3">
        <v>24585</v>
      </c>
      <c r="S41" s="76">
        <v>9.99</v>
      </c>
      <c r="T41" s="3">
        <v>11843</v>
      </c>
      <c r="U41" s="76">
        <v>5.22</v>
      </c>
      <c r="V41" s="3">
        <v>3955</v>
      </c>
      <c r="W41" s="76">
        <v>1.84</v>
      </c>
      <c r="X41" s="3">
        <v>11865</v>
      </c>
      <c r="Y41" s="76">
        <v>4.84</v>
      </c>
      <c r="Z41" s="81">
        <f t="shared" si="12"/>
        <v>167868</v>
      </c>
      <c r="AA41" s="24">
        <f t="shared" si="13"/>
        <v>68.930000000000007</v>
      </c>
    </row>
    <row r="42" spans="1:27" x14ac:dyDescent="0.25">
      <c r="A42" s="14" t="s">
        <v>137</v>
      </c>
      <c r="B42" s="3" cm="1">
        <f t="array" ref="B42:Y42">_xlfn.XLOOKUP(A42,'P&amp;L Trending Data'!A43:A183,'P&amp;L Trending Data'!B43:Y183)</f>
        <v>9096</v>
      </c>
      <c r="C42" s="76">
        <v>3.54</v>
      </c>
      <c r="D42" s="3">
        <v>8183</v>
      </c>
      <c r="E42" s="76">
        <v>3.41</v>
      </c>
      <c r="F42" s="3">
        <v>11766</v>
      </c>
      <c r="G42" s="76">
        <v>4.54</v>
      </c>
      <c r="H42" s="3">
        <v>8005</v>
      </c>
      <c r="I42" s="76">
        <v>3.55</v>
      </c>
      <c r="J42" s="3">
        <v>9016</v>
      </c>
      <c r="K42" s="76">
        <v>3.66</v>
      </c>
      <c r="L42" s="3">
        <v>7306</v>
      </c>
      <c r="M42" s="76">
        <v>3.16</v>
      </c>
      <c r="N42" s="3">
        <v>8808</v>
      </c>
      <c r="O42" s="76">
        <v>3.71</v>
      </c>
      <c r="P42" s="3">
        <v>7412</v>
      </c>
      <c r="Q42" s="76">
        <v>3.17</v>
      </c>
      <c r="R42" s="3">
        <v>10819</v>
      </c>
      <c r="S42" s="76">
        <v>4.3899999999999997</v>
      </c>
      <c r="T42" s="3">
        <v>8067</v>
      </c>
      <c r="U42" s="76">
        <v>3.56</v>
      </c>
      <c r="V42" s="3">
        <v>8778</v>
      </c>
      <c r="W42" s="76">
        <v>4.09</v>
      </c>
      <c r="X42" s="3">
        <v>10387</v>
      </c>
      <c r="Y42" s="76">
        <v>4.24</v>
      </c>
      <c r="Z42" s="81">
        <f t="shared" si="12"/>
        <v>107643</v>
      </c>
      <c r="AA42" s="24">
        <f t="shared" si="13"/>
        <v>45.02</v>
      </c>
    </row>
    <row r="43" spans="1:27" x14ac:dyDescent="0.25">
      <c r="A43" s="14" t="s">
        <v>138</v>
      </c>
      <c r="B43" s="5" cm="1">
        <f t="array" ref="B43:Y43">_xlfn.XLOOKUP(A43,'P&amp;L Trending Data'!A44:A184,'P&amp;L Trending Data'!B44:Y184)</f>
        <v>1662</v>
      </c>
      <c r="C43" s="76">
        <v>0.65</v>
      </c>
      <c r="D43" s="5">
        <v>372</v>
      </c>
      <c r="E43" s="76">
        <v>0.16</v>
      </c>
      <c r="F43" s="3">
        <v>0</v>
      </c>
      <c r="G43" s="76">
        <v>0</v>
      </c>
      <c r="H43" s="3">
        <v>158</v>
      </c>
      <c r="I43" s="76">
        <v>7.0000000000000007E-2</v>
      </c>
      <c r="J43" s="3">
        <v>320</v>
      </c>
      <c r="K43" s="76">
        <v>0.13</v>
      </c>
      <c r="L43" s="3">
        <v>30</v>
      </c>
      <c r="M43" s="76">
        <v>0.01</v>
      </c>
      <c r="N43" s="3">
        <v>285</v>
      </c>
      <c r="O43" s="76">
        <v>0.12</v>
      </c>
      <c r="P43" s="3">
        <v>384</v>
      </c>
      <c r="Q43" s="76">
        <v>0.16</v>
      </c>
      <c r="R43" s="3">
        <v>383</v>
      </c>
      <c r="S43" s="76">
        <v>0.16</v>
      </c>
      <c r="T43" s="3">
        <v>712</v>
      </c>
      <c r="U43" s="76">
        <v>0.31</v>
      </c>
      <c r="V43" s="3">
        <v>2534</v>
      </c>
      <c r="W43" s="76">
        <v>1.18</v>
      </c>
      <c r="X43" s="3">
        <v>1459</v>
      </c>
      <c r="Y43" s="76">
        <v>0.6</v>
      </c>
      <c r="Z43" s="81">
        <f t="shared" si="12"/>
        <v>8299</v>
      </c>
      <c r="AA43" s="24">
        <f t="shared" si="13"/>
        <v>3.5500000000000003</v>
      </c>
    </row>
    <row r="44" spans="1:27" x14ac:dyDescent="0.25">
      <c r="A44" s="14" t="s">
        <v>139</v>
      </c>
      <c r="B44" s="3" cm="1">
        <f t="array" ref="B44:Y44">_xlfn.XLOOKUP(A44,'P&amp;L Trending Data'!A45:A185,'P&amp;L Trending Data'!B45:Y185)</f>
        <v>10932</v>
      </c>
      <c r="C44" s="76">
        <v>4.26</v>
      </c>
      <c r="D44" s="3">
        <v>11733</v>
      </c>
      <c r="E44" s="76">
        <v>4.8899999999999997</v>
      </c>
      <c r="F44" s="3">
        <v>10051</v>
      </c>
      <c r="G44" s="76">
        <v>3.88</v>
      </c>
      <c r="H44" s="3">
        <v>10011</v>
      </c>
      <c r="I44" s="76">
        <v>4.4400000000000004</v>
      </c>
      <c r="J44" s="3">
        <v>9921</v>
      </c>
      <c r="K44" s="76">
        <v>4.0199999999999996</v>
      </c>
      <c r="L44" s="3">
        <v>10041</v>
      </c>
      <c r="M44" s="76">
        <v>4.3499999999999996</v>
      </c>
      <c r="N44" s="3">
        <v>10001</v>
      </c>
      <c r="O44" s="76">
        <v>4.21</v>
      </c>
      <c r="P44" s="3">
        <v>9971</v>
      </c>
      <c r="Q44" s="76">
        <v>4.2699999999999996</v>
      </c>
      <c r="R44" s="3">
        <v>10041</v>
      </c>
      <c r="S44" s="76">
        <v>4.08</v>
      </c>
      <c r="T44" s="3">
        <v>10011</v>
      </c>
      <c r="U44" s="76">
        <v>4.41</v>
      </c>
      <c r="V44" s="3">
        <v>9951</v>
      </c>
      <c r="W44" s="76">
        <v>4.6399999999999997</v>
      </c>
      <c r="X44" s="3">
        <v>9991</v>
      </c>
      <c r="Y44" s="76">
        <v>4.08</v>
      </c>
      <c r="Z44" s="81">
        <f t="shared" si="12"/>
        <v>122655</v>
      </c>
      <c r="AA44" s="24">
        <f t="shared" si="13"/>
        <v>51.529999999999987</v>
      </c>
    </row>
    <row r="45" spans="1:27" x14ac:dyDescent="0.25">
      <c r="A45" s="14" t="s">
        <v>140</v>
      </c>
      <c r="B45" s="3" cm="1">
        <f t="array" ref="B45:Y45">_xlfn.XLOOKUP(A45,'P&amp;L Trending Data'!A46:A186,'P&amp;L Trending Data'!B46:Y186)</f>
        <v>6000</v>
      </c>
      <c r="C45" s="76">
        <v>2.34</v>
      </c>
      <c r="D45" s="3">
        <v>4100</v>
      </c>
      <c r="E45" s="76">
        <v>1.71</v>
      </c>
      <c r="F45" s="5">
        <v>2000</v>
      </c>
      <c r="G45" s="76">
        <v>0.77</v>
      </c>
      <c r="H45" s="5">
        <v>-2000</v>
      </c>
      <c r="I45" s="76">
        <v>-0.89</v>
      </c>
      <c r="J45" s="5">
        <v>0</v>
      </c>
      <c r="K45" s="76">
        <v>0</v>
      </c>
      <c r="L45" s="5">
        <v>2000</v>
      </c>
      <c r="M45" s="76">
        <v>0.87</v>
      </c>
      <c r="N45" s="5">
        <v>8000</v>
      </c>
      <c r="O45" s="76">
        <v>3.37</v>
      </c>
      <c r="P45" s="5">
        <v>4000</v>
      </c>
      <c r="Q45" s="76">
        <v>1.71</v>
      </c>
      <c r="R45" s="5">
        <v>2000</v>
      </c>
      <c r="S45" s="76">
        <v>0.81</v>
      </c>
      <c r="T45" s="5">
        <v>0</v>
      </c>
      <c r="U45" s="76">
        <v>0</v>
      </c>
      <c r="V45" s="5">
        <v>2000</v>
      </c>
      <c r="W45" s="76">
        <v>0.93</v>
      </c>
      <c r="X45" s="5">
        <v>2000</v>
      </c>
      <c r="Y45" s="76">
        <v>0.82</v>
      </c>
      <c r="Z45" s="81">
        <f t="shared" si="12"/>
        <v>30100</v>
      </c>
      <c r="AA45" s="24">
        <f t="shared" si="13"/>
        <v>12.44</v>
      </c>
    </row>
    <row r="46" spans="1:27" x14ac:dyDescent="0.25">
      <c r="A46" s="14" t="s">
        <v>141</v>
      </c>
      <c r="B46" s="5" cm="1">
        <f t="array" ref="B46:Y46">_xlfn.XLOOKUP(A46,'P&amp;L Trending Data'!A47:A187,'P&amp;L Trending Data'!B47:Y187)</f>
        <v>0</v>
      </c>
      <c r="C46" s="76">
        <v>0</v>
      </c>
      <c r="D46" s="5">
        <v>0</v>
      </c>
      <c r="E46" s="76">
        <v>0</v>
      </c>
      <c r="F46" s="5">
        <v>0</v>
      </c>
      <c r="G46" s="76">
        <v>0</v>
      </c>
      <c r="H46" s="5">
        <v>0</v>
      </c>
      <c r="I46" s="76">
        <v>0</v>
      </c>
      <c r="J46" s="5">
        <v>0</v>
      </c>
      <c r="K46" s="76">
        <v>0</v>
      </c>
      <c r="L46" s="5">
        <v>0</v>
      </c>
      <c r="M46" s="76">
        <v>0</v>
      </c>
      <c r="N46" s="5">
        <v>0</v>
      </c>
      <c r="O46" s="76">
        <v>0</v>
      </c>
      <c r="P46" s="5">
        <v>0</v>
      </c>
      <c r="Q46" s="76">
        <v>0</v>
      </c>
      <c r="R46" s="5">
        <v>0</v>
      </c>
      <c r="S46" s="76">
        <v>0</v>
      </c>
      <c r="T46" s="5">
        <v>0</v>
      </c>
      <c r="U46" s="76">
        <v>0</v>
      </c>
      <c r="V46" s="5">
        <v>0</v>
      </c>
      <c r="W46" s="76">
        <v>0</v>
      </c>
      <c r="X46" s="5">
        <v>0</v>
      </c>
      <c r="Y46" s="76">
        <v>0</v>
      </c>
      <c r="Z46" s="81">
        <f t="shared" si="12"/>
        <v>0</v>
      </c>
      <c r="AA46" s="24">
        <f t="shared" si="13"/>
        <v>0</v>
      </c>
    </row>
    <row r="47" spans="1:27" x14ac:dyDescent="0.25">
      <c r="A47" s="14" t="s">
        <v>142</v>
      </c>
      <c r="B47" s="3" cm="1">
        <f t="array" ref="B47:Y47">_xlfn.XLOOKUP(A47,'P&amp;L Trending Data'!A48:A188,'P&amp;L Trending Data'!B48:Y188)</f>
        <v>45</v>
      </c>
      <c r="C47" s="76">
        <v>0.02</v>
      </c>
      <c r="D47" s="3">
        <v>2753</v>
      </c>
      <c r="E47" s="76">
        <v>1.1499999999999999</v>
      </c>
      <c r="F47" s="3">
        <v>2623</v>
      </c>
      <c r="G47" s="76">
        <v>1.01</v>
      </c>
      <c r="H47" s="3">
        <v>2160</v>
      </c>
      <c r="I47" s="76">
        <v>0.96</v>
      </c>
      <c r="J47" s="3">
        <v>3853</v>
      </c>
      <c r="K47" s="76">
        <v>1.56</v>
      </c>
      <c r="L47" s="3">
        <v>1490</v>
      </c>
      <c r="M47" s="76">
        <v>0.65</v>
      </c>
      <c r="N47" s="3">
        <v>3153</v>
      </c>
      <c r="O47" s="76">
        <v>1.33</v>
      </c>
      <c r="P47" s="3">
        <v>2627</v>
      </c>
      <c r="Q47" s="76">
        <v>1.1200000000000001</v>
      </c>
      <c r="R47" s="3">
        <v>1823</v>
      </c>
      <c r="S47" s="76">
        <v>0.74</v>
      </c>
      <c r="T47" s="3">
        <v>2354</v>
      </c>
      <c r="U47" s="76">
        <v>1.04</v>
      </c>
      <c r="V47" s="3">
        <v>0</v>
      </c>
      <c r="W47" s="76">
        <v>0</v>
      </c>
      <c r="X47" s="3">
        <v>0</v>
      </c>
      <c r="Y47" s="76">
        <v>0</v>
      </c>
      <c r="Z47" s="81">
        <f t="shared" si="12"/>
        <v>22881</v>
      </c>
      <c r="AA47" s="24">
        <f t="shared" si="13"/>
        <v>9.5799999999999983</v>
      </c>
    </row>
    <row r="48" spans="1:27" x14ac:dyDescent="0.25">
      <c r="A48" s="14" t="s">
        <v>143</v>
      </c>
      <c r="B48" s="5" cm="1">
        <f t="array" ref="B48:Y48">_xlfn.XLOOKUP(A48,'P&amp;L Trending Data'!A49:A189,'P&amp;L Trending Data'!B49:Y189)</f>
        <v>0</v>
      </c>
      <c r="C48" s="76">
        <v>0</v>
      </c>
      <c r="D48" s="5">
        <v>2423</v>
      </c>
      <c r="E48" s="76">
        <v>1.01</v>
      </c>
      <c r="F48" s="5">
        <v>6697</v>
      </c>
      <c r="G48" s="76">
        <v>2.58</v>
      </c>
      <c r="H48" s="5">
        <v>635</v>
      </c>
      <c r="I48" s="76">
        <v>0.28000000000000003</v>
      </c>
      <c r="J48" s="5">
        <v>0</v>
      </c>
      <c r="K48" s="76">
        <v>0</v>
      </c>
      <c r="L48" s="5">
        <v>1383</v>
      </c>
      <c r="M48" s="76">
        <v>0.6</v>
      </c>
      <c r="N48" s="5">
        <v>0</v>
      </c>
      <c r="O48" s="76">
        <v>0</v>
      </c>
      <c r="P48" s="5">
        <v>788</v>
      </c>
      <c r="Q48" s="76">
        <v>0.34</v>
      </c>
      <c r="R48" s="5">
        <v>1203</v>
      </c>
      <c r="S48" s="76">
        <v>0.49</v>
      </c>
      <c r="T48" s="5">
        <v>0</v>
      </c>
      <c r="U48" s="76">
        <v>0</v>
      </c>
      <c r="V48" s="5">
        <v>0</v>
      </c>
      <c r="W48" s="76">
        <v>0</v>
      </c>
      <c r="X48" s="5">
        <v>0</v>
      </c>
      <c r="Y48" s="76">
        <v>0</v>
      </c>
      <c r="Z48" s="81">
        <f t="shared" si="12"/>
        <v>13129</v>
      </c>
      <c r="AA48" s="24">
        <f t="shared" si="13"/>
        <v>5.3</v>
      </c>
    </row>
    <row r="49" spans="1:27" x14ac:dyDescent="0.25">
      <c r="A49" s="14" t="s">
        <v>144</v>
      </c>
      <c r="B49" s="5" cm="1">
        <f t="array" ref="B49:Y49">_xlfn.XLOOKUP(A49,'P&amp;L Trending Data'!A50:A190,'P&amp;L Trending Data'!B50:Y190)</f>
        <v>-525</v>
      </c>
      <c r="C49" s="76">
        <v>-0.2</v>
      </c>
      <c r="D49" s="5">
        <v>1320</v>
      </c>
      <c r="E49" s="76">
        <v>0.55000000000000004</v>
      </c>
      <c r="F49" s="3">
        <v>4919</v>
      </c>
      <c r="G49" s="76">
        <v>1.9</v>
      </c>
      <c r="H49" s="3">
        <v>1988</v>
      </c>
      <c r="I49" s="76">
        <v>0.88</v>
      </c>
      <c r="J49" s="3">
        <v>2175</v>
      </c>
      <c r="K49" s="76">
        <v>0.88</v>
      </c>
      <c r="L49" s="3">
        <v>1490</v>
      </c>
      <c r="M49" s="76">
        <v>0.65</v>
      </c>
      <c r="N49" s="3">
        <v>6198</v>
      </c>
      <c r="O49" s="76">
        <v>2.61</v>
      </c>
      <c r="P49" s="3">
        <v>795</v>
      </c>
      <c r="Q49" s="76">
        <v>0.34</v>
      </c>
      <c r="R49" s="3">
        <v>3020</v>
      </c>
      <c r="S49" s="76">
        <v>1.23</v>
      </c>
      <c r="T49" s="3">
        <v>2461</v>
      </c>
      <c r="U49" s="76">
        <v>1.08</v>
      </c>
      <c r="V49" s="3">
        <v>1323</v>
      </c>
      <c r="W49" s="76">
        <v>0.62</v>
      </c>
      <c r="X49" s="3">
        <v>1450</v>
      </c>
      <c r="Y49" s="76">
        <v>0.59</v>
      </c>
      <c r="Z49" s="81">
        <f t="shared" si="12"/>
        <v>26614</v>
      </c>
      <c r="AA49" s="24">
        <f t="shared" si="13"/>
        <v>11.129999999999999</v>
      </c>
    </row>
    <row r="50" spans="1:27" x14ac:dyDescent="0.25">
      <c r="A50" s="14" t="s">
        <v>145</v>
      </c>
      <c r="B50" s="3" cm="1">
        <f t="array" ref="B50:Y50">_xlfn.XLOOKUP(A50,'P&amp;L Trending Data'!A51:A191,'P&amp;L Trending Data'!B51:Y191)</f>
        <v>-800</v>
      </c>
      <c r="C50" s="76">
        <v>-0.31</v>
      </c>
      <c r="D50" s="3">
        <v>800</v>
      </c>
      <c r="E50" s="76">
        <v>0.33</v>
      </c>
      <c r="F50" s="3">
        <v>2935</v>
      </c>
      <c r="G50" s="76">
        <v>1.1299999999999999</v>
      </c>
      <c r="H50" s="3">
        <v>954</v>
      </c>
      <c r="I50" s="76">
        <v>0.42</v>
      </c>
      <c r="J50" s="3">
        <v>0</v>
      </c>
      <c r="K50" s="76">
        <v>0</v>
      </c>
      <c r="L50" s="3">
        <v>0</v>
      </c>
      <c r="M50" s="76">
        <v>0</v>
      </c>
      <c r="N50" s="3">
        <v>3513</v>
      </c>
      <c r="O50" s="76">
        <v>1.48</v>
      </c>
      <c r="P50" s="3">
        <v>0</v>
      </c>
      <c r="Q50" s="76">
        <v>0</v>
      </c>
      <c r="R50" s="3">
        <v>1218</v>
      </c>
      <c r="S50" s="76">
        <v>0.49</v>
      </c>
      <c r="T50" s="3">
        <v>2026</v>
      </c>
      <c r="U50" s="76">
        <v>0.89</v>
      </c>
      <c r="V50" s="3">
        <v>401</v>
      </c>
      <c r="W50" s="76">
        <v>0.19</v>
      </c>
      <c r="X50" s="3">
        <v>966</v>
      </c>
      <c r="Y50" s="76">
        <v>0.39</v>
      </c>
      <c r="Z50" s="81">
        <f t="shared" si="12"/>
        <v>12013</v>
      </c>
      <c r="AA50" s="24">
        <f t="shared" si="13"/>
        <v>5.01</v>
      </c>
    </row>
    <row r="51" spans="1:27" x14ac:dyDescent="0.25">
      <c r="A51" s="14" t="s">
        <v>146</v>
      </c>
      <c r="B51" s="5" cm="1">
        <f t="array" ref="B51:Y51">_xlfn.XLOOKUP(A51,'P&amp;L Trending Data'!A52:A192,'P&amp;L Trending Data'!B52:Y192)</f>
        <v>2714</v>
      </c>
      <c r="C51" s="76">
        <v>1.06</v>
      </c>
      <c r="D51" s="5">
        <v>2849</v>
      </c>
      <c r="E51" s="76">
        <v>1.19</v>
      </c>
      <c r="F51" s="5">
        <v>1337</v>
      </c>
      <c r="G51" s="76">
        <v>0.52</v>
      </c>
      <c r="H51" s="5">
        <v>185</v>
      </c>
      <c r="I51" s="76">
        <v>0.08</v>
      </c>
      <c r="J51" s="5">
        <v>1106</v>
      </c>
      <c r="K51" s="76">
        <v>0.45</v>
      </c>
      <c r="L51" s="5">
        <v>501</v>
      </c>
      <c r="M51" s="76">
        <v>0.22</v>
      </c>
      <c r="N51" s="5">
        <v>106</v>
      </c>
      <c r="O51" s="76">
        <v>0.04</v>
      </c>
      <c r="P51" s="5">
        <v>1035</v>
      </c>
      <c r="Q51" s="76">
        <v>0.44</v>
      </c>
      <c r="R51" s="5">
        <v>30</v>
      </c>
      <c r="S51" s="76">
        <v>0.01</v>
      </c>
      <c r="T51" s="5">
        <v>664</v>
      </c>
      <c r="U51" s="76">
        <v>0.28999999999999998</v>
      </c>
      <c r="V51" s="5">
        <v>126</v>
      </c>
      <c r="W51" s="76">
        <v>0.06</v>
      </c>
      <c r="X51" s="5">
        <v>194</v>
      </c>
      <c r="Y51" s="76">
        <v>0.08</v>
      </c>
      <c r="Z51" s="81">
        <f t="shared" si="12"/>
        <v>10847</v>
      </c>
      <c r="AA51" s="24">
        <f t="shared" si="13"/>
        <v>4.4400000000000004</v>
      </c>
    </row>
    <row r="52" spans="1:27" ht="14.95" thickBot="1" x14ac:dyDescent="0.3">
      <c r="A52" s="14" t="s">
        <v>147</v>
      </c>
      <c r="B52" s="5" cm="1">
        <f t="array" ref="B52:Y52">_xlfn.XLOOKUP(A52,'P&amp;L Trending Data'!A53:A193,'P&amp;L Trending Data'!B53:Y193)</f>
        <v>0</v>
      </c>
      <c r="C52" s="24">
        <v>0</v>
      </c>
      <c r="D52" s="5">
        <v>0</v>
      </c>
      <c r="E52" s="24">
        <v>0</v>
      </c>
      <c r="F52" s="5">
        <v>0</v>
      </c>
      <c r="G52" s="76">
        <v>0</v>
      </c>
      <c r="H52" s="5">
        <v>0</v>
      </c>
      <c r="I52" s="76">
        <v>0</v>
      </c>
      <c r="J52" s="5">
        <v>0</v>
      </c>
      <c r="K52" s="76">
        <v>0</v>
      </c>
      <c r="L52" s="5">
        <v>0</v>
      </c>
      <c r="M52" s="76">
        <v>0</v>
      </c>
      <c r="N52" s="5">
        <v>0</v>
      </c>
      <c r="O52" s="76">
        <v>0</v>
      </c>
      <c r="P52" s="5">
        <v>0</v>
      </c>
      <c r="Q52" s="76">
        <v>0</v>
      </c>
      <c r="R52" s="5">
        <v>0</v>
      </c>
      <c r="S52" s="76">
        <v>0</v>
      </c>
      <c r="T52" s="5">
        <v>0</v>
      </c>
      <c r="U52" s="76">
        <v>0</v>
      </c>
      <c r="V52" s="5">
        <v>0</v>
      </c>
      <c r="W52" s="76">
        <v>0</v>
      </c>
      <c r="X52" s="5">
        <v>0</v>
      </c>
      <c r="Y52" s="76">
        <v>0</v>
      </c>
      <c r="Z52" s="81">
        <f t="shared" si="12"/>
        <v>0</v>
      </c>
      <c r="AA52" s="24">
        <f t="shared" si="13"/>
        <v>0</v>
      </c>
    </row>
    <row r="53" spans="1:27" x14ac:dyDescent="0.25">
      <c r="A53" s="14" t="s">
        <v>23</v>
      </c>
      <c r="B53" s="66" cm="1">
        <f t="array" ref="B53:Y53">_xlfn.XLOOKUP(A53,'P&amp;L Trending Data'!A54:A194,'P&amp;L Trending Data'!B54:Y194)</f>
        <v>365224</v>
      </c>
      <c r="C53" s="67">
        <v>142.33000000000001</v>
      </c>
      <c r="D53" s="66">
        <v>325396</v>
      </c>
      <c r="E53" s="67">
        <v>135.53</v>
      </c>
      <c r="F53" s="66">
        <v>380608</v>
      </c>
      <c r="G53" s="8">
        <v>146.78</v>
      </c>
      <c r="H53" s="66">
        <v>322574</v>
      </c>
      <c r="I53" s="8">
        <v>143.18</v>
      </c>
      <c r="J53" s="66">
        <v>355789</v>
      </c>
      <c r="K53" s="8">
        <v>144.28</v>
      </c>
      <c r="L53" s="66">
        <v>340922</v>
      </c>
      <c r="M53" s="8">
        <v>147.59</v>
      </c>
      <c r="N53" s="66">
        <v>348318</v>
      </c>
      <c r="O53" s="8">
        <v>146.66</v>
      </c>
      <c r="P53" s="66">
        <v>307417</v>
      </c>
      <c r="Q53" s="8">
        <v>131.54</v>
      </c>
      <c r="R53" s="66">
        <v>359100</v>
      </c>
      <c r="S53" s="8">
        <v>145.86000000000001</v>
      </c>
      <c r="T53" s="66">
        <v>318835</v>
      </c>
      <c r="U53" s="8">
        <v>140.58000000000001</v>
      </c>
      <c r="V53" s="66">
        <v>315529</v>
      </c>
      <c r="W53" s="8">
        <v>147.1</v>
      </c>
      <c r="X53" s="66">
        <v>367862</v>
      </c>
      <c r="Y53" s="8">
        <v>150.09</v>
      </c>
      <c r="Z53" s="82">
        <f t="shared" si="12"/>
        <v>4107574</v>
      </c>
      <c r="AA53" s="55">
        <f t="shared" si="13"/>
        <v>1721.5199999999998</v>
      </c>
    </row>
    <row r="54" spans="1:27" x14ac:dyDescent="0.25">
      <c r="A54" s="12" t="s">
        <v>24</v>
      </c>
      <c r="B54" s="2"/>
      <c r="C54" s="46"/>
      <c r="D54" s="2"/>
      <c r="E54" s="46"/>
      <c r="F54" s="2"/>
      <c r="G54" s="46"/>
      <c r="H54" s="2"/>
      <c r="I54" s="46"/>
      <c r="J54" s="2"/>
      <c r="K54" s="46"/>
      <c r="L54" s="2"/>
      <c r="M54" s="46"/>
      <c r="N54" s="2"/>
      <c r="O54" s="46"/>
      <c r="P54" s="2"/>
      <c r="Q54" s="46"/>
      <c r="R54" s="2"/>
      <c r="S54" s="46"/>
      <c r="T54" s="2"/>
      <c r="U54" s="46"/>
      <c r="V54" s="2"/>
      <c r="W54" s="46"/>
      <c r="X54" s="2"/>
      <c r="Y54" s="46"/>
      <c r="Z54" s="84"/>
      <c r="AA54" s="23"/>
    </row>
    <row r="55" spans="1:27" x14ac:dyDescent="0.25">
      <c r="A55" s="14" t="s">
        <v>148</v>
      </c>
      <c r="B55" s="3" cm="1">
        <f t="array" ref="B55:Y55">_xlfn.XLOOKUP(A55,'P&amp;L Trending Data'!A56:A196,'P&amp;L Trending Data'!B56:Y196)</f>
        <v>28242</v>
      </c>
      <c r="C55" s="76">
        <v>11.01</v>
      </c>
      <c r="D55" s="3">
        <v>23273</v>
      </c>
      <c r="E55" s="76">
        <v>9.69</v>
      </c>
      <c r="F55" s="3">
        <v>25243</v>
      </c>
      <c r="G55" s="76">
        <v>9.74</v>
      </c>
      <c r="H55" s="3">
        <v>20942</v>
      </c>
      <c r="I55" s="76">
        <v>9.2899999999999991</v>
      </c>
      <c r="J55" s="3">
        <v>21526</v>
      </c>
      <c r="K55" s="76">
        <v>8.73</v>
      </c>
      <c r="L55" s="3">
        <v>19019</v>
      </c>
      <c r="M55" s="76">
        <v>8.23</v>
      </c>
      <c r="N55" s="3">
        <v>22612</v>
      </c>
      <c r="O55" s="76">
        <v>9.52</v>
      </c>
      <c r="P55" s="3">
        <v>22122</v>
      </c>
      <c r="Q55" s="76">
        <v>9.4700000000000006</v>
      </c>
      <c r="R55" s="3">
        <v>23626</v>
      </c>
      <c r="S55" s="76">
        <v>9.6</v>
      </c>
      <c r="T55" s="3">
        <v>22170</v>
      </c>
      <c r="U55" s="76">
        <v>9.7799999999999994</v>
      </c>
      <c r="V55" s="3">
        <v>20119</v>
      </c>
      <c r="W55" s="76">
        <v>9.3800000000000008</v>
      </c>
      <c r="X55" s="3">
        <v>24973</v>
      </c>
      <c r="Y55" s="76">
        <v>10.19</v>
      </c>
      <c r="Z55" s="87">
        <f t="shared" ref="Z55:Z64" si="14">B55+D55+F55+H55+J55+L55+N55+P55+R55+T55+V55+X55</f>
        <v>273867</v>
      </c>
      <c r="AA55" s="24">
        <f t="shared" ref="AA55:AA64" si="15">C55+E55+G55+I55+K55+M55+O55+Q55+S55+U55+W55+Y55</f>
        <v>114.62999999999998</v>
      </c>
    </row>
    <row r="56" spans="1:27" x14ac:dyDescent="0.25">
      <c r="A56" s="14" t="s">
        <v>149</v>
      </c>
      <c r="B56" s="3" cm="1">
        <f t="array" ref="B56:Y56">_xlfn.XLOOKUP(A56,'P&amp;L Trending Data'!A57:A197,'P&amp;L Trending Data'!B57:Y197)</f>
        <v>23197</v>
      </c>
      <c r="C56" s="76">
        <v>9.0399999999999991</v>
      </c>
      <c r="D56" s="3">
        <v>19030</v>
      </c>
      <c r="E56" s="76">
        <v>7.93</v>
      </c>
      <c r="F56" s="3">
        <v>23212</v>
      </c>
      <c r="G56" s="76">
        <v>8.9499999999999993</v>
      </c>
      <c r="H56" s="3">
        <v>19320</v>
      </c>
      <c r="I56" s="76">
        <v>8.58</v>
      </c>
      <c r="J56" s="3">
        <v>20289</v>
      </c>
      <c r="K56" s="76">
        <v>8.23</v>
      </c>
      <c r="L56" s="3">
        <v>17772</v>
      </c>
      <c r="M56" s="76">
        <v>7.69</v>
      </c>
      <c r="N56" s="3">
        <v>19961</v>
      </c>
      <c r="O56" s="76">
        <v>8.4</v>
      </c>
      <c r="P56" s="3">
        <v>19396</v>
      </c>
      <c r="Q56" s="76">
        <v>8.3000000000000007</v>
      </c>
      <c r="R56" s="3">
        <v>19165</v>
      </c>
      <c r="S56" s="76">
        <v>7.78</v>
      </c>
      <c r="T56" s="3">
        <v>19990</v>
      </c>
      <c r="U56" s="76">
        <v>8.81</v>
      </c>
      <c r="V56" s="3">
        <v>17380</v>
      </c>
      <c r="W56" s="76">
        <v>8.1</v>
      </c>
      <c r="X56" s="3">
        <v>21528</v>
      </c>
      <c r="Y56" s="76">
        <v>8.7799999999999994</v>
      </c>
      <c r="Z56" s="87">
        <f t="shared" si="14"/>
        <v>240240</v>
      </c>
      <c r="AA56" s="24">
        <f t="shared" si="15"/>
        <v>100.59</v>
      </c>
    </row>
    <row r="57" spans="1:27" x14ac:dyDescent="0.25">
      <c r="A57" s="14" t="s">
        <v>150</v>
      </c>
      <c r="B57" s="5" cm="1">
        <f t="array" ref="B57:Y57">_xlfn.XLOOKUP(A57,'P&amp;L Trending Data'!A58:A198,'P&amp;L Trending Data'!B58:Y198)</f>
        <v>3409</v>
      </c>
      <c r="C57" s="76">
        <v>1.33</v>
      </c>
      <c r="D57" s="5">
        <v>2320</v>
      </c>
      <c r="E57" s="76">
        <v>0.97</v>
      </c>
      <c r="F57" s="3">
        <v>3156</v>
      </c>
      <c r="G57" s="76">
        <v>1.22</v>
      </c>
      <c r="H57" s="3">
        <v>2119</v>
      </c>
      <c r="I57" s="76">
        <v>0.94</v>
      </c>
      <c r="J57" s="3">
        <v>1956</v>
      </c>
      <c r="K57" s="76">
        <v>0.79</v>
      </c>
      <c r="L57" s="3">
        <v>2444</v>
      </c>
      <c r="M57" s="76">
        <v>1.06</v>
      </c>
      <c r="N57" s="3">
        <v>4217</v>
      </c>
      <c r="O57" s="76">
        <v>1.78</v>
      </c>
      <c r="P57" s="3">
        <v>4109</v>
      </c>
      <c r="Q57" s="76">
        <v>1.76</v>
      </c>
      <c r="R57" s="3">
        <v>3235</v>
      </c>
      <c r="S57" s="76">
        <v>1.31</v>
      </c>
      <c r="T57" s="3">
        <v>3345</v>
      </c>
      <c r="U57" s="76">
        <v>1.47</v>
      </c>
      <c r="V57" s="3">
        <v>2008</v>
      </c>
      <c r="W57" s="76">
        <v>0.94</v>
      </c>
      <c r="X57" s="3">
        <v>1457</v>
      </c>
      <c r="Y57" s="76">
        <v>0.59</v>
      </c>
      <c r="Z57" s="87">
        <f t="shared" si="14"/>
        <v>33775</v>
      </c>
      <c r="AA57" s="24">
        <f t="shared" si="15"/>
        <v>14.159999999999998</v>
      </c>
    </row>
    <row r="58" spans="1:27" x14ac:dyDescent="0.25">
      <c r="A58" s="14" t="s">
        <v>151</v>
      </c>
      <c r="B58" s="5" cm="1">
        <f t="array" ref="B58:Y58">_xlfn.XLOOKUP(A58,'P&amp;L Trending Data'!A59:A199,'P&amp;L Trending Data'!B59:Y199)</f>
        <v>700</v>
      </c>
      <c r="C58" s="76">
        <v>0.27</v>
      </c>
      <c r="D58" s="5">
        <v>1512</v>
      </c>
      <c r="E58" s="76">
        <v>0.63</v>
      </c>
      <c r="F58" s="5">
        <v>1436</v>
      </c>
      <c r="G58" s="76">
        <v>0.55000000000000004</v>
      </c>
      <c r="H58" s="5">
        <v>1356</v>
      </c>
      <c r="I58" s="76">
        <v>0.6</v>
      </c>
      <c r="J58" s="5">
        <v>1356</v>
      </c>
      <c r="K58" s="76">
        <v>0.55000000000000004</v>
      </c>
      <c r="L58" s="5">
        <v>1300</v>
      </c>
      <c r="M58" s="76">
        <v>0.56000000000000005</v>
      </c>
      <c r="N58" s="5">
        <v>1265</v>
      </c>
      <c r="O58" s="76">
        <v>0.53</v>
      </c>
      <c r="P58" s="5">
        <v>1340</v>
      </c>
      <c r="Q58" s="76">
        <v>0.56999999999999995</v>
      </c>
      <c r="R58" s="5">
        <v>1292</v>
      </c>
      <c r="S58" s="76">
        <v>0.52</v>
      </c>
      <c r="T58" s="5">
        <v>1384</v>
      </c>
      <c r="U58" s="76">
        <v>0.61</v>
      </c>
      <c r="V58" s="5">
        <v>700</v>
      </c>
      <c r="W58" s="76">
        <v>0.33</v>
      </c>
      <c r="X58" s="5">
        <v>700</v>
      </c>
      <c r="Y58" s="76">
        <v>0.28999999999999998</v>
      </c>
      <c r="Z58" s="87">
        <f t="shared" si="14"/>
        <v>14341</v>
      </c>
      <c r="AA58" s="24">
        <f t="shared" si="15"/>
        <v>6.0100000000000016</v>
      </c>
    </row>
    <row r="59" spans="1:27" x14ac:dyDescent="0.25">
      <c r="A59" s="14" t="s">
        <v>152</v>
      </c>
      <c r="B59" s="3" cm="1">
        <f t="array" ref="B59:Y59">_xlfn.XLOOKUP(A59,'P&amp;L Trending Data'!A60:A200,'P&amp;L Trending Data'!B60:Y200)</f>
        <v>8000</v>
      </c>
      <c r="C59" s="76">
        <v>3.12</v>
      </c>
      <c r="D59" s="3">
        <v>8176</v>
      </c>
      <c r="E59" s="76">
        <v>3.41</v>
      </c>
      <c r="F59" s="3">
        <v>13497</v>
      </c>
      <c r="G59" s="76">
        <v>5.21</v>
      </c>
      <c r="H59" s="3">
        <v>7056</v>
      </c>
      <c r="I59" s="76">
        <v>3.13</v>
      </c>
      <c r="J59" s="3">
        <v>12407</v>
      </c>
      <c r="K59" s="76">
        <v>5.03</v>
      </c>
      <c r="L59" s="3">
        <v>4554</v>
      </c>
      <c r="M59" s="76">
        <v>1.97</v>
      </c>
      <c r="N59" s="3">
        <v>5755</v>
      </c>
      <c r="O59" s="76">
        <v>2.42</v>
      </c>
      <c r="P59" s="3">
        <v>5131</v>
      </c>
      <c r="Q59" s="76">
        <v>2.2000000000000002</v>
      </c>
      <c r="R59" s="3">
        <v>3564</v>
      </c>
      <c r="S59" s="76">
        <v>1.45</v>
      </c>
      <c r="T59" s="3">
        <v>2884</v>
      </c>
      <c r="U59" s="76">
        <v>1.27</v>
      </c>
      <c r="V59" s="3">
        <v>0</v>
      </c>
      <c r="W59" s="76">
        <v>0</v>
      </c>
      <c r="X59" s="3">
        <v>0</v>
      </c>
      <c r="Y59" s="76">
        <v>0</v>
      </c>
      <c r="Z59" s="87">
        <f t="shared" si="14"/>
        <v>71024</v>
      </c>
      <c r="AA59" s="24">
        <f t="shared" si="15"/>
        <v>29.209999999999997</v>
      </c>
    </row>
    <row r="60" spans="1:27" x14ac:dyDescent="0.25">
      <c r="A60" s="14" t="s">
        <v>153</v>
      </c>
      <c r="B60" s="3" cm="1">
        <f t="array" ref="B60:Y60">_xlfn.XLOOKUP(A60,'P&amp;L Trending Data'!A61:A201,'P&amp;L Trending Data'!B61:Y201)</f>
        <v>4000</v>
      </c>
      <c r="C60" s="76">
        <v>1.56</v>
      </c>
      <c r="D60" s="3">
        <v>6518</v>
      </c>
      <c r="E60" s="76">
        <v>2.71</v>
      </c>
      <c r="F60" s="3">
        <v>1000</v>
      </c>
      <c r="G60" s="76">
        <v>0.39</v>
      </c>
      <c r="H60" s="3">
        <v>2745</v>
      </c>
      <c r="I60" s="76">
        <v>1.22</v>
      </c>
      <c r="J60" s="3">
        <v>0</v>
      </c>
      <c r="K60" s="76">
        <v>0</v>
      </c>
      <c r="L60" s="3">
        <v>0</v>
      </c>
      <c r="M60" s="76">
        <v>0</v>
      </c>
      <c r="N60" s="3">
        <v>6057</v>
      </c>
      <c r="O60" s="76">
        <v>2.5499999999999998</v>
      </c>
      <c r="P60" s="3">
        <v>6843</v>
      </c>
      <c r="Q60" s="76">
        <v>2.93</v>
      </c>
      <c r="R60" s="3">
        <v>5215</v>
      </c>
      <c r="S60" s="76">
        <v>2.12</v>
      </c>
      <c r="T60" s="3">
        <v>6566</v>
      </c>
      <c r="U60" s="76">
        <v>2.9</v>
      </c>
      <c r="V60" s="3">
        <v>0</v>
      </c>
      <c r="W60" s="76">
        <v>0</v>
      </c>
      <c r="X60" s="3">
        <v>0</v>
      </c>
      <c r="Y60" s="76">
        <v>0</v>
      </c>
      <c r="Z60" s="87">
        <f t="shared" si="14"/>
        <v>38944</v>
      </c>
      <c r="AA60" s="24">
        <f t="shared" si="15"/>
        <v>16.38</v>
      </c>
    </row>
    <row r="61" spans="1:27" x14ac:dyDescent="0.25">
      <c r="A61" s="14" t="s">
        <v>154</v>
      </c>
      <c r="B61" s="3" cm="1">
        <f t="array" ref="B61:Y61">_xlfn.XLOOKUP(A61,'P&amp;L Trending Data'!A62:A202,'P&amp;L Trending Data'!B62:Y202)</f>
        <v>0</v>
      </c>
      <c r="C61" s="76">
        <v>0</v>
      </c>
      <c r="D61" s="3">
        <v>0</v>
      </c>
      <c r="E61" s="76">
        <v>0</v>
      </c>
      <c r="F61" s="3">
        <v>0</v>
      </c>
      <c r="G61" s="76">
        <v>0</v>
      </c>
      <c r="H61" s="3">
        <v>0</v>
      </c>
      <c r="I61" s="76">
        <v>0</v>
      </c>
      <c r="J61" s="3">
        <v>0</v>
      </c>
      <c r="K61" s="76">
        <v>0</v>
      </c>
      <c r="L61" s="3">
        <v>0</v>
      </c>
      <c r="M61" s="76">
        <v>0</v>
      </c>
      <c r="N61" s="3">
        <v>0</v>
      </c>
      <c r="O61" s="76">
        <v>0</v>
      </c>
      <c r="P61" s="3">
        <v>0</v>
      </c>
      <c r="Q61" s="76">
        <v>0</v>
      </c>
      <c r="R61" s="3">
        <v>0</v>
      </c>
      <c r="S61" s="76">
        <v>0</v>
      </c>
      <c r="T61" s="3">
        <v>0</v>
      </c>
      <c r="U61" s="76">
        <v>0</v>
      </c>
      <c r="V61" s="3">
        <v>0</v>
      </c>
      <c r="W61" s="76">
        <v>0</v>
      </c>
      <c r="X61" s="3">
        <v>0</v>
      </c>
      <c r="Y61" s="76">
        <v>0</v>
      </c>
      <c r="Z61" s="87">
        <f t="shared" si="14"/>
        <v>0</v>
      </c>
      <c r="AA61" s="24">
        <f t="shared" si="15"/>
        <v>0</v>
      </c>
    </row>
    <row r="62" spans="1:27" x14ac:dyDescent="0.25">
      <c r="A62" s="14" t="s">
        <v>155</v>
      </c>
      <c r="B62" s="5" cm="1">
        <f t="array" ref="B62:Y62">_xlfn.XLOOKUP(A62,'P&amp;L Trending Data'!A63:A203,'P&amp;L Trending Data'!B63:Y203)</f>
        <v>586</v>
      </c>
      <c r="C62" s="76">
        <v>0.23</v>
      </c>
      <c r="D62" s="5">
        <v>58</v>
      </c>
      <c r="E62" s="76">
        <v>0.02</v>
      </c>
      <c r="F62" s="5">
        <v>431</v>
      </c>
      <c r="G62" s="76">
        <v>0.17</v>
      </c>
      <c r="H62" s="5">
        <v>654</v>
      </c>
      <c r="I62" s="76">
        <v>0.28999999999999998</v>
      </c>
      <c r="J62" s="5">
        <v>543</v>
      </c>
      <c r="K62" s="76">
        <v>0.22</v>
      </c>
      <c r="L62" s="5">
        <v>762</v>
      </c>
      <c r="M62" s="76">
        <v>0.33</v>
      </c>
      <c r="N62" s="5">
        <v>216</v>
      </c>
      <c r="O62" s="76">
        <v>0.09</v>
      </c>
      <c r="P62" s="5">
        <v>433</v>
      </c>
      <c r="Q62" s="76">
        <v>0.19</v>
      </c>
      <c r="R62" s="5">
        <v>760</v>
      </c>
      <c r="S62" s="76">
        <v>0.31</v>
      </c>
      <c r="T62" s="5">
        <v>378</v>
      </c>
      <c r="U62" s="76">
        <v>0.17</v>
      </c>
      <c r="V62" s="5">
        <v>245</v>
      </c>
      <c r="W62" s="76">
        <v>0.11</v>
      </c>
      <c r="X62" s="5">
        <v>880</v>
      </c>
      <c r="Y62" s="76">
        <v>0.36</v>
      </c>
      <c r="Z62" s="87">
        <f t="shared" si="14"/>
        <v>5946</v>
      </c>
      <c r="AA62" s="24">
        <f t="shared" si="15"/>
        <v>2.4899999999999998</v>
      </c>
    </row>
    <row r="63" spans="1:27" ht="14.95" thickBot="1" x14ac:dyDescent="0.3">
      <c r="A63" s="14" t="s">
        <v>156</v>
      </c>
      <c r="B63" s="69" cm="1">
        <f t="array" ref="B63:Y63">_xlfn.XLOOKUP(A63,'P&amp;L Trending Data'!A64:A204,'P&amp;L Trending Data'!B64:Y204)</f>
        <v>774</v>
      </c>
      <c r="C63" s="77">
        <v>0.3</v>
      </c>
      <c r="D63" s="69">
        <v>4102</v>
      </c>
      <c r="E63" s="77">
        <v>1.71</v>
      </c>
      <c r="F63" s="3">
        <v>2142</v>
      </c>
      <c r="G63" s="76">
        <v>0.83</v>
      </c>
      <c r="H63" s="3">
        <v>685</v>
      </c>
      <c r="I63" s="76">
        <v>0.3</v>
      </c>
      <c r="J63" s="3">
        <v>1258</v>
      </c>
      <c r="K63" s="76">
        <v>0.51</v>
      </c>
      <c r="L63" s="3">
        <v>2600</v>
      </c>
      <c r="M63" s="76">
        <v>1.1299999999999999</v>
      </c>
      <c r="N63" s="3">
        <v>47</v>
      </c>
      <c r="O63" s="76">
        <v>0.02</v>
      </c>
      <c r="P63" s="3">
        <v>1753</v>
      </c>
      <c r="Q63" s="76">
        <v>0.75</v>
      </c>
      <c r="R63" s="3">
        <v>1624</v>
      </c>
      <c r="S63" s="76">
        <v>0.66</v>
      </c>
      <c r="T63" s="3">
        <v>1454</v>
      </c>
      <c r="U63" s="76">
        <v>0.64</v>
      </c>
      <c r="V63" s="3">
        <v>605</v>
      </c>
      <c r="W63" s="76">
        <v>0.28000000000000003</v>
      </c>
      <c r="X63" s="3">
        <v>40</v>
      </c>
      <c r="Y63" s="76">
        <v>0.02</v>
      </c>
      <c r="Z63" s="88">
        <f t="shared" si="14"/>
        <v>17084</v>
      </c>
      <c r="AA63" s="58">
        <f t="shared" si="15"/>
        <v>7.1499999999999986</v>
      </c>
    </row>
    <row r="64" spans="1:27" x14ac:dyDescent="0.25">
      <c r="A64" s="14" t="s">
        <v>25</v>
      </c>
      <c r="B64" s="66" cm="1">
        <f t="array" ref="B64:Y64">_xlfn.XLOOKUP(A64,'P&amp;L Trending Data'!A65:A205,'P&amp;L Trending Data'!B65:Y205)</f>
        <v>68908</v>
      </c>
      <c r="C64" s="67">
        <v>26.85</v>
      </c>
      <c r="D64" s="66">
        <v>64989</v>
      </c>
      <c r="E64" s="67">
        <v>27.07</v>
      </c>
      <c r="F64" s="66">
        <v>70117</v>
      </c>
      <c r="G64" s="8">
        <v>27.04</v>
      </c>
      <c r="H64" s="66">
        <v>54877</v>
      </c>
      <c r="I64" s="8">
        <v>24.36</v>
      </c>
      <c r="J64" s="66">
        <v>59335</v>
      </c>
      <c r="K64" s="8">
        <v>24.06</v>
      </c>
      <c r="L64" s="66">
        <v>48450</v>
      </c>
      <c r="M64" s="8">
        <v>20.97</v>
      </c>
      <c r="N64" s="66">
        <v>60131</v>
      </c>
      <c r="O64" s="8">
        <v>25.32</v>
      </c>
      <c r="P64" s="66">
        <v>61126</v>
      </c>
      <c r="Q64" s="8">
        <v>26.16</v>
      </c>
      <c r="R64" s="66">
        <v>58481</v>
      </c>
      <c r="S64" s="8">
        <v>23.75</v>
      </c>
      <c r="T64" s="66">
        <v>58173</v>
      </c>
      <c r="U64" s="8">
        <v>25.65</v>
      </c>
      <c r="V64" s="66">
        <v>41056</v>
      </c>
      <c r="W64" s="8">
        <v>19.14</v>
      </c>
      <c r="X64" s="66">
        <v>49577</v>
      </c>
      <c r="Y64" s="8">
        <v>20.23</v>
      </c>
      <c r="Z64" s="82">
        <f t="shared" si="14"/>
        <v>695220</v>
      </c>
      <c r="AA64" s="55">
        <f t="shared" si="15"/>
        <v>290.60000000000002</v>
      </c>
    </row>
    <row r="65" spans="1:27" x14ac:dyDescent="0.25">
      <c r="A65" s="12" t="s">
        <v>26</v>
      </c>
      <c r="B65" s="2"/>
      <c r="C65" s="46"/>
      <c r="D65" s="2"/>
      <c r="E65" s="46"/>
      <c r="F65" s="2"/>
      <c r="G65" s="46"/>
      <c r="H65" s="2"/>
      <c r="I65" s="46"/>
      <c r="J65" s="2"/>
      <c r="K65" s="46"/>
      <c r="L65" s="2"/>
      <c r="M65" s="46"/>
      <c r="N65" s="2"/>
      <c r="O65" s="46"/>
      <c r="P65" s="2"/>
      <c r="Q65" s="46"/>
      <c r="R65" s="2"/>
      <c r="S65" s="46"/>
      <c r="T65" s="2"/>
      <c r="U65" s="46"/>
      <c r="V65" s="2"/>
      <c r="W65" s="46"/>
      <c r="X65" s="2"/>
      <c r="Y65" s="46"/>
      <c r="Z65" s="84"/>
      <c r="AA65" s="23"/>
    </row>
    <row r="66" spans="1:27" x14ac:dyDescent="0.25">
      <c r="A66" s="14" t="s">
        <v>157</v>
      </c>
      <c r="B66" s="3" cm="1">
        <f t="array" ref="B66:Y66">_xlfn.XLOOKUP(A66,'P&amp;L Trending Data'!A67:A207,'P&amp;L Trending Data'!B67:Y207)</f>
        <v>5958</v>
      </c>
      <c r="C66" s="76">
        <v>2.3199999999999998</v>
      </c>
      <c r="D66" s="3">
        <v>5176</v>
      </c>
      <c r="E66" s="76">
        <v>2.16</v>
      </c>
      <c r="F66" s="3">
        <v>5881</v>
      </c>
      <c r="G66" s="76">
        <v>2.27</v>
      </c>
      <c r="H66" s="3">
        <v>5760</v>
      </c>
      <c r="I66" s="76">
        <v>2.56</v>
      </c>
      <c r="J66" s="3">
        <v>5854</v>
      </c>
      <c r="K66" s="76">
        <v>2.37</v>
      </c>
      <c r="L66" s="3">
        <v>5563</v>
      </c>
      <c r="M66" s="76">
        <v>2.41</v>
      </c>
      <c r="N66" s="3">
        <v>5970</v>
      </c>
      <c r="O66" s="76">
        <v>2.5099999999999998</v>
      </c>
      <c r="P66" s="3">
        <v>5762</v>
      </c>
      <c r="Q66" s="76">
        <v>2.4700000000000002</v>
      </c>
      <c r="R66" s="3">
        <v>6067</v>
      </c>
      <c r="S66" s="76">
        <v>2.46</v>
      </c>
      <c r="T66" s="3">
        <v>6109</v>
      </c>
      <c r="U66" s="76">
        <v>2.69</v>
      </c>
      <c r="V66" s="3">
        <v>5845</v>
      </c>
      <c r="W66" s="76">
        <v>2.73</v>
      </c>
      <c r="X66" s="3">
        <v>5870</v>
      </c>
      <c r="Y66" s="76">
        <v>2.39</v>
      </c>
      <c r="Z66" s="87">
        <f t="shared" ref="Z66:Z70" si="16">B66+D66+F66+H66+J66+L66+N66+P66+R66+T66+V66+X66</f>
        <v>69815</v>
      </c>
      <c r="AA66" s="24">
        <f t="shared" ref="AA66:AA70" si="17">C66+E66+G66+I66+K66+M66+O66+Q66+S66+U66+W66+Y66</f>
        <v>29.340000000000003</v>
      </c>
    </row>
    <row r="67" spans="1:27" x14ac:dyDescent="0.25">
      <c r="A67" s="14" t="s">
        <v>158</v>
      </c>
      <c r="B67" s="3" cm="1">
        <f t="array" ref="B67:Y67">_xlfn.XLOOKUP(A67,'P&amp;L Trending Data'!A68:A208,'P&amp;L Trending Data'!B68:Y208)</f>
        <v>0</v>
      </c>
      <c r="C67" s="76">
        <v>0</v>
      </c>
      <c r="D67" s="3">
        <v>0</v>
      </c>
      <c r="E67" s="76">
        <v>0</v>
      </c>
      <c r="F67" s="3">
        <v>5007</v>
      </c>
      <c r="G67" s="76">
        <v>1.93</v>
      </c>
      <c r="H67" s="3">
        <v>0</v>
      </c>
      <c r="I67" s="76">
        <v>0</v>
      </c>
      <c r="J67" s="3">
        <v>0</v>
      </c>
      <c r="K67" s="76">
        <v>0</v>
      </c>
      <c r="L67" s="3">
        <v>865</v>
      </c>
      <c r="M67" s="76">
        <v>0.37</v>
      </c>
      <c r="N67" s="3">
        <v>0</v>
      </c>
      <c r="O67" s="76">
        <v>0</v>
      </c>
      <c r="P67" s="3">
        <v>10570</v>
      </c>
      <c r="Q67" s="76">
        <v>4.5199999999999996</v>
      </c>
      <c r="R67" s="3">
        <v>4636</v>
      </c>
      <c r="S67" s="76">
        <v>1.88</v>
      </c>
      <c r="T67" s="3">
        <v>5935</v>
      </c>
      <c r="U67" s="76">
        <v>2.62</v>
      </c>
      <c r="V67" s="3">
        <v>5935</v>
      </c>
      <c r="W67" s="76">
        <v>2.77</v>
      </c>
      <c r="X67" s="3">
        <v>6078</v>
      </c>
      <c r="Y67" s="76">
        <v>2.48</v>
      </c>
      <c r="Z67" s="87">
        <f t="shared" si="16"/>
        <v>39026</v>
      </c>
      <c r="AA67" s="24">
        <f t="shared" si="17"/>
        <v>16.57</v>
      </c>
    </row>
    <row r="68" spans="1:27" x14ac:dyDescent="0.25">
      <c r="A68" s="14" t="s">
        <v>159</v>
      </c>
      <c r="B68" s="5" cm="1">
        <f t="array" ref="B68:Y68">_xlfn.XLOOKUP(A68,'P&amp;L Trending Data'!A69:A209,'P&amp;L Trending Data'!B69:Y209)</f>
        <v>0</v>
      </c>
      <c r="C68" s="76">
        <v>0</v>
      </c>
      <c r="D68" s="5">
        <v>0</v>
      </c>
      <c r="E68" s="76">
        <v>0</v>
      </c>
      <c r="F68" s="5">
        <v>0</v>
      </c>
      <c r="G68" s="76">
        <v>0</v>
      </c>
      <c r="H68" s="5">
        <v>0</v>
      </c>
      <c r="I68" s="76">
        <v>0</v>
      </c>
      <c r="J68" s="5">
        <v>0</v>
      </c>
      <c r="K68" s="76">
        <v>0</v>
      </c>
      <c r="L68" s="5">
        <v>0</v>
      </c>
      <c r="M68" s="76">
        <v>0</v>
      </c>
      <c r="N68" s="5">
        <v>0</v>
      </c>
      <c r="O68" s="76">
        <v>0</v>
      </c>
      <c r="P68" s="5">
        <v>0</v>
      </c>
      <c r="Q68" s="76">
        <v>0</v>
      </c>
      <c r="R68" s="5">
        <v>0</v>
      </c>
      <c r="S68" s="76">
        <v>0</v>
      </c>
      <c r="T68" s="5">
        <v>0</v>
      </c>
      <c r="U68" s="76">
        <v>0</v>
      </c>
      <c r="V68" s="5">
        <v>0</v>
      </c>
      <c r="W68" s="76">
        <v>0</v>
      </c>
      <c r="X68" s="5">
        <v>0</v>
      </c>
      <c r="Y68" s="76">
        <v>0</v>
      </c>
      <c r="Z68" s="87">
        <f t="shared" si="16"/>
        <v>0</v>
      </c>
      <c r="AA68" s="24">
        <f t="shared" si="17"/>
        <v>0</v>
      </c>
    </row>
    <row r="69" spans="1:27" ht="14.95" thickBot="1" x14ac:dyDescent="0.3">
      <c r="A69" s="14" t="s">
        <v>160</v>
      </c>
      <c r="B69" s="3" cm="1">
        <f t="array" ref="B69:Y69">_xlfn.XLOOKUP(A69,'P&amp;L Trending Data'!A70:A210,'P&amp;L Trending Data'!B70:Y210)</f>
        <v>735</v>
      </c>
      <c r="C69" s="76">
        <v>0.28999999999999998</v>
      </c>
      <c r="D69" s="3">
        <v>490</v>
      </c>
      <c r="E69" s="76">
        <v>0.2</v>
      </c>
      <c r="F69" s="5">
        <v>245</v>
      </c>
      <c r="G69" s="76">
        <v>0.09</v>
      </c>
      <c r="H69" s="5">
        <v>140</v>
      </c>
      <c r="I69" s="76">
        <v>0.06</v>
      </c>
      <c r="J69" s="5">
        <v>0</v>
      </c>
      <c r="K69" s="76">
        <v>0</v>
      </c>
      <c r="L69" s="5">
        <v>490</v>
      </c>
      <c r="M69" s="76">
        <v>0.21</v>
      </c>
      <c r="N69" s="5">
        <v>770</v>
      </c>
      <c r="O69" s="76">
        <v>0.32</v>
      </c>
      <c r="P69" s="5">
        <v>0</v>
      </c>
      <c r="Q69" s="76">
        <v>0</v>
      </c>
      <c r="R69" s="5">
        <v>770</v>
      </c>
      <c r="S69" s="76">
        <v>0.31</v>
      </c>
      <c r="T69" s="5">
        <v>840</v>
      </c>
      <c r="U69" s="76">
        <v>0.37</v>
      </c>
      <c r="V69" s="5">
        <v>0</v>
      </c>
      <c r="W69" s="76">
        <v>0</v>
      </c>
      <c r="X69" s="5">
        <v>1085</v>
      </c>
      <c r="Y69" s="76">
        <v>0.44</v>
      </c>
      <c r="Z69" s="88">
        <f t="shared" si="16"/>
        <v>5565</v>
      </c>
      <c r="AA69" s="58">
        <f t="shared" si="17"/>
        <v>2.29</v>
      </c>
    </row>
    <row r="70" spans="1:27" x14ac:dyDescent="0.25">
      <c r="A70" s="14" t="s">
        <v>27</v>
      </c>
      <c r="B70" s="66" cm="1">
        <f t="array" ref="B70:Y70">_xlfn.XLOOKUP(A70,'P&amp;L Trending Data'!A71:A211,'P&amp;L Trending Data'!B71:Y211)</f>
        <v>6693</v>
      </c>
      <c r="C70" s="67">
        <v>2.61</v>
      </c>
      <c r="D70" s="66">
        <v>5666</v>
      </c>
      <c r="E70" s="67">
        <v>2.36</v>
      </c>
      <c r="F70" s="66">
        <v>11133</v>
      </c>
      <c r="G70" s="8">
        <v>4.29</v>
      </c>
      <c r="H70" s="66">
        <v>5900</v>
      </c>
      <c r="I70" s="8">
        <v>2.62</v>
      </c>
      <c r="J70" s="66">
        <v>5854</v>
      </c>
      <c r="K70" s="8">
        <v>2.37</v>
      </c>
      <c r="L70" s="66">
        <v>6918</v>
      </c>
      <c r="M70" s="8">
        <v>2.99</v>
      </c>
      <c r="N70" s="66">
        <v>6740</v>
      </c>
      <c r="O70" s="8">
        <v>2.84</v>
      </c>
      <c r="P70" s="66">
        <v>16332</v>
      </c>
      <c r="Q70" s="8">
        <v>6.99</v>
      </c>
      <c r="R70" s="66">
        <v>11472</v>
      </c>
      <c r="S70" s="8">
        <v>4.66</v>
      </c>
      <c r="T70" s="66">
        <v>12884</v>
      </c>
      <c r="U70" s="8">
        <v>5.68</v>
      </c>
      <c r="V70" s="66">
        <v>11780</v>
      </c>
      <c r="W70" s="8">
        <v>5.49</v>
      </c>
      <c r="X70" s="66">
        <v>13033</v>
      </c>
      <c r="Y70" s="8">
        <v>5.32</v>
      </c>
      <c r="Z70" s="82">
        <f t="shared" si="16"/>
        <v>114405</v>
      </c>
      <c r="AA70" s="55">
        <f t="shared" si="17"/>
        <v>48.22</v>
      </c>
    </row>
    <row r="71" spans="1:27" x14ac:dyDescent="0.25">
      <c r="A71" s="12" t="s">
        <v>28</v>
      </c>
      <c r="B71" s="2"/>
      <c r="C71" s="46"/>
      <c r="D71" s="2"/>
      <c r="E71" s="46"/>
      <c r="F71" s="2"/>
      <c r="G71" s="46"/>
      <c r="H71" s="2"/>
      <c r="I71" s="46"/>
      <c r="J71" s="2"/>
      <c r="K71" s="46"/>
      <c r="L71" s="2"/>
      <c r="M71" s="46"/>
      <c r="N71" s="2"/>
      <c r="O71" s="46"/>
      <c r="P71" s="2"/>
      <c r="Q71" s="46"/>
      <c r="R71" s="2"/>
      <c r="S71" s="46"/>
      <c r="T71" s="2"/>
      <c r="U71" s="46"/>
      <c r="V71" s="2"/>
      <c r="W71" s="46"/>
      <c r="X71" s="2"/>
      <c r="Y71" s="46"/>
      <c r="Z71" s="84"/>
      <c r="AA71" s="23"/>
    </row>
    <row r="72" spans="1:27" x14ac:dyDescent="0.25">
      <c r="A72" s="14" t="s">
        <v>161</v>
      </c>
      <c r="B72" s="3" cm="1">
        <f t="array" ref="B72:Y72">_xlfn.XLOOKUP(A72,'P&amp;L Trending Data'!A73:A213,'P&amp;L Trending Data'!B73:Y213)</f>
        <v>11503</v>
      </c>
      <c r="C72" s="76">
        <v>4.4800000000000004</v>
      </c>
      <c r="D72" s="3">
        <v>10884</v>
      </c>
      <c r="E72" s="76">
        <v>4.53</v>
      </c>
      <c r="F72" s="3">
        <v>11803</v>
      </c>
      <c r="G72" s="76">
        <v>4.55</v>
      </c>
      <c r="H72" s="3">
        <v>12040</v>
      </c>
      <c r="I72" s="76">
        <v>5.34</v>
      </c>
      <c r="J72" s="3">
        <v>12039</v>
      </c>
      <c r="K72" s="76">
        <v>4.88</v>
      </c>
      <c r="L72" s="3">
        <v>11998</v>
      </c>
      <c r="M72" s="76">
        <v>5.19</v>
      </c>
      <c r="N72" s="3">
        <v>12085</v>
      </c>
      <c r="O72" s="76">
        <v>5.09</v>
      </c>
      <c r="P72" s="3">
        <v>12009</v>
      </c>
      <c r="Q72" s="76">
        <v>5.14</v>
      </c>
      <c r="R72" s="3">
        <v>11764</v>
      </c>
      <c r="S72" s="76">
        <v>4.78</v>
      </c>
      <c r="T72" s="3">
        <v>11970</v>
      </c>
      <c r="U72" s="76">
        <v>5.28</v>
      </c>
      <c r="V72" s="3">
        <v>11860</v>
      </c>
      <c r="W72" s="76">
        <v>5.53</v>
      </c>
      <c r="X72" s="3">
        <v>12702</v>
      </c>
      <c r="Y72" s="76">
        <v>5.18</v>
      </c>
      <c r="Z72" s="87">
        <f t="shared" ref="Z72:Z74" si="18">B72+D72+F72+H72+J72+L72+N72+P72+R72+T72+V72+X72</f>
        <v>142657</v>
      </c>
      <c r="AA72" s="24">
        <f t="shared" ref="AA72:AA74" si="19">C72+E72+G72+I72+K72+M72+O72+Q72+S72+U72+W72+Y72</f>
        <v>59.970000000000006</v>
      </c>
    </row>
    <row r="73" spans="1:27" ht="14.95" thickBot="1" x14ac:dyDescent="0.3">
      <c r="A73" s="14" t="s">
        <v>162</v>
      </c>
      <c r="B73" s="3" cm="1">
        <f t="array" ref="B73:Y73">_xlfn.XLOOKUP(A73,'P&amp;L Trending Data'!A74:A214,'P&amp;L Trending Data'!B74:Y214)</f>
        <v>1008</v>
      </c>
      <c r="C73" s="76">
        <v>0.39</v>
      </c>
      <c r="D73" s="3">
        <v>1436</v>
      </c>
      <c r="E73" s="76">
        <v>0.6</v>
      </c>
      <c r="F73" s="5">
        <v>2736</v>
      </c>
      <c r="G73" s="76">
        <v>1.06</v>
      </c>
      <c r="H73" s="5">
        <v>946</v>
      </c>
      <c r="I73" s="76">
        <v>0.42</v>
      </c>
      <c r="J73" s="5">
        <v>1770</v>
      </c>
      <c r="K73" s="76">
        <v>0.72</v>
      </c>
      <c r="L73" s="5">
        <v>2096</v>
      </c>
      <c r="M73" s="76">
        <v>0.91</v>
      </c>
      <c r="N73" s="5">
        <v>936</v>
      </c>
      <c r="O73" s="76">
        <v>0.39</v>
      </c>
      <c r="P73" s="5">
        <v>1814</v>
      </c>
      <c r="Q73" s="76">
        <v>0.78</v>
      </c>
      <c r="R73" s="5">
        <v>1211</v>
      </c>
      <c r="S73" s="76">
        <v>0.49</v>
      </c>
      <c r="T73" s="5">
        <v>1291</v>
      </c>
      <c r="U73" s="76">
        <v>0.56999999999999995</v>
      </c>
      <c r="V73" s="5">
        <v>1284</v>
      </c>
      <c r="W73" s="76">
        <v>0.6</v>
      </c>
      <c r="X73" s="5">
        <v>2760</v>
      </c>
      <c r="Y73" s="76">
        <v>1.1299999999999999</v>
      </c>
      <c r="Z73" s="87">
        <f t="shared" si="18"/>
        <v>19288</v>
      </c>
      <c r="AA73" s="24">
        <f t="shared" si="19"/>
        <v>8.0599999999999987</v>
      </c>
    </row>
    <row r="74" spans="1:27" x14ac:dyDescent="0.25">
      <c r="A74" s="14" t="s">
        <v>29</v>
      </c>
      <c r="B74" s="66" cm="1">
        <f t="array" ref="B74:Y74">_xlfn.XLOOKUP(A74,'P&amp;L Trending Data'!A75:A215,'P&amp;L Trending Data'!B75:Y215)</f>
        <v>12511</v>
      </c>
      <c r="C74" s="67">
        <v>4.88</v>
      </c>
      <c r="D74" s="66">
        <v>12320</v>
      </c>
      <c r="E74" s="67">
        <v>5.13</v>
      </c>
      <c r="F74" s="66">
        <v>14540</v>
      </c>
      <c r="G74" s="8">
        <v>5.61</v>
      </c>
      <c r="H74" s="66">
        <v>12986</v>
      </c>
      <c r="I74" s="8">
        <v>5.76</v>
      </c>
      <c r="J74" s="66">
        <v>13810</v>
      </c>
      <c r="K74" s="8">
        <v>5.6</v>
      </c>
      <c r="L74" s="66">
        <v>14094</v>
      </c>
      <c r="M74" s="8">
        <v>6.1</v>
      </c>
      <c r="N74" s="66">
        <v>13021</v>
      </c>
      <c r="O74" s="8">
        <v>5.48</v>
      </c>
      <c r="P74" s="66">
        <v>13823</v>
      </c>
      <c r="Q74" s="8">
        <v>5.91</v>
      </c>
      <c r="R74" s="66">
        <v>12975</v>
      </c>
      <c r="S74" s="8">
        <v>5.27</v>
      </c>
      <c r="T74" s="66">
        <v>13261</v>
      </c>
      <c r="U74" s="8">
        <v>5.85</v>
      </c>
      <c r="V74" s="66">
        <v>13144</v>
      </c>
      <c r="W74" s="8">
        <v>6.13</v>
      </c>
      <c r="X74" s="66">
        <v>15462</v>
      </c>
      <c r="Y74" s="8">
        <v>6.31</v>
      </c>
      <c r="Z74" s="82">
        <f t="shared" si="18"/>
        <v>161947</v>
      </c>
      <c r="AA74" s="55">
        <f t="shared" si="19"/>
        <v>68.03</v>
      </c>
    </row>
    <row r="75" spans="1:27" x14ac:dyDescent="0.25">
      <c r="A75" s="12" t="s">
        <v>30</v>
      </c>
      <c r="B75" s="2"/>
      <c r="C75" s="46"/>
      <c r="D75" s="2"/>
      <c r="E75" s="46"/>
      <c r="F75" s="2"/>
      <c r="G75" s="46"/>
      <c r="H75" s="2"/>
      <c r="I75" s="46"/>
      <c r="J75" s="2"/>
      <c r="K75" s="46"/>
      <c r="L75" s="2"/>
      <c r="M75" s="46"/>
      <c r="N75" s="2"/>
      <c r="O75" s="46"/>
      <c r="P75" s="2"/>
      <c r="Q75" s="46"/>
      <c r="R75" s="2"/>
      <c r="S75" s="46"/>
      <c r="T75" s="2"/>
      <c r="U75" s="46"/>
      <c r="V75" s="2"/>
      <c r="W75" s="46"/>
      <c r="X75" s="2"/>
      <c r="Y75" s="46"/>
      <c r="Z75" s="84"/>
      <c r="AA75" s="23"/>
    </row>
    <row r="76" spans="1:27" x14ac:dyDescent="0.25">
      <c r="A76" s="14" t="s">
        <v>163</v>
      </c>
      <c r="B76" s="3" cm="1">
        <f t="array" ref="B76:Y76">_xlfn.XLOOKUP(A76,'P&amp;L Trending Data'!A77:A217,'P&amp;L Trending Data'!B77:Y217)</f>
        <v>10125</v>
      </c>
      <c r="C76" s="76">
        <v>3.95</v>
      </c>
      <c r="D76" s="3">
        <v>7116</v>
      </c>
      <c r="E76" s="76">
        <v>2.96</v>
      </c>
      <c r="F76" s="3">
        <v>7596</v>
      </c>
      <c r="G76" s="76">
        <v>2.93</v>
      </c>
      <c r="H76" s="3">
        <v>7423</v>
      </c>
      <c r="I76" s="76">
        <v>3.29</v>
      </c>
      <c r="J76" s="3">
        <v>10263</v>
      </c>
      <c r="K76" s="76">
        <v>4.16</v>
      </c>
      <c r="L76" s="3">
        <v>11343</v>
      </c>
      <c r="M76" s="76">
        <v>4.91</v>
      </c>
      <c r="N76" s="3">
        <v>11976</v>
      </c>
      <c r="O76" s="76">
        <v>5.04</v>
      </c>
      <c r="P76" s="3">
        <v>12031</v>
      </c>
      <c r="Q76" s="76">
        <v>5.15</v>
      </c>
      <c r="R76" s="3">
        <v>10548</v>
      </c>
      <c r="S76" s="76">
        <v>4.28</v>
      </c>
      <c r="T76" s="3">
        <v>13059</v>
      </c>
      <c r="U76" s="76">
        <v>5.76</v>
      </c>
      <c r="V76" s="3">
        <v>15390</v>
      </c>
      <c r="W76" s="76">
        <v>7.17</v>
      </c>
      <c r="X76" s="3">
        <v>16629</v>
      </c>
      <c r="Y76" s="76">
        <v>6.78</v>
      </c>
      <c r="Z76" s="87">
        <f t="shared" ref="Z76:Z90" si="20">B76+D76+F76+H76+J76+L76+N76+P76+R76+T76+V76+X76</f>
        <v>133499</v>
      </c>
      <c r="AA76" s="24">
        <f t="shared" ref="AA76:AA90" si="21">C76+E76+G76+I76+K76+M76+O76+Q76+S76+U76+W76+Y76</f>
        <v>56.38</v>
      </c>
    </row>
    <row r="77" spans="1:27" x14ac:dyDescent="0.25">
      <c r="A77" s="14" t="s">
        <v>164</v>
      </c>
      <c r="B77" s="5" cm="1">
        <f t="array" ref="B77:Y77">_xlfn.XLOOKUP(A77,'P&amp;L Trending Data'!A78:A218,'P&amp;L Trending Data'!B78:Y218)</f>
        <v>6134</v>
      </c>
      <c r="C77" s="76">
        <v>2.39</v>
      </c>
      <c r="D77" s="5">
        <v>5539</v>
      </c>
      <c r="E77" s="76">
        <v>2.31</v>
      </c>
      <c r="F77" s="3">
        <v>7460</v>
      </c>
      <c r="G77" s="76">
        <v>2.88</v>
      </c>
      <c r="H77" s="3">
        <v>5610</v>
      </c>
      <c r="I77" s="76">
        <v>2.4900000000000002</v>
      </c>
      <c r="J77" s="3">
        <v>5575</v>
      </c>
      <c r="K77" s="76">
        <v>2.2599999999999998</v>
      </c>
      <c r="L77" s="3">
        <v>5347</v>
      </c>
      <c r="M77" s="76">
        <v>2.31</v>
      </c>
      <c r="N77" s="3">
        <v>5608</v>
      </c>
      <c r="O77" s="76">
        <v>2.36</v>
      </c>
      <c r="P77" s="3">
        <v>5467</v>
      </c>
      <c r="Q77" s="76">
        <v>2.34</v>
      </c>
      <c r="R77" s="3">
        <v>6371</v>
      </c>
      <c r="S77" s="76">
        <v>2.59</v>
      </c>
      <c r="T77" s="3">
        <v>5931</v>
      </c>
      <c r="U77" s="76">
        <v>2.62</v>
      </c>
      <c r="V77" s="3">
        <v>5481</v>
      </c>
      <c r="W77" s="76">
        <v>2.56</v>
      </c>
      <c r="X77" s="3">
        <v>5645</v>
      </c>
      <c r="Y77" s="76">
        <v>2.2999999999999998</v>
      </c>
      <c r="Z77" s="87">
        <f t="shared" si="20"/>
        <v>70168</v>
      </c>
      <c r="AA77" s="24">
        <f t="shared" si="21"/>
        <v>29.41</v>
      </c>
    </row>
    <row r="78" spans="1:27" x14ac:dyDescent="0.25">
      <c r="A78" s="14" t="s">
        <v>165</v>
      </c>
      <c r="B78" s="3" cm="1">
        <f t="array" ref="B78:Y78">_xlfn.XLOOKUP(A78,'P&amp;L Trending Data'!A79:A219,'P&amp;L Trending Data'!B79:Y219)</f>
        <v>10874</v>
      </c>
      <c r="C78" s="76">
        <v>4.24</v>
      </c>
      <c r="D78" s="3">
        <v>7612</v>
      </c>
      <c r="E78" s="76">
        <v>3.17</v>
      </c>
      <c r="F78" s="3">
        <v>19147</v>
      </c>
      <c r="G78" s="76">
        <v>7.38</v>
      </c>
      <c r="H78" s="3">
        <v>9814</v>
      </c>
      <c r="I78" s="76">
        <v>4.3600000000000003</v>
      </c>
      <c r="J78" s="3">
        <v>13985</v>
      </c>
      <c r="K78" s="76">
        <v>5.67</v>
      </c>
      <c r="L78" s="3">
        <v>25889</v>
      </c>
      <c r="M78" s="76">
        <v>11.21</v>
      </c>
      <c r="N78" s="3">
        <v>16046</v>
      </c>
      <c r="O78" s="76">
        <v>6.76</v>
      </c>
      <c r="P78" s="3">
        <v>-1433</v>
      </c>
      <c r="Q78" s="76">
        <v>-0.61</v>
      </c>
      <c r="R78" s="3">
        <v>14114</v>
      </c>
      <c r="S78" s="76">
        <v>5.73</v>
      </c>
      <c r="T78" s="3">
        <v>11113</v>
      </c>
      <c r="U78" s="76">
        <v>4.9000000000000004</v>
      </c>
      <c r="V78" s="3">
        <v>7486</v>
      </c>
      <c r="W78" s="76">
        <v>3.49</v>
      </c>
      <c r="X78" s="3">
        <v>9129</v>
      </c>
      <c r="Y78" s="76">
        <v>3.72</v>
      </c>
      <c r="Z78" s="87">
        <f t="shared" si="20"/>
        <v>143776</v>
      </c>
      <c r="AA78" s="24">
        <f t="shared" si="21"/>
        <v>60.019999999999996</v>
      </c>
    </row>
    <row r="79" spans="1:27" x14ac:dyDescent="0.25">
      <c r="A79" s="14" t="s">
        <v>166</v>
      </c>
      <c r="B79" s="5" cm="1">
        <f t="array" ref="B79:Y79">_xlfn.XLOOKUP(A79,'P&amp;L Trending Data'!A80:A220,'P&amp;L Trending Data'!B80:Y220)</f>
        <v>0</v>
      </c>
      <c r="C79" s="76">
        <v>0</v>
      </c>
      <c r="D79" s="5">
        <v>0</v>
      </c>
      <c r="E79" s="76">
        <v>0</v>
      </c>
      <c r="F79" s="5">
        <v>0</v>
      </c>
      <c r="G79" s="76">
        <v>0</v>
      </c>
      <c r="H79" s="5">
        <v>0</v>
      </c>
      <c r="I79" s="76">
        <v>0</v>
      </c>
      <c r="J79" s="5">
        <v>0</v>
      </c>
      <c r="K79" s="76">
        <v>0</v>
      </c>
      <c r="L79" s="5">
        <v>0</v>
      </c>
      <c r="M79" s="76">
        <v>0</v>
      </c>
      <c r="N79" s="5">
        <v>0</v>
      </c>
      <c r="O79" s="76">
        <v>0</v>
      </c>
      <c r="P79" s="5">
        <v>0</v>
      </c>
      <c r="Q79" s="76">
        <v>0</v>
      </c>
      <c r="R79" s="5">
        <v>0</v>
      </c>
      <c r="S79" s="76">
        <v>0</v>
      </c>
      <c r="T79" s="5">
        <v>0</v>
      </c>
      <c r="U79" s="76">
        <v>0</v>
      </c>
      <c r="V79" s="5">
        <v>0</v>
      </c>
      <c r="W79" s="76">
        <v>0</v>
      </c>
      <c r="X79" s="5">
        <v>0</v>
      </c>
      <c r="Y79" s="76">
        <v>0</v>
      </c>
      <c r="Z79" s="87">
        <f t="shared" si="20"/>
        <v>0</v>
      </c>
      <c r="AA79" s="24">
        <f t="shared" si="21"/>
        <v>0</v>
      </c>
    </row>
    <row r="80" spans="1:27" x14ac:dyDescent="0.25">
      <c r="A80" s="14" t="s">
        <v>167</v>
      </c>
      <c r="B80" s="3" cm="1">
        <f t="array" ref="B80:Y80">_xlfn.XLOOKUP(A80,'P&amp;L Trending Data'!A81:A221,'P&amp;L Trending Data'!B81:Y221)</f>
        <v>2074</v>
      </c>
      <c r="C80" s="76">
        <v>0.81</v>
      </c>
      <c r="D80" s="3">
        <v>1885</v>
      </c>
      <c r="E80" s="76">
        <v>0.78</v>
      </c>
      <c r="F80" s="3">
        <v>1324</v>
      </c>
      <c r="G80" s="76">
        <v>0.51</v>
      </c>
      <c r="H80" s="3">
        <v>1679</v>
      </c>
      <c r="I80" s="76">
        <v>0.75</v>
      </c>
      <c r="J80" s="3">
        <v>1929</v>
      </c>
      <c r="K80" s="76">
        <v>0.78</v>
      </c>
      <c r="L80" s="3">
        <v>1259</v>
      </c>
      <c r="M80" s="76">
        <v>0.54</v>
      </c>
      <c r="N80" s="3">
        <v>1315</v>
      </c>
      <c r="O80" s="76">
        <v>0.55000000000000004</v>
      </c>
      <c r="P80" s="3">
        <v>2583</v>
      </c>
      <c r="Q80" s="76">
        <v>1.1100000000000001</v>
      </c>
      <c r="R80" s="3">
        <v>1501</v>
      </c>
      <c r="S80" s="76">
        <v>0.61</v>
      </c>
      <c r="T80" s="3">
        <v>1516</v>
      </c>
      <c r="U80" s="76">
        <v>0.67</v>
      </c>
      <c r="V80" s="3">
        <v>1519</v>
      </c>
      <c r="W80" s="76">
        <v>0.71</v>
      </c>
      <c r="X80" s="3">
        <v>1815</v>
      </c>
      <c r="Y80" s="76">
        <v>0.74</v>
      </c>
      <c r="Z80" s="87">
        <f t="shared" si="20"/>
        <v>20399</v>
      </c>
      <c r="AA80" s="24">
        <f t="shared" si="21"/>
        <v>8.56</v>
      </c>
    </row>
    <row r="81" spans="1:27" x14ac:dyDescent="0.25">
      <c r="A81" s="14" t="s">
        <v>168</v>
      </c>
      <c r="B81" s="5" cm="1">
        <f t="array" ref="B81:Y81">_xlfn.XLOOKUP(A81,'P&amp;L Trending Data'!A82:A222,'P&amp;L Trending Data'!B82:Y222)</f>
        <v>0</v>
      </c>
      <c r="C81" s="76">
        <v>0</v>
      </c>
      <c r="D81" s="5">
        <v>0</v>
      </c>
      <c r="E81" s="76">
        <v>0</v>
      </c>
      <c r="F81" s="5">
        <v>0</v>
      </c>
      <c r="G81" s="76">
        <v>0</v>
      </c>
      <c r="H81" s="5">
        <v>0</v>
      </c>
      <c r="I81" s="76">
        <v>0</v>
      </c>
      <c r="J81" s="5">
        <v>0</v>
      </c>
      <c r="K81" s="76">
        <v>0</v>
      </c>
      <c r="L81" s="5">
        <v>0</v>
      </c>
      <c r="M81" s="76">
        <v>0</v>
      </c>
      <c r="N81" s="5">
        <v>0</v>
      </c>
      <c r="O81" s="76">
        <v>0</v>
      </c>
      <c r="P81" s="5">
        <v>0</v>
      </c>
      <c r="Q81" s="76">
        <v>0</v>
      </c>
      <c r="R81" s="5">
        <v>0</v>
      </c>
      <c r="S81" s="76">
        <v>0</v>
      </c>
      <c r="T81" s="5">
        <v>0</v>
      </c>
      <c r="U81" s="76">
        <v>0</v>
      </c>
      <c r="V81" s="5">
        <v>0</v>
      </c>
      <c r="W81" s="76">
        <v>0</v>
      </c>
      <c r="X81" s="5">
        <v>0</v>
      </c>
      <c r="Y81" s="76">
        <v>0</v>
      </c>
      <c r="Z81" s="87">
        <f t="shared" si="20"/>
        <v>0</v>
      </c>
      <c r="AA81" s="24">
        <f t="shared" si="21"/>
        <v>0</v>
      </c>
    </row>
    <row r="82" spans="1:27" x14ac:dyDescent="0.25">
      <c r="A82" s="14" t="s">
        <v>169</v>
      </c>
      <c r="B82" s="5" cm="1">
        <f t="array" ref="B82:Y82">_xlfn.XLOOKUP(A82,'P&amp;L Trending Data'!A83:A223,'P&amp;L Trending Data'!B83:Y223)</f>
        <v>767</v>
      </c>
      <c r="C82" s="76">
        <v>0.3</v>
      </c>
      <c r="D82" s="5">
        <v>360</v>
      </c>
      <c r="E82" s="76">
        <v>0.15</v>
      </c>
      <c r="F82" s="5">
        <v>373</v>
      </c>
      <c r="G82" s="76">
        <v>0.14000000000000001</v>
      </c>
      <c r="H82" s="5">
        <v>338</v>
      </c>
      <c r="I82" s="76">
        <v>0.15</v>
      </c>
      <c r="J82" s="5">
        <v>370</v>
      </c>
      <c r="K82" s="76">
        <v>0.15</v>
      </c>
      <c r="L82" s="5">
        <v>348</v>
      </c>
      <c r="M82" s="76">
        <v>0.15</v>
      </c>
      <c r="N82" s="5">
        <v>356</v>
      </c>
      <c r="O82" s="76">
        <v>0.15</v>
      </c>
      <c r="P82" s="5">
        <v>608</v>
      </c>
      <c r="Q82" s="76">
        <v>0.26</v>
      </c>
      <c r="R82" s="5">
        <v>457</v>
      </c>
      <c r="S82" s="76">
        <v>0.19</v>
      </c>
      <c r="T82" s="5">
        <v>0</v>
      </c>
      <c r="U82" s="76">
        <v>0</v>
      </c>
      <c r="V82" s="5">
        <v>321</v>
      </c>
      <c r="W82" s="76">
        <v>0.15</v>
      </c>
      <c r="X82" s="5">
        <v>368</v>
      </c>
      <c r="Y82" s="76">
        <v>0.15</v>
      </c>
      <c r="Z82" s="87">
        <f t="shared" si="20"/>
        <v>4666</v>
      </c>
      <c r="AA82" s="24">
        <f t="shared" si="21"/>
        <v>1.9399999999999997</v>
      </c>
    </row>
    <row r="83" spans="1:27" x14ac:dyDescent="0.25">
      <c r="A83" s="14" t="s">
        <v>170</v>
      </c>
      <c r="B83" s="5" cm="1">
        <f t="array" ref="B83:Y83">_xlfn.XLOOKUP(A83,'P&amp;L Trending Data'!A84:A224,'P&amp;L Trending Data'!B84:Y224)</f>
        <v>1386</v>
      </c>
      <c r="C83" s="76">
        <v>0.54</v>
      </c>
      <c r="D83" s="5">
        <v>480</v>
      </c>
      <c r="E83" s="76">
        <v>0.2</v>
      </c>
      <c r="F83" s="5">
        <v>175</v>
      </c>
      <c r="G83" s="76">
        <v>7.0000000000000007E-2</v>
      </c>
      <c r="H83" s="5">
        <v>1139</v>
      </c>
      <c r="I83" s="76">
        <v>0.51</v>
      </c>
      <c r="J83" s="5">
        <v>783</v>
      </c>
      <c r="K83" s="76">
        <v>0.32</v>
      </c>
      <c r="L83" s="5">
        <v>506</v>
      </c>
      <c r="M83" s="76">
        <v>0.22</v>
      </c>
      <c r="N83" s="5">
        <v>464</v>
      </c>
      <c r="O83" s="76">
        <v>0.2</v>
      </c>
      <c r="P83" s="5">
        <v>156</v>
      </c>
      <c r="Q83" s="76">
        <v>7.0000000000000007E-2</v>
      </c>
      <c r="R83" s="5">
        <v>1237</v>
      </c>
      <c r="S83" s="76">
        <v>0.5</v>
      </c>
      <c r="T83" s="5">
        <v>275</v>
      </c>
      <c r="U83" s="76">
        <v>0.12</v>
      </c>
      <c r="V83" s="5">
        <v>1028</v>
      </c>
      <c r="W83" s="76">
        <v>0.48</v>
      </c>
      <c r="X83" s="5">
        <v>896</v>
      </c>
      <c r="Y83" s="76">
        <v>0.37</v>
      </c>
      <c r="Z83" s="87">
        <f t="shared" si="20"/>
        <v>8525</v>
      </c>
      <c r="AA83" s="24">
        <f t="shared" si="21"/>
        <v>3.6</v>
      </c>
    </row>
    <row r="84" spans="1:27" x14ac:dyDescent="0.25">
      <c r="A84" s="14" t="s">
        <v>171</v>
      </c>
      <c r="B84" s="3" cm="1">
        <f t="array" ref="B84:Y84">_xlfn.XLOOKUP(A84,'P&amp;L Trending Data'!A85:A225,'P&amp;L Trending Data'!B85:Y225)</f>
        <v>4214</v>
      </c>
      <c r="C84" s="76">
        <v>1.64</v>
      </c>
      <c r="D84" s="3">
        <v>857</v>
      </c>
      <c r="E84" s="76">
        <v>0.36</v>
      </c>
      <c r="F84" s="3">
        <v>1519</v>
      </c>
      <c r="G84" s="76">
        <v>0.59</v>
      </c>
      <c r="H84" s="3">
        <v>1930</v>
      </c>
      <c r="I84" s="76">
        <v>0.86</v>
      </c>
      <c r="J84" s="3">
        <v>2080</v>
      </c>
      <c r="K84" s="76">
        <v>0.84</v>
      </c>
      <c r="L84" s="3">
        <v>6002</v>
      </c>
      <c r="M84" s="76">
        <v>2.6</v>
      </c>
      <c r="N84" s="3">
        <v>2199</v>
      </c>
      <c r="O84" s="76">
        <v>0.93</v>
      </c>
      <c r="P84" s="3">
        <v>2526</v>
      </c>
      <c r="Q84" s="76">
        <v>1.08</v>
      </c>
      <c r="R84" s="3">
        <v>1924</v>
      </c>
      <c r="S84" s="76">
        <v>0.78</v>
      </c>
      <c r="T84" s="3">
        <v>3238</v>
      </c>
      <c r="U84" s="76">
        <v>1.43</v>
      </c>
      <c r="V84" s="3">
        <v>2338</v>
      </c>
      <c r="W84" s="76">
        <v>1.0900000000000001</v>
      </c>
      <c r="X84" s="3">
        <v>1423</v>
      </c>
      <c r="Y84" s="76">
        <v>0.57999999999999996</v>
      </c>
      <c r="Z84" s="87">
        <f t="shared" si="20"/>
        <v>30250</v>
      </c>
      <c r="AA84" s="24">
        <f t="shared" si="21"/>
        <v>12.78</v>
      </c>
    </row>
    <row r="85" spans="1:27" x14ac:dyDescent="0.25">
      <c r="A85" s="14" t="s">
        <v>172</v>
      </c>
      <c r="B85" s="3" cm="1">
        <f t="array" ref="B85:Y85">_xlfn.XLOOKUP(A85,'P&amp;L Trending Data'!A86:A226,'P&amp;L Trending Data'!B86:Y226)</f>
        <v>4664</v>
      </c>
      <c r="C85" s="76">
        <v>1.82</v>
      </c>
      <c r="D85" s="3">
        <v>9838</v>
      </c>
      <c r="E85" s="76">
        <v>4.0999999999999996</v>
      </c>
      <c r="F85" s="3">
        <v>8537</v>
      </c>
      <c r="G85" s="76">
        <v>3.29</v>
      </c>
      <c r="H85" s="3">
        <v>3775</v>
      </c>
      <c r="I85" s="76">
        <v>1.68</v>
      </c>
      <c r="J85" s="3">
        <v>5261</v>
      </c>
      <c r="K85" s="76">
        <v>2.13</v>
      </c>
      <c r="L85" s="3">
        <v>9813</v>
      </c>
      <c r="M85" s="76">
        <v>4.25</v>
      </c>
      <c r="N85" s="3">
        <v>7832</v>
      </c>
      <c r="O85" s="76">
        <v>3.3</v>
      </c>
      <c r="P85" s="3">
        <v>12358</v>
      </c>
      <c r="Q85" s="76">
        <v>5.29</v>
      </c>
      <c r="R85" s="3">
        <v>11690</v>
      </c>
      <c r="S85" s="76">
        <v>4.75</v>
      </c>
      <c r="T85" s="3">
        <v>14930</v>
      </c>
      <c r="U85" s="76">
        <v>6.58</v>
      </c>
      <c r="V85" s="3">
        <v>2820</v>
      </c>
      <c r="W85" s="76">
        <v>1.31</v>
      </c>
      <c r="X85" s="3">
        <v>115691</v>
      </c>
      <c r="Y85" s="76">
        <v>47.2</v>
      </c>
      <c r="Z85" s="87">
        <f t="shared" si="20"/>
        <v>207209</v>
      </c>
      <c r="AA85" s="24">
        <f t="shared" si="21"/>
        <v>85.7</v>
      </c>
    </row>
    <row r="86" spans="1:27" x14ac:dyDescent="0.25">
      <c r="A86" s="14" t="s">
        <v>173</v>
      </c>
      <c r="B86" s="5" cm="1">
        <f t="array" ref="B86:Y86">_xlfn.XLOOKUP(A86,'P&amp;L Trending Data'!A87:A227,'P&amp;L Trending Data'!B87:Y227)</f>
        <v>0</v>
      </c>
      <c r="C86" s="76">
        <v>0</v>
      </c>
      <c r="D86" s="5">
        <v>0</v>
      </c>
      <c r="E86" s="76">
        <v>0</v>
      </c>
      <c r="F86" s="3">
        <v>1350</v>
      </c>
      <c r="G86" s="76">
        <v>0.52</v>
      </c>
      <c r="H86" s="3">
        <v>320</v>
      </c>
      <c r="I86" s="76">
        <v>0.14000000000000001</v>
      </c>
      <c r="J86" s="3">
        <v>0</v>
      </c>
      <c r="K86" s="76">
        <v>0</v>
      </c>
      <c r="L86" s="3">
        <v>400</v>
      </c>
      <c r="M86" s="76">
        <v>0.17</v>
      </c>
      <c r="N86" s="3">
        <v>0</v>
      </c>
      <c r="O86" s="76">
        <v>0</v>
      </c>
      <c r="P86" s="3">
        <v>2320</v>
      </c>
      <c r="Q86" s="76">
        <v>0.99</v>
      </c>
      <c r="R86" s="3">
        <v>400</v>
      </c>
      <c r="S86" s="76">
        <v>0.16</v>
      </c>
      <c r="T86" s="3">
        <v>240</v>
      </c>
      <c r="U86" s="76">
        <v>0.11</v>
      </c>
      <c r="V86" s="3">
        <v>0</v>
      </c>
      <c r="W86" s="76">
        <v>0</v>
      </c>
      <c r="X86" s="3">
        <v>3570</v>
      </c>
      <c r="Y86" s="76">
        <v>1.46</v>
      </c>
      <c r="Z86" s="87">
        <f t="shared" si="20"/>
        <v>8600</v>
      </c>
      <c r="AA86" s="24">
        <f t="shared" si="21"/>
        <v>3.55</v>
      </c>
    </row>
    <row r="87" spans="1:27" x14ac:dyDescent="0.25">
      <c r="A87" s="14" t="s">
        <v>174</v>
      </c>
      <c r="B87" s="3" cm="1">
        <f t="array" ref="B87:Y87">_xlfn.XLOOKUP(A87,'P&amp;L Trending Data'!A88:A228,'P&amp;L Trending Data'!B88:Y228)</f>
        <v>949</v>
      </c>
      <c r="C87" s="76">
        <v>0.37</v>
      </c>
      <c r="D87" s="3">
        <v>665</v>
      </c>
      <c r="E87" s="76">
        <v>0.28000000000000003</v>
      </c>
      <c r="F87" s="5">
        <v>1933</v>
      </c>
      <c r="G87" s="76">
        <v>0.75</v>
      </c>
      <c r="H87" s="5">
        <v>1146</v>
      </c>
      <c r="I87" s="76">
        <v>0.51</v>
      </c>
      <c r="J87" s="5">
        <v>1021</v>
      </c>
      <c r="K87" s="76">
        <v>0.41</v>
      </c>
      <c r="L87" s="5">
        <v>989</v>
      </c>
      <c r="M87" s="76">
        <v>0.43</v>
      </c>
      <c r="N87" s="5">
        <v>565</v>
      </c>
      <c r="O87" s="76">
        <v>0.24</v>
      </c>
      <c r="P87" s="5">
        <v>2716</v>
      </c>
      <c r="Q87" s="76">
        <v>1.1599999999999999</v>
      </c>
      <c r="R87" s="5">
        <v>1265</v>
      </c>
      <c r="S87" s="76">
        <v>0.51</v>
      </c>
      <c r="T87" s="5">
        <v>2419</v>
      </c>
      <c r="U87" s="76">
        <v>1.07</v>
      </c>
      <c r="V87" s="5">
        <v>1545</v>
      </c>
      <c r="W87" s="76">
        <v>0.72</v>
      </c>
      <c r="X87" s="5">
        <v>1005</v>
      </c>
      <c r="Y87" s="76">
        <v>0.41</v>
      </c>
      <c r="Z87" s="87">
        <f t="shared" si="20"/>
        <v>16218</v>
      </c>
      <c r="AA87" s="24">
        <f t="shared" si="21"/>
        <v>6.86</v>
      </c>
    </row>
    <row r="88" spans="1:27" x14ac:dyDescent="0.25">
      <c r="A88" s="14" t="s">
        <v>175</v>
      </c>
      <c r="B88" s="5" cm="1">
        <f t="array" ref="B88:Y88">_xlfn.XLOOKUP(A88,'P&amp;L Trending Data'!A89:A229,'P&amp;L Trending Data'!B89:Y229)</f>
        <v>0</v>
      </c>
      <c r="C88" s="76">
        <v>0</v>
      </c>
      <c r="D88" s="5">
        <v>0</v>
      </c>
      <c r="E88" s="76">
        <v>0</v>
      </c>
      <c r="F88" s="5">
        <v>0</v>
      </c>
      <c r="G88" s="76">
        <v>0</v>
      </c>
      <c r="H88" s="5">
        <v>0</v>
      </c>
      <c r="I88" s="76">
        <v>0</v>
      </c>
      <c r="J88" s="5">
        <v>0</v>
      </c>
      <c r="K88" s="76">
        <v>0</v>
      </c>
      <c r="L88" s="5">
        <v>0</v>
      </c>
      <c r="M88" s="76">
        <v>0</v>
      </c>
      <c r="N88" s="5">
        <v>0</v>
      </c>
      <c r="O88" s="76">
        <v>0</v>
      </c>
      <c r="P88" s="5">
        <v>0</v>
      </c>
      <c r="Q88" s="76">
        <v>0</v>
      </c>
      <c r="R88" s="5">
        <v>0</v>
      </c>
      <c r="S88" s="76">
        <v>0</v>
      </c>
      <c r="T88" s="5">
        <v>0</v>
      </c>
      <c r="U88" s="76">
        <v>0</v>
      </c>
      <c r="V88" s="5">
        <v>0</v>
      </c>
      <c r="W88" s="76">
        <v>0</v>
      </c>
      <c r="X88" s="5">
        <v>0</v>
      </c>
      <c r="Y88" s="76">
        <v>0</v>
      </c>
      <c r="Z88" s="87">
        <f t="shared" si="20"/>
        <v>0</v>
      </c>
      <c r="AA88" s="24">
        <f t="shared" si="21"/>
        <v>0</v>
      </c>
    </row>
    <row r="89" spans="1:27" x14ac:dyDescent="0.25">
      <c r="A89" s="14" t="s">
        <v>176</v>
      </c>
      <c r="B89" s="3" cm="1">
        <f t="array" ref="B89:Y89">_xlfn.XLOOKUP(A89,'P&amp;L Trending Data'!A90:A230,'P&amp;L Trending Data'!B90:Y230)</f>
        <v>7971</v>
      </c>
      <c r="C89" s="76">
        <v>3.11</v>
      </c>
      <c r="D89" s="3">
        <v>-2353</v>
      </c>
      <c r="E89" s="76">
        <v>-0.98</v>
      </c>
      <c r="F89" s="3">
        <v>302</v>
      </c>
      <c r="G89" s="76">
        <v>0.12</v>
      </c>
      <c r="H89" s="3">
        <v>5681</v>
      </c>
      <c r="I89" s="76">
        <v>2.52</v>
      </c>
      <c r="J89" s="3">
        <v>11601</v>
      </c>
      <c r="K89" s="76">
        <v>4.7</v>
      </c>
      <c r="L89" s="3">
        <v>3558</v>
      </c>
      <c r="M89" s="76">
        <v>1.54</v>
      </c>
      <c r="N89" s="3">
        <v>3497</v>
      </c>
      <c r="O89" s="76">
        <v>1.47</v>
      </c>
      <c r="P89" s="3">
        <v>4167</v>
      </c>
      <c r="Q89" s="76">
        <v>1.78</v>
      </c>
      <c r="R89" s="3">
        <v>8260</v>
      </c>
      <c r="S89" s="76">
        <v>3.35</v>
      </c>
      <c r="T89" s="3">
        <v>6255</v>
      </c>
      <c r="U89" s="76">
        <v>2.76</v>
      </c>
      <c r="V89" s="3">
        <v>3454</v>
      </c>
      <c r="W89" s="76">
        <v>1.61</v>
      </c>
      <c r="X89" s="3">
        <v>6796</v>
      </c>
      <c r="Y89" s="76">
        <v>2.77</v>
      </c>
      <c r="Z89" s="87">
        <f t="shared" si="20"/>
        <v>59189</v>
      </c>
      <c r="AA89" s="24">
        <f t="shared" si="21"/>
        <v>24.749999999999996</v>
      </c>
    </row>
    <row r="90" spans="1:27" ht="14.95" thickBot="1" x14ac:dyDescent="0.3">
      <c r="A90" s="14" t="s">
        <v>177</v>
      </c>
      <c r="B90" s="5" cm="1">
        <f t="array" ref="B90:Y90">_xlfn.XLOOKUP(A90,'P&amp;L Trending Data'!A91:A231,'P&amp;L Trending Data'!B91:Y231)</f>
        <v>3000</v>
      </c>
      <c r="C90" s="76">
        <v>1.17</v>
      </c>
      <c r="D90" s="5">
        <v>6719</v>
      </c>
      <c r="E90" s="76">
        <v>2.8</v>
      </c>
      <c r="F90" s="3">
        <v>5962</v>
      </c>
      <c r="G90" s="76">
        <v>2.2999999999999998</v>
      </c>
      <c r="H90" s="3">
        <v>0</v>
      </c>
      <c r="I90" s="76">
        <v>0</v>
      </c>
      <c r="J90" s="3">
        <v>0</v>
      </c>
      <c r="K90" s="76">
        <v>0</v>
      </c>
      <c r="L90" s="3">
        <v>1893</v>
      </c>
      <c r="M90" s="76">
        <v>0.82</v>
      </c>
      <c r="N90" s="3">
        <v>2737</v>
      </c>
      <c r="O90" s="76">
        <v>1.1499999999999999</v>
      </c>
      <c r="P90" s="3">
        <v>5531</v>
      </c>
      <c r="Q90" s="76">
        <v>2.37</v>
      </c>
      <c r="R90" s="3">
        <v>0</v>
      </c>
      <c r="S90" s="76">
        <v>0</v>
      </c>
      <c r="T90" s="3">
        <v>0</v>
      </c>
      <c r="U90" s="76">
        <v>0</v>
      </c>
      <c r="V90" s="3">
        <v>3543</v>
      </c>
      <c r="W90" s="76">
        <v>1.65</v>
      </c>
      <c r="X90" s="3">
        <v>1973</v>
      </c>
      <c r="Y90" s="76">
        <v>0.8</v>
      </c>
      <c r="Z90" s="88">
        <f t="shared" si="20"/>
        <v>31358</v>
      </c>
      <c r="AA90" s="58">
        <f t="shared" si="21"/>
        <v>13.06</v>
      </c>
    </row>
    <row r="91" spans="1:27" x14ac:dyDescent="0.25">
      <c r="A91" s="14" t="s">
        <v>31</v>
      </c>
      <c r="B91" s="66" cm="1">
        <f t="array" ref="B91:Y91">_xlfn.XLOOKUP(A91,'P&amp;L Trending Data'!A92:A232,'P&amp;L Trending Data'!B92:Y232)</f>
        <v>52158</v>
      </c>
      <c r="C91" s="67">
        <v>20.329999999999998</v>
      </c>
      <c r="D91" s="66">
        <v>38718</v>
      </c>
      <c r="E91" s="67">
        <v>16.13</v>
      </c>
      <c r="F91" s="66">
        <v>55679</v>
      </c>
      <c r="G91" s="8">
        <v>21.47</v>
      </c>
      <c r="H91" s="66">
        <v>38854</v>
      </c>
      <c r="I91" s="8">
        <v>17.25</v>
      </c>
      <c r="J91" s="66">
        <v>52868</v>
      </c>
      <c r="K91" s="8">
        <v>21.44</v>
      </c>
      <c r="L91" s="66">
        <v>67346</v>
      </c>
      <c r="M91" s="8">
        <v>29.15</v>
      </c>
      <c r="N91" s="66">
        <v>52594</v>
      </c>
      <c r="O91" s="8">
        <v>22.14</v>
      </c>
      <c r="P91" s="66">
        <v>49029</v>
      </c>
      <c r="Q91" s="8">
        <v>20.98</v>
      </c>
      <c r="R91" s="66">
        <v>57766</v>
      </c>
      <c r="S91" s="8">
        <v>23.46</v>
      </c>
      <c r="T91" s="66">
        <v>58976</v>
      </c>
      <c r="U91" s="8">
        <v>26</v>
      </c>
      <c r="V91" s="66">
        <v>44924</v>
      </c>
      <c r="W91" s="8">
        <v>20.94</v>
      </c>
      <c r="X91" s="66">
        <v>164941</v>
      </c>
      <c r="Y91" s="8">
        <v>67.3</v>
      </c>
      <c r="Z91" s="82">
        <f t="shared" ref="Z91:AA91" si="22">SUM(Z76:Z90)</f>
        <v>733857</v>
      </c>
      <c r="AA91" s="83">
        <f t="shared" si="22"/>
        <v>306.61</v>
      </c>
    </row>
    <row r="92" spans="1:27" x14ac:dyDescent="0.25">
      <c r="A92" s="12" t="s">
        <v>32</v>
      </c>
      <c r="B92" s="2"/>
      <c r="C92" s="46"/>
      <c r="D92" s="2"/>
      <c r="E92" s="46"/>
      <c r="F92" s="2"/>
      <c r="G92" s="46"/>
      <c r="H92" s="2"/>
      <c r="I92" s="46"/>
      <c r="J92" s="2"/>
      <c r="K92" s="46"/>
      <c r="L92" s="2"/>
      <c r="M92" s="46"/>
      <c r="N92" s="2"/>
      <c r="O92" s="46"/>
      <c r="P92" s="2"/>
      <c r="Q92" s="46"/>
      <c r="R92" s="2"/>
      <c r="S92" s="46"/>
      <c r="T92" s="2"/>
      <c r="U92" s="46"/>
      <c r="V92" s="2"/>
      <c r="W92" s="46"/>
      <c r="X92" s="2"/>
      <c r="Y92" s="46"/>
      <c r="Z92" s="84"/>
      <c r="AA92" s="23"/>
    </row>
    <row r="93" spans="1:27" x14ac:dyDescent="0.25">
      <c r="A93" s="14" t="s">
        <v>178</v>
      </c>
      <c r="B93" s="3" cm="1">
        <f t="array" ref="B93:Y93">_xlfn.XLOOKUP(A93,'P&amp;L Trending Data'!A94:A234,'P&amp;L Trending Data'!B94:Y234)</f>
        <v>30789</v>
      </c>
      <c r="C93" s="76">
        <v>12</v>
      </c>
      <c r="D93" s="3">
        <v>27795</v>
      </c>
      <c r="E93" s="76">
        <v>11.58</v>
      </c>
      <c r="F93" s="3">
        <v>28398</v>
      </c>
      <c r="G93" s="76">
        <v>10.95</v>
      </c>
      <c r="H93" s="3">
        <v>27975</v>
      </c>
      <c r="I93" s="76">
        <v>12.42</v>
      </c>
      <c r="J93" s="3">
        <v>30931</v>
      </c>
      <c r="K93" s="76">
        <v>12.54</v>
      </c>
      <c r="L93" s="3">
        <v>32852</v>
      </c>
      <c r="M93" s="76">
        <v>14.22</v>
      </c>
      <c r="N93" s="3">
        <v>27171</v>
      </c>
      <c r="O93" s="76">
        <v>11.44</v>
      </c>
      <c r="P93" s="3">
        <v>28137</v>
      </c>
      <c r="Q93" s="76">
        <v>12.04</v>
      </c>
      <c r="R93" s="3">
        <v>27808</v>
      </c>
      <c r="S93" s="76">
        <v>11.29</v>
      </c>
      <c r="T93" s="3">
        <v>26559</v>
      </c>
      <c r="U93" s="76">
        <v>11.71</v>
      </c>
      <c r="V93" s="3">
        <v>23191</v>
      </c>
      <c r="W93" s="76">
        <v>10.81</v>
      </c>
      <c r="X93" s="3">
        <v>24827</v>
      </c>
      <c r="Y93" s="76">
        <v>10.130000000000001</v>
      </c>
      <c r="Z93" s="87">
        <f t="shared" ref="Z93:Z99" si="23">B93+D93+F93+H93+J93+L93+N93+P93+R93+T93+V93+X93</f>
        <v>336433</v>
      </c>
      <c r="AA93" s="24">
        <f t="shared" ref="AA93:AA99" si="24">C93+E93+G93+I93+K93+M93+O93+Q93+S93+U93+W93+Y93</f>
        <v>141.13</v>
      </c>
    </row>
    <row r="94" spans="1:27" x14ac:dyDescent="0.25">
      <c r="A94" s="14" t="s">
        <v>179</v>
      </c>
      <c r="B94" s="3" cm="1">
        <f t="array" ref="B94:Y94">_xlfn.XLOOKUP(A94,'P&amp;L Trending Data'!A95:A235,'P&amp;L Trending Data'!B95:Y235)</f>
        <v>20999</v>
      </c>
      <c r="C94" s="76">
        <v>8.18</v>
      </c>
      <c r="D94" s="3">
        <v>17824</v>
      </c>
      <c r="E94" s="76">
        <v>7.42</v>
      </c>
      <c r="F94" s="3">
        <v>17292</v>
      </c>
      <c r="G94" s="76">
        <v>6.67</v>
      </c>
      <c r="H94" s="3">
        <v>18014</v>
      </c>
      <c r="I94" s="76">
        <v>8</v>
      </c>
      <c r="J94" s="3">
        <v>20361</v>
      </c>
      <c r="K94" s="76">
        <v>8.26</v>
      </c>
      <c r="L94" s="3">
        <v>18023</v>
      </c>
      <c r="M94" s="76">
        <v>7.8</v>
      </c>
      <c r="N94" s="3">
        <v>17811</v>
      </c>
      <c r="O94" s="76">
        <v>7.5</v>
      </c>
      <c r="P94" s="3">
        <v>27496</v>
      </c>
      <c r="Q94" s="76">
        <v>11.77</v>
      </c>
      <c r="R94" s="3">
        <v>16725</v>
      </c>
      <c r="S94" s="76">
        <v>6.79</v>
      </c>
      <c r="T94" s="3">
        <v>19302</v>
      </c>
      <c r="U94" s="76">
        <v>8.51</v>
      </c>
      <c r="V94" s="3">
        <v>18234</v>
      </c>
      <c r="W94" s="76">
        <v>8.5</v>
      </c>
      <c r="X94" s="3">
        <v>17889</v>
      </c>
      <c r="Y94" s="76">
        <v>7.3</v>
      </c>
      <c r="Z94" s="87">
        <f t="shared" si="23"/>
        <v>229970</v>
      </c>
      <c r="AA94" s="24">
        <f t="shared" si="24"/>
        <v>96.7</v>
      </c>
    </row>
    <row r="95" spans="1:27" x14ac:dyDescent="0.25">
      <c r="A95" s="14" t="s">
        <v>180</v>
      </c>
      <c r="B95" s="3" cm="1">
        <f t="array" ref="B95:Y95">_xlfn.XLOOKUP(A95,'P&amp;L Trending Data'!A96:A236,'P&amp;L Trending Data'!B96:Y236)</f>
        <v>1328</v>
      </c>
      <c r="C95" s="76">
        <v>0.52</v>
      </c>
      <c r="D95" s="3">
        <v>600</v>
      </c>
      <c r="E95" s="76">
        <v>0.25</v>
      </c>
      <c r="F95" s="5">
        <v>1386</v>
      </c>
      <c r="G95" s="76">
        <v>0.53</v>
      </c>
      <c r="H95" s="5">
        <v>1457</v>
      </c>
      <c r="I95" s="76">
        <v>0.65</v>
      </c>
      <c r="J95" s="5">
        <v>1933</v>
      </c>
      <c r="K95" s="76">
        <v>0.78</v>
      </c>
      <c r="L95" s="5">
        <v>1093</v>
      </c>
      <c r="M95" s="76">
        <v>0.47</v>
      </c>
      <c r="N95" s="5">
        <v>1749</v>
      </c>
      <c r="O95" s="76">
        <v>0.74</v>
      </c>
      <c r="P95" s="5">
        <v>1258</v>
      </c>
      <c r="Q95" s="76">
        <v>0.54</v>
      </c>
      <c r="R95" s="5">
        <v>1558</v>
      </c>
      <c r="S95" s="76">
        <v>0.63</v>
      </c>
      <c r="T95" s="5">
        <v>1554</v>
      </c>
      <c r="U95" s="76">
        <v>0.69</v>
      </c>
      <c r="V95" s="5">
        <v>1811</v>
      </c>
      <c r="W95" s="76">
        <v>0.84</v>
      </c>
      <c r="X95" s="5">
        <v>1243</v>
      </c>
      <c r="Y95" s="76">
        <v>0.51</v>
      </c>
      <c r="Z95" s="87">
        <f t="shared" si="23"/>
        <v>16970</v>
      </c>
      <c r="AA95" s="24">
        <f t="shared" si="24"/>
        <v>7.15</v>
      </c>
    </row>
    <row r="96" spans="1:27" x14ac:dyDescent="0.25">
      <c r="A96" s="14" t="s">
        <v>181</v>
      </c>
      <c r="B96" s="5" cm="1">
        <f t="array" ref="B96:Y96">_xlfn.XLOOKUP(A96,'P&amp;L Trending Data'!A97:A237,'P&amp;L Trending Data'!B97:Y237)</f>
        <v>1982</v>
      </c>
      <c r="C96" s="76">
        <v>0.77</v>
      </c>
      <c r="D96" s="5">
        <v>2310</v>
      </c>
      <c r="E96" s="76">
        <v>0.96</v>
      </c>
      <c r="F96" s="5">
        <v>2253</v>
      </c>
      <c r="G96" s="76">
        <v>0.87</v>
      </c>
      <c r="H96" s="5">
        <v>1398</v>
      </c>
      <c r="I96" s="76">
        <v>0.62</v>
      </c>
      <c r="J96" s="5">
        <v>1914</v>
      </c>
      <c r="K96" s="76">
        <v>0.78</v>
      </c>
      <c r="L96" s="5">
        <v>5400</v>
      </c>
      <c r="M96" s="76">
        <v>2.34</v>
      </c>
      <c r="N96" s="5">
        <v>1490</v>
      </c>
      <c r="O96" s="76">
        <v>0.63</v>
      </c>
      <c r="P96" s="5">
        <v>1973</v>
      </c>
      <c r="Q96" s="76">
        <v>0.84</v>
      </c>
      <c r="R96" s="5">
        <v>2284</v>
      </c>
      <c r="S96" s="76">
        <v>0.93</v>
      </c>
      <c r="T96" s="5">
        <v>1537</v>
      </c>
      <c r="U96" s="76">
        <v>0.68</v>
      </c>
      <c r="V96" s="5">
        <v>3564</v>
      </c>
      <c r="W96" s="76">
        <v>1.66</v>
      </c>
      <c r="X96" s="5">
        <v>1739</v>
      </c>
      <c r="Y96" s="76">
        <v>0.71</v>
      </c>
      <c r="Z96" s="87">
        <f t="shared" si="23"/>
        <v>27844</v>
      </c>
      <c r="AA96" s="24">
        <f t="shared" si="24"/>
        <v>11.79</v>
      </c>
    </row>
    <row r="97" spans="1:27" x14ac:dyDescent="0.25">
      <c r="A97" s="14" t="s">
        <v>182</v>
      </c>
      <c r="B97" s="5" cm="1">
        <f t="array" ref="B97:Y97">_xlfn.XLOOKUP(A97,'P&amp;L Trending Data'!A98:A238,'P&amp;L Trending Data'!B98:Y238)</f>
        <v>0</v>
      </c>
      <c r="C97" s="76">
        <v>0</v>
      </c>
      <c r="D97" s="5">
        <v>0</v>
      </c>
      <c r="E97" s="76">
        <v>0</v>
      </c>
      <c r="F97" s="5">
        <v>0</v>
      </c>
      <c r="G97" s="76">
        <v>0</v>
      </c>
      <c r="H97" s="5">
        <v>0</v>
      </c>
      <c r="I97" s="76">
        <v>0</v>
      </c>
      <c r="J97" s="5">
        <v>0</v>
      </c>
      <c r="K97" s="76">
        <v>0</v>
      </c>
      <c r="L97" s="5">
        <v>0</v>
      </c>
      <c r="M97" s="76">
        <v>0</v>
      </c>
      <c r="N97" s="5">
        <v>0</v>
      </c>
      <c r="O97" s="76">
        <v>0</v>
      </c>
      <c r="P97" s="5">
        <v>0</v>
      </c>
      <c r="Q97" s="76">
        <v>0</v>
      </c>
      <c r="R97" s="5">
        <v>0</v>
      </c>
      <c r="S97" s="76">
        <v>0</v>
      </c>
      <c r="T97" s="5">
        <v>0</v>
      </c>
      <c r="U97" s="76">
        <v>0</v>
      </c>
      <c r="V97" s="5">
        <v>0</v>
      </c>
      <c r="W97" s="76">
        <v>0</v>
      </c>
      <c r="X97" s="5">
        <v>0</v>
      </c>
      <c r="Y97" s="76">
        <v>0</v>
      </c>
      <c r="Z97" s="87">
        <f t="shared" si="23"/>
        <v>0</v>
      </c>
      <c r="AA97" s="24">
        <f t="shared" si="24"/>
        <v>0</v>
      </c>
    </row>
    <row r="98" spans="1:27" ht="14.95" thickBot="1" x14ac:dyDescent="0.3">
      <c r="A98" s="14" t="s">
        <v>183</v>
      </c>
      <c r="B98" s="3" cm="1">
        <f t="array" ref="B98:Y98">_xlfn.XLOOKUP(A98,'P&amp;L Trending Data'!A99:A239,'P&amp;L Trending Data'!B99:Y239)</f>
        <v>-625</v>
      </c>
      <c r="C98" s="76">
        <v>-0.24</v>
      </c>
      <c r="D98" s="3">
        <v>53</v>
      </c>
      <c r="E98" s="76">
        <v>0.02</v>
      </c>
      <c r="F98" s="3">
        <v>54</v>
      </c>
      <c r="G98" s="76">
        <v>0.02</v>
      </c>
      <c r="H98" s="3">
        <v>55</v>
      </c>
      <c r="I98" s="76">
        <v>0.02</v>
      </c>
      <c r="J98" s="3">
        <v>53</v>
      </c>
      <c r="K98" s="76">
        <v>0.02</v>
      </c>
      <c r="L98" s="3">
        <v>53</v>
      </c>
      <c r="M98" s="76">
        <v>0.02</v>
      </c>
      <c r="N98" s="3">
        <v>53</v>
      </c>
      <c r="O98" s="76">
        <v>0.02</v>
      </c>
      <c r="P98" s="3">
        <v>634</v>
      </c>
      <c r="Q98" s="76">
        <v>0.27</v>
      </c>
      <c r="R98" s="3">
        <v>53</v>
      </c>
      <c r="S98" s="76">
        <v>0.02</v>
      </c>
      <c r="T98" s="3">
        <v>126</v>
      </c>
      <c r="U98" s="76">
        <v>0.06</v>
      </c>
      <c r="V98" s="3">
        <v>126</v>
      </c>
      <c r="W98" s="76">
        <v>0.06</v>
      </c>
      <c r="X98" s="3">
        <v>127</v>
      </c>
      <c r="Y98" s="76">
        <v>0.05</v>
      </c>
      <c r="Z98" s="88">
        <f t="shared" si="23"/>
        <v>762</v>
      </c>
      <c r="AA98" s="58">
        <f t="shared" si="24"/>
        <v>0.33999999999999991</v>
      </c>
    </row>
    <row r="99" spans="1:27" x14ac:dyDescent="0.25">
      <c r="A99" s="14" t="s">
        <v>33</v>
      </c>
      <c r="B99" s="66" cm="1">
        <f t="array" ref="B99:Y99">_xlfn.XLOOKUP(A99,'P&amp;L Trending Data'!A100:A240,'P&amp;L Trending Data'!B100:Y240)</f>
        <v>54473</v>
      </c>
      <c r="C99" s="67">
        <v>21.23</v>
      </c>
      <c r="D99" s="66">
        <v>48582</v>
      </c>
      <c r="E99" s="67">
        <v>20.23</v>
      </c>
      <c r="F99" s="66">
        <v>49383</v>
      </c>
      <c r="G99" s="8">
        <v>19.04</v>
      </c>
      <c r="H99" s="66">
        <v>48899</v>
      </c>
      <c r="I99" s="8">
        <v>21.7</v>
      </c>
      <c r="J99" s="66">
        <v>55191</v>
      </c>
      <c r="K99" s="8">
        <v>22.38</v>
      </c>
      <c r="L99" s="66">
        <v>57421</v>
      </c>
      <c r="M99" s="8">
        <v>24.86</v>
      </c>
      <c r="N99" s="66">
        <v>48274</v>
      </c>
      <c r="O99" s="8">
        <v>20.329999999999998</v>
      </c>
      <c r="P99" s="66">
        <v>59498</v>
      </c>
      <c r="Q99" s="8">
        <v>25.46</v>
      </c>
      <c r="R99" s="66">
        <v>48427</v>
      </c>
      <c r="S99" s="8">
        <v>19.670000000000002</v>
      </c>
      <c r="T99" s="66">
        <v>49078</v>
      </c>
      <c r="U99" s="8">
        <v>21.64</v>
      </c>
      <c r="V99" s="66">
        <v>46926</v>
      </c>
      <c r="W99" s="8">
        <v>21.88</v>
      </c>
      <c r="X99" s="66">
        <v>45826</v>
      </c>
      <c r="Y99" s="8">
        <v>18.7</v>
      </c>
      <c r="Z99" s="82">
        <f t="shared" si="23"/>
        <v>611978</v>
      </c>
      <c r="AA99" s="55">
        <f t="shared" si="24"/>
        <v>257.11999999999995</v>
      </c>
    </row>
    <row r="100" spans="1:27" x14ac:dyDescent="0.25">
      <c r="A100" s="12" t="s">
        <v>34</v>
      </c>
      <c r="B100" s="2"/>
      <c r="C100" s="46"/>
      <c r="D100" s="2"/>
      <c r="E100" s="46"/>
      <c r="F100" s="2"/>
      <c r="G100" s="46"/>
      <c r="H100" s="2"/>
      <c r="I100" s="46"/>
      <c r="J100" s="2"/>
      <c r="K100" s="46"/>
      <c r="L100" s="2"/>
      <c r="M100" s="46"/>
      <c r="N100" s="2"/>
      <c r="O100" s="46"/>
      <c r="P100" s="2"/>
      <c r="Q100" s="46"/>
      <c r="R100" s="2"/>
      <c r="S100" s="46"/>
      <c r="T100" s="2"/>
      <c r="U100" s="46"/>
      <c r="V100" s="2"/>
      <c r="W100" s="46"/>
      <c r="X100" s="2"/>
      <c r="Y100" s="46"/>
      <c r="Z100" s="84"/>
      <c r="AA100" s="23"/>
    </row>
    <row r="101" spans="1:27" x14ac:dyDescent="0.25">
      <c r="A101" s="14" t="s">
        <v>184</v>
      </c>
      <c r="B101" s="3" cm="1">
        <f t="array" ref="B101:Y101">_xlfn.XLOOKUP(A101,'P&amp;L Trending Data'!A102:A242,'P&amp;L Trending Data'!B102:Y242)</f>
        <v>43661</v>
      </c>
      <c r="C101" s="76">
        <v>17.02</v>
      </c>
      <c r="D101" s="3">
        <v>35768</v>
      </c>
      <c r="E101" s="76">
        <v>14.9</v>
      </c>
      <c r="F101" s="3">
        <v>36963</v>
      </c>
      <c r="G101" s="76">
        <v>14.25</v>
      </c>
      <c r="H101" s="3">
        <v>34129</v>
      </c>
      <c r="I101" s="76">
        <v>15.15</v>
      </c>
      <c r="J101" s="3">
        <v>35621</v>
      </c>
      <c r="K101" s="76">
        <v>14.44</v>
      </c>
      <c r="L101" s="3">
        <v>33348</v>
      </c>
      <c r="M101" s="76">
        <v>14.44</v>
      </c>
      <c r="N101" s="3">
        <v>31531</v>
      </c>
      <c r="O101" s="76">
        <v>13.28</v>
      </c>
      <c r="P101" s="3">
        <v>29560</v>
      </c>
      <c r="Q101" s="76">
        <v>12.65</v>
      </c>
      <c r="R101" s="3">
        <v>29738</v>
      </c>
      <c r="S101" s="76">
        <v>12.08</v>
      </c>
      <c r="T101" s="3">
        <v>25028</v>
      </c>
      <c r="U101" s="76">
        <v>11.04</v>
      </c>
      <c r="V101" s="3">
        <v>29128</v>
      </c>
      <c r="W101" s="76">
        <v>13.58</v>
      </c>
      <c r="X101" s="3">
        <v>32183</v>
      </c>
      <c r="Y101" s="76">
        <v>13.13</v>
      </c>
      <c r="Z101" s="87">
        <f t="shared" ref="Z101:Z107" si="25">B101+D101+F101+H101+J101+L101+N101+P101+R101+T101+V101+X101</f>
        <v>396658</v>
      </c>
      <c r="AA101" s="24">
        <f t="shared" ref="AA101:AA107" si="26">C101+E101+G101+I101+K101+M101+O101+Q101+S101+U101+W101+Y101</f>
        <v>165.96</v>
      </c>
    </row>
    <row r="102" spans="1:27" x14ac:dyDescent="0.25">
      <c r="A102" s="14" t="s">
        <v>185</v>
      </c>
      <c r="B102" s="3" cm="1">
        <f t="array" ref="B102:Y102">_xlfn.XLOOKUP(A102,'P&amp;L Trending Data'!A103:A243,'P&amp;L Trending Data'!B103:Y243)</f>
        <v>2748</v>
      </c>
      <c r="C102" s="76">
        <v>1.07</v>
      </c>
      <c r="D102" s="3">
        <v>1939</v>
      </c>
      <c r="E102" s="76">
        <v>0.81</v>
      </c>
      <c r="F102" s="3">
        <v>2295</v>
      </c>
      <c r="G102" s="76">
        <v>0.89</v>
      </c>
      <c r="H102" s="3">
        <v>6660</v>
      </c>
      <c r="I102" s="76">
        <v>2.96</v>
      </c>
      <c r="J102" s="3">
        <v>2256</v>
      </c>
      <c r="K102" s="76">
        <v>0.91</v>
      </c>
      <c r="L102" s="3">
        <v>4063</v>
      </c>
      <c r="M102" s="76">
        <v>1.76</v>
      </c>
      <c r="N102" s="3">
        <v>2009</v>
      </c>
      <c r="O102" s="76">
        <v>0.85</v>
      </c>
      <c r="P102" s="3">
        <v>2033</v>
      </c>
      <c r="Q102" s="76">
        <v>0.87</v>
      </c>
      <c r="R102" s="3">
        <v>1988</v>
      </c>
      <c r="S102" s="76">
        <v>0.81</v>
      </c>
      <c r="T102" s="3">
        <v>2442</v>
      </c>
      <c r="U102" s="76">
        <v>1.08</v>
      </c>
      <c r="V102" s="3">
        <v>2490</v>
      </c>
      <c r="W102" s="76">
        <v>1.1599999999999999</v>
      </c>
      <c r="X102" s="3">
        <v>6748</v>
      </c>
      <c r="Y102" s="76">
        <v>2.75</v>
      </c>
      <c r="Z102" s="87">
        <f t="shared" si="25"/>
        <v>37671</v>
      </c>
      <c r="AA102" s="24">
        <f t="shared" si="26"/>
        <v>15.92</v>
      </c>
    </row>
    <row r="103" spans="1:27" x14ac:dyDescent="0.25">
      <c r="A103" s="14" t="s">
        <v>186</v>
      </c>
      <c r="B103" s="3" cm="1">
        <f t="array" ref="B103:Y103">_xlfn.XLOOKUP(A103,'P&amp;L Trending Data'!A104:A244,'P&amp;L Trending Data'!B104:Y244)</f>
        <v>480</v>
      </c>
      <c r="C103" s="76">
        <v>0.19</v>
      </c>
      <c r="D103" s="3">
        <v>-833</v>
      </c>
      <c r="E103" s="76">
        <v>-0.35</v>
      </c>
      <c r="F103" s="5">
        <v>331</v>
      </c>
      <c r="G103" s="76">
        <v>0.13</v>
      </c>
      <c r="H103" s="5">
        <v>1663</v>
      </c>
      <c r="I103" s="76">
        <v>0.74</v>
      </c>
      <c r="J103" s="5">
        <v>2339</v>
      </c>
      <c r="K103" s="76">
        <v>0.95</v>
      </c>
      <c r="L103" s="5">
        <v>-871</v>
      </c>
      <c r="M103" s="76">
        <v>-0.38</v>
      </c>
      <c r="N103" s="5">
        <v>161</v>
      </c>
      <c r="O103" s="76">
        <v>7.0000000000000007E-2</v>
      </c>
      <c r="P103" s="5">
        <v>695</v>
      </c>
      <c r="Q103" s="76">
        <v>0.3</v>
      </c>
      <c r="R103" s="5">
        <v>435</v>
      </c>
      <c r="S103" s="76">
        <v>0.18</v>
      </c>
      <c r="T103" s="5">
        <v>8143</v>
      </c>
      <c r="U103" s="76">
        <v>3.59</v>
      </c>
      <c r="V103" s="5">
        <v>4568</v>
      </c>
      <c r="W103" s="76">
        <v>2.13</v>
      </c>
      <c r="X103" s="5">
        <v>894</v>
      </c>
      <c r="Y103" s="76">
        <v>0.36</v>
      </c>
      <c r="Z103" s="87">
        <f t="shared" si="25"/>
        <v>18005</v>
      </c>
      <c r="AA103" s="24">
        <f t="shared" si="26"/>
        <v>7.91</v>
      </c>
    </row>
    <row r="104" spans="1:27" x14ac:dyDescent="0.25">
      <c r="A104" s="14" t="s">
        <v>187</v>
      </c>
      <c r="B104" s="3" cm="1">
        <f t="array" ref="B104:Y104">_xlfn.XLOOKUP(A104,'P&amp;L Trending Data'!A105:A245,'P&amp;L Trending Data'!B105:Y245)</f>
        <v>-18713</v>
      </c>
      <c r="C104" s="76">
        <v>-7.29</v>
      </c>
      <c r="D104" s="3">
        <v>9590</v>
      </c>
      <c r="E104" s="76">
        <v>3.99</v>
      </c>
      <c r="F104" s="3">
        <v>15316</v>
      </c>
      <c r="G104" s="76">
        <v>5.91</v>
      </c>
      <c r="H104" s="3">
        <v>7535</v>
      </c>
      <c r="I104" s="76">
        <v>3.34</v>
      </c>
      <c r="J104" s="3">
        <v>17326</v>
      </c>
      <c r="K104" s="76">
        <v>7.03</v>
      </c>
      <c r="L104" s="3">
        <v>12098</v>
      </c>
      <c r="M104" s="76">
        <v>5.24</v>
      </c>
      <c r="N104" s="3">
        <v>13951</v>
      </c>
      <c r="O104" s="76">
        <v>5.87</v>
      </c>
      <c r="P104" s="3">
        <v>13405</v>
      </c>
      <c r="Q104" s="76">
        <v>5.74</v>
      </c>
      <c r="R104" s="3">
        <v>14323</v>
      </c>
      <c r="S104" s="76">
        <v>5.82</v>
      </c>
      <c r="T104" s="3">
        <v>7063</v>
      </c>
      <c r="U104" s="76">
        <v>3.11</v>
      </c>
      <c r="V104" s="3">
        <v>12788</v>
      </c>
      <c r="W104" s="76">
        <v>5.96</v>
      </c>
      <c r="X104" s="3">
        <v>15253</v>
      </c>
      <c r="Y104" s="76">
        <v>6.22</v>
      </c>
      <c r="Z104" s="87">
        <f t="shared" si="25"/>
        <v>119935</v>
      </c>
      <c r="AA104" s="24">
        <f t="shared" si="26"/>
        <v>50.94</v>
      </c>
    </row>
    <row r="105" spans="1:27" x14ac:dyDescent="0.25">
      <c r="A105" s="14" t="s">
        <v>188</v>
      </c>
      <c r="B105" s="3" cm="1">
        <f t="array" ref="B105:Y105">_xlfn.XLOOKUP(A105,'P&amp;L Trending Data'!A106:A246,'P&amp;L Trending Data'!B106:Y246)</f>
        <v>545</v>
      </c>
      <c r="C105" s="76">
        <v>0.21</v>
      </c>
      <c r="D105" s="3">
        <v>0</v>
      </c>
      <c r="E105" s="76">
        <v>0</v>
      </c>
      <c r="F105" s="5">
        <v>0</v>
      </c>
      <c r="G105" s="76">
        <v>0</v>
      </c>
      <c r="H105" s="5">
        <v>1070</v>
      </c>
      <c r="I105" s="76">
        <v>0.47</v>
      </c>
      <c r="J105" s="5">
        <v>0</v>
      </c>
      <c r="K105" s="76">
        <v>0</v>
      </c>
      <c r="L105" s="5">
        <v>0</v>
      </c>
      <c r="M105" s="76">
        <v>0</v>
      </c>
      <c r="N105" s="5">
        <v>5005</v>
      </c>
      <c r="O105" s="76">
        <v>2.11</v>
      </c>
      <c r="P105" s="5">
        <v>455</v>
      </c>
      <c r="Q105" s="76">
        <v>0.19</v>
      </c>
      <c r="R105" s="5">
        <v>-440</v>
      </c>
      <c r="S105" s="76">
        <v>-0.18</v>
      </c>
      <c r="T105" s="5">
        <v>0</v>
      </c>
      <c r="U105" s="76">
        <v>0</v>
      </c>
      <c r="V105" s="5">
        <v>0</v>
      </c>
      <c r="W105" s="76">
        <v>0</v>
      </c>
      <c r="X105" s="5">
        <v>0</v>
      </c>
      <c r="Y105" s="76">
        <v>0</v>
      </c>
      <c r="Z105" s="87">
        <f t="shared" si="25"/>
        <v>6635</v>
      </c>
      <c r="AA105" s="24">
        <f t="shared" si="26"/>
        <v>2.8</v>
      </c>
    </row>
    <row r="106" spans="1:27" ht="14.95" thickBot="1" x14ac:dyDescent="0.3">
      <c r="A106" s="14" t="s">
        <v>189</v>
      </c>
      <c r="B106" s="5" cm="1">
        <f t="array" ref="B106:Y106">_xlfn.XLOOKUP(A106,'P&amp;L Trending Data'!A107:A247,'P&amp;L Trending Data'!B107:Y247)</f>
        <v>2473</v>
      </c>
      <c r="C106" s="76">
        <v>0.96</v>
      </c>
      <c r="D106" s="5">
        <v>4006</v>
      </c>
      <c r="E106" s="76">
        <v>1.67</v>
      </c>
      <c r="F106" s="3">
        <v>6772</v>
      </c>
      <c r="G106" s="76">
        <v>2.61</v>
      </c>
      <c r="H106" s="3">
        <v>-495</v>
      </c>
      <c r="I106" s="76">
        <v>-0.22</v>
      </c>
      <c r="J106" s="3">
        <v>1006</v>
      </c>
      <c r="K106" s="76">
        <v>0.41</v>
      </c>
      <c r="L106" s="3">
        <v>4932</v>
      </c>
      <c r="M106" s="76">
        <v>2.13</v>
      </c>
      <c r="N106" s="3">
        <v>3549</v>
      </c>
      <c r="O106" s="76">
        <v>1.49</v>
      </c>
      <c r="P106" s="3">
        <v>3309</v>
      </c>
      <c r="Q106" s="76">
        <v>1.42</v>
      </c>
      <c r="R106" s="3">
        <v>3410</v>
      </c>
      <c r="S106" s="76">
        <v>1.38</v>
      </c>
      <c r="T106" s="3">
        <v>-1126</v>
      </c>
      <c r="U106" s="76">
        <v>-0.5</v>
      </c>
      <c r="V106" s="3">
        <v>-307</v>
      </c>
      <c r="W106" s="76">
        <v>-0.14000000000000001</v>
      </c>
      <c r="X106" s="3">
        <v>4766</v>
      </c>
      <c r="Y106" s="76">
        <v>1.94</v>
      </c>
      <c r="Z106" s="88">
        <f t="shared" si="25"/>
        <v>32295</v>
      </c>
      <c r="AA106" s="58">
        <f t="shared" si="26"/>
        <v>13.15</v>
      </c>
    </row>
    <row r="107" spans="1:27" x14ac:dyDescent="0.25">
      <c r="A107" s="14" t="s">
        <v>35</v>
      </c>
      <c r="B107" s="66" cm="1">
        <f t="array" ref="B107:Y107">_xlfn.XLOOKUP(A107,'P&amp;L Trending Data'!A108:A248,'P&amp;L Trending Data'!B108:Y248)</f>
        <v>31194</v>
      </c>
      <c r="C107" s="67">
        <v>12.16</v>
      </c>
      <c r="D107" s="66">
        <v>50470</v>
      </c>
      <c r="E107" s="67">
        <v>21.02</v>
      </c>
      <c r="F107" s="66">
        <v>61677</v>
      </c>
      <c r="G107" s="8">
        <v>23.79</v>
      </c>
      <c r="H107" s="66">
        <v>50563</v>
      </c>
      <c r="I107" s="8">
        <v>22.44</v>
      </c>
      <c r="J107" s="66">
        <v>58548</v>
      </c>
      <c r="K107" s="8">
        <v>23.74</v>
      </c>
      <c r="L107" s="66">
        <v>53571</v>
      </c>
      <c r="M107" s="8">
        <v>23.19</v>
      </c>
      <c r="N107" s="66">
        <v>56207</v>
      </c>
      <c r="O107" s="8">
        <v>23.67</v>
      </c>
      <c r="P107" s="66">
        <v>49458</v>
      </c>
      <c r="Q107" s="8">
        <v>21.16</v>
      </c>
      <c r="R107" s="66">
        <v>49454</v>
      </c>
      <c r="S107" s="8">
        <v>20.09</v>
      </c>
      <c r="T107" s="66">
        <v>41549</v>
      </c>
      <c r="U107" s="8">
        <v>18.32</v>
      </c>
      <c r="V107" s="66">
        <v>48667</v>
      </c>
      <c r="W107" s="8">
        <v>22.69</v>
      </c>
      <c r="X107" s="66">
        <v>59844</v>
      </c>
      <c r="Y107" s="8">
        <v>24.42</v>
      </c>
      <c r="Z107" s="82">
        <f t="shared" si="25"/>
        <v>611202</v>
      </c>
      <c r="AA107" s="55">
        <f t="shared" si="26"/>
        <v>256.69</v>
      </c>
    </row>
    <row r="108" spans="1:27" x14ac:dyDescent="0.25">
      <c r="A108" s="12" t="s">
        <v>36</v>
      </c>
      <c r="B108" s="2"/>
      <c r="C108" s="46"/>
      <c r="D108" s="2"/>
      <c r="E108" s="46"/>
      <c r="F108" s="2"/>
      <c r="G108" s="46"/>
      <c r="H108" s="2"/>
      <c r="I108" s="46"/>
      <c r="J108" s="2"/>
      <c r="K108" s="46"/>
      <c r="L108" s="2"/>
      <c r="M108" s="46"/>
      <c r="N108" s="2"/>
      <c r="O108" s="46"/>
      <c r="P108" s="2"/>
      <c r="Q108" s="46"/>
      <c r="R108" s="2"/>
      <c r="S108" s="46"/>
      <c r="T108" s="2"/>
      <c r="U108" s="46"/>
      <c r="V108" s="2"/>
      <c r="W108" s="46"/>
      <c r="X108" s="2"/>
      <c r="Y108" s="46"/>
      <c r="Z108" s="84"/>
      <c r="AA108" s="23"/>
    </row>
    <row r="109" spans="1:27" x14ac:dyDescent="0.25">
      <c r="A109" s="14" t="s">
        <v>190</v>
      </c>
      <c r="B109" s="3" cm="1">
        <f t="array" ref="B109:Y109">_xlfn.XLOOKUP(A109,'P&amp;L Trending Data'!A110:A250,'P&amp;L Trending Data'!B110:Y250)</f>
        <v>12143</v>
      </c>
      <c r="C109" s="76">
        <v>4.7300000000000004</v>
      </c>
      <c r="D109" s="3">
        <v>10719</v>
      </c>
      <c r="E109" s="76">
        <v>4.46</v>
      </c>
      <c r="F109" s="3">
        <v>10354</v>
      </c>
      <c r="G109" s="76">
        <v>3.99</v>
      </c>
      <c r="H109" s="3">
        <v>12475</v>
      </c>
      <c r="I109" s="76">
        <v>5.54</v>
      </c>
      <c r="J109" s="3">
        <v>12135</v>
      </c>
      <c r="K109" s="76">
        <v>4.92</v>
      </c>
      <c r="L109" s="3">
        <v>12059</v>
      </c>
      <c r="M109" s="76">
        <v>5.22</v>
      </c>
      <c r="N109" s="3">
        <v>11541</v>
      </c>
      <c r="O109" s="76">
        <v>4.8600000000000003</v>
      </c>
      <c r="P109" s="3">
        <v>12268</v>
      </c>
      <c r="Q109" s="76">
        <v>5.25</v>
      </c>
      <c r="R109" s="3">
        <v>10491</v>
      </c>
      <c r="S109" s="76">
        <v>4.26</v>
      </c>
      <c r="T109" s="3">
        <v>12133</v>
      </c>
      <c r="U109" s="76">
        <v>5.35</v>
      </c>
      <c r="V109" s="3">
        <v>10847</v>
      </c>
      <c r="W109" s="76">
        <v>5.0599999999999996</v>
      </c>
      <c r="X109" s="3">
        <v>23449</v>
      </c>
      <c r="Y109" s="76">
        <v>9.57</v>
      </c>
      <c r="Z109" s="87">
        <f t="shared" ref="Z109:Z132" si="27">B109+D109+F109+H109+J109+L109+N109+P109+R109+T109+V109+X109</f>
        <v>150614</v>
      </c>
      <c r="AA109" s="24">
        <f t="shared" ref="AA109:AA133" si="28">C109+E109+G109+I109+K109+M109+O109+Q109+S109+U109+W109+Y109</f>
        <v>63.21</v>
      </c>
    </row>
    <row r="110" spans="1:27" x14ac:dyDescent="0.25">
      <c r="A110" s="14" t="s">
        <v>191</v>
      </c>
      <c r="B110" s="3" cm="1">
        <f t="array" ref="B110:Y110">_xlfn.XLOOKUP(A110,'P&amp;L Trending Data'!A111:A251,'P&amp;L Trending Data'!B111:Y251)</f>
        <v>6021</v>
      </c>
      <c r="C110" s="76">
        <v>2.35</v>
      </c>
      <c r="D110" s="3">
        <v>6629</v>
      </c>
      <c r="E110" s="76">
        <v>2.76</v>
      </c>
      <c r="F110" s="3">
        <v>9495</v>
      </c>
      <c r="G110" s="76">
        <v>3.66</v>
      </c>
      <c r="H110" s="3">
        <v>7342</v>
      </c>
      <c r="I110" s="76">
        <v>3.26</v>
      </c>
      <c r="J110" s="3">
        <v>7915</v>
      </c>
      <c r="K110" s="76">
        <v>3.21</v>
      </c>
      <c r="L110" s="3">
        <v>11168</v>
      </c>
      <c r="M110" s="76">
        <v>4.83</v>
      </c>
      <c r="N110" s="3">
        <v>6978</v>
      </c>
      <c r="O110" s="76">
        <v>2.94</v>
      </c>
      <c r="P110" s="3">
        <v>9585</v>
      </c>
      <c r="Q110" s="76">
        <v>4.0999999999999996</v>
      </c>
      <c r="R110" s="3">
        <v>9165</v>
      </c>
      <c r="S110" s="76">
        <v>3.72</v>
      </c>
      <c r="T110" s="3">
        <v>9333</v>
      </c>
      <c r="U110" s="76">
        <v>4.12</v>
      </c>
      <c r="V110" s="3">
        <v>8737</v>
      </c>
      <c r="W110" s="76">
        <v>4.07</v>
      </c>
      <c r="X110" s="3">
        <v>8725</v>
      </c>
      <c r="Y110" s="76">
        <v>3.56</v>
      </c>
      <c r="Z110" s="87">
        <f t="shared" si="27"/>
        <v>101093</v>
      </c>
      <c r="AA110" s="24">
        <f t="shared" si="28"/>
        <v>42.58</v>
      </c>
    </row>
    <row r="111" spans="1:27" x14ac:dyDescent="0.25">
      <c r="A111" s="14" t="s">
        <v>192</v>
      </c>
      <c r="B111" s="5" cm="1">
        <f t="array" ref="B111:Y111">_xlfn.XLOOKUP(A111,'P&amp;L Trending Data'!A112:A252,'P&amp;L Trending Data'!B112:Y252)</f>
        <v>0</v>
      </c>
      <c r="C111" s="76">
        <v>0</v>
      </c>
      <c r="D111" s="5">
        <v>0</v>
      </c>
      <c r="E111" s="76">
        <v>0</v>
      </c>
      <c r="F111" s="5">
        <v>0</v>
      </c>
      <c r="G111" s="76">
        <v>0</v>
      </c>
      <c r="H111" s="5">
        <v>0</v>
      </c>
      <c r="I111" s="76">
        <v>0</v>
      </c>
      <c r="J111" s="5">
        <v>0</v>
      </c>
      <c r="K111" s="76">
        <v>0</v>
      </c>
      <c r="L111" s="5">
        <v>0</v>
      </c>
      <c r="M111" s="76">
        <v>0</v>
      </c>
      <c r="N111" s="5">
        <v>0</v>
      </c>
      <c r="O111" s="76">
        <v>0</v>
      </c>
      <c r="P111" s="5">
        <v>0</v>
      </c>
      <c r="Q111" s="76">
        <v>0</v>
      </c>
      <c r="R111" s="5">
        <v>0</v>
      </c>
      <c r="S111" s="76">
        <v>0</v>
      </c>
      <c r="T111" s="5">
        <v>0</v>
      </c>
      <c r="U111" s="76">
        <v>0</v>
      </c>
      <c r="V111" s="5">
        <v>0</v>
      </c>
      <c r="W111" s="76">
        <v>0</v>
      </c>
      <c r="X111" s="5">
        <v>0</v>
      </c>
      <c r="Y111" s="76">
        <v>0</v>
      </c>
      <c r="Z111" s="87">
        <f t="shared" si="27"/>
        <v>0</v>
      </c>
      <c r="AA111" s="24">
        <f t="shared" si="28"/>
        <v>0</v>
      </c>
    </row>
    <row r="112" spans="1:27" x14ac:dyDescent="0.25">
      <c r="A112" s="14" t="s">
        <v>193</v>
      </c>
      <c r="B112" s="3" cm="1">
        <f t="array" ref="B112:Y112">_xlfn.XLOOKUP(A112,'P&amp;L Trending Data'!A113:A253,'P&amp;L Trending Data'!B113:Y253)</f>
        <v>850</v>
      </c>
      <c r="C112" s="76">
        <v>0.33</v>
      </c>
      <c r="D112" s="3">
        <v>850</v>
      </c>
      <c r="E112" s="76">
        <v>0.35</v>
      </c>
      <c r="F112" s="5">
        <v>850</v>
      </c>
      <c r="G112" s="76">
        <v>0.33</v>
      </c>
      <c r="H112" s="5">
        <v>1942</v>
      </c>
      <c r="I112" s="76">
        <v>0.86</v>
      </c>
      <c r="J112" s="5">
        <v>850</v>
      </c>
      <c r="K112" s="76">
        <v>0.34</v>
      </c>
      <c r="L112" s="5">
        <v>850</v>
      </c>
      <c r="M112" s="76">
        <v>0.37</v>
      </c>
      <c r="N112" s="5">
        <v>850</v>
      </c>
      <c r="O112" s="76">
        <v>0.36</v>
      </c>
      <c r="P112" s="5">
        <v>850</v>
      </c>
      <c r="Q112" s="76">
        <v>0.36</v>
      </c>
      <c r="R112" s="5">
        <v>850</v>
      </c>
      <c r="S112" s="76">
        <v>0.35</v>
      </c>
      <c r="T112" s="5">
        <v>850</v>
      </c>
      <c r="U112" s="76">
        <v>0.37</v>
      </c>
      <c r="V112" s="5">
        <v>850</v>
      </c>
      <c r="W112" s="76">
        <v>0.4</v>
      </c>
      <c r="X112" s="5">
        <v>850</v>
      </c>
      <c r="Y112" s="76">
        <v>0.35</v>
      </c>
      <c r="Z112" s="87">
        <f t="shared" si="27"/>
        <v>11292</v>
      </c>
      <c r="AA112" s="24">
        <f t="shared" si="28"/>
        <v>4.7699999999999996</v>
      </c>
    </row>
    <row r="113" spans="1:27" x14ac:dyDescent="0.25">
      <c r="A113" s="14" t="s">
        <v>194</v>
      </c>
      <c r="B113" s="3" cm="1">
        <f t="array" ref="B113:Y113">_xlfn.XLOOKUP(A113,'P&amp;L Trending Data'!A114:A254,'P&amp;L Trending Data'!B114:Y254)</f>
        <v>5665</v>
      </c>
      <c r="C113" s="76">
        <v>2.21</v>
      </c>
      <c r="D113" s="3">
        <v>0</v>
      </c>
      <c r="E113" s="76">
        <v>0</v>
      </c>
      <c r="F113" s="3">
        <v>0</v>
      </c>
      <c r="G113" s="76">
        <v>0</v>
      </c>
      <c r="H113" s="3">
        <v>16995</v>
      </c>
      <c r="I113" s="76">
        <v>7.54</v>
      </c>
      <c r="J113" s="3">
        <v>5665</v>
      </c>
      <c r="K113" s="76">
        <v>2.2999999999999998</v>
      </c>
      <c r="L113" s="3">
        <v>5665</v>
      </c>
      <c r="M113" s="76">
        <v>2.4500000000000002</v>
      </c>
      <c r="N113" s="3">
        <v>6165</v>
      </c>
      <c r="O113" s="76">
        <v>2.6</v>
      </c>
      <c r="P113" s="3">
        <v>5665</v>
      </c>
      <c r="Q113" s="76">
        <v>2.42</v>
      </c>
      <c r="R113" s="3">
        <v>5665</v>
      </c>
      <c r="S113" s="76">
        <v>2.2999999999999998</v>
      </c>
      <c r="T113" s="3">
        <v>5665</v>
      </c>
      <c r="U113" s="76">
        <v>2.5</v>
      </c>
      <c r="V113" s="3">
        <v>5665</v>
      </c>
      <c r="W113" s="76">
        <v>2.64</v>
      </c>
      <c r="X113" s="3">
        <v>5665</v>
      </c>
      <c r="Y113" s="76">
        <v>2.31</v>
      </c>
      <c r="Z113" s="87">
        <f t="shared" si="27"/>
        <v>68480</v>
      </c>
      <c r="AA113" s="24">
        <f t="shared" si="28"/>
        <v>29.270000000000003</v>
      </c>
    </row>
    <row r="114" spans="1:27" x14ac:dyDescent="0.25">
      <c r="A114" s="14" t="s">
        <v>195</v>
      </c>
      <c r="B114" s="3" cm="1">
        <f t="array" ref="B114:Y114">_xlfn.XLOOKUP(A114,'P&amp;L Trending Data'!A115:A255,'P&amp;L Trending Data'!B115:Y255)</f>
        <v>1269</v>
      </c>
      <c r="C114" s="76">
        <v>0.49</v>
      </c>
      <c r="D114" s="3">
        <v>1041</v>
      </c>
      <c r="E114" s="76">
        <v>0.43</v>
      </c>
      <c r="F114" s="5">
        <v>804</v>
      </c>
      <c r="G114" s="76">
        <v>0.31</v>
      </c>
      <c r="H114" s="5">
        <v>1128</v>
      </c>
      <c r="I114" s="76">
        <v>0.5</v>
      </c>
      <c r="J114" s="5">
        <v>852</v>
      </c>
      <c r="K114" s="76">
        <v>0.35</v>
      </c>
      <c r="L114" s="5">
        <v>814</v>
      </c>
      <c r="M114" s="76">
        <v>0.35</v>
      </c>
      <c r="N114" s="5">
        <v>1956</v>
      </c>
      <c r="O114" s="76">
        <v>0.82</v>
      </c>
      <c r="P114" s="5">
        <v>767</v>
      </c>
      <c r="Q114" s="76">
        <v>0.33</v>
      </c>
      <c r="R114" s="5">
        <v>749</v>
      </c>
      <c r="S114" s="76">
        <v>0.3</v>
      </c>
      <c r="T114" s="5">
        <v>899</v>
      </c>
      <c r="U114" s="76">
        <v>0.4</v>
      </c>
      <c r="V114" s="5">
        <v>476</v>
      </c>
      <c r="W114" s="76">
        <v>0.22</v>
      </c>
      <c r="X114" s="5">
        <v>955</v>
      </c>
      <c r="Y114" s="76">
        <v>0.39</v>
      </c>
      <c r="Z114" s="87">
        <f t="shared" si="27"/>
        <v>11710</v>
      </c>
      <c r="AA114" s="24">
        <f t="shared" si="28"/>
        <v>4.8899999999999997</v>
      </c>
    </row>
    <row r="115" spans="1:27" x14ac:dyDescent="0.25">
      <c r="A115" s="14" t="s">
        <v>196</v>
      </c>
      <c r="B115" s="5" cm="1">
        <f t="array" ref="B115:Y115">_xlfn.XLOOKUP(A115,'P&amp;L Trending Data'!A116:A256,'P&amp;L Trending Data'!B116:Y256)</f>
        <v>1449</v>
      </c>
      <c r="C115" s="76">
        <v>0.56000000000000005</v>
      </c>
      <c r="D115" s="5">
        <v>1216</v>
      </c>
      <c r="E115" s="76">
        <v>0.51</v>
      </c>
      <c r="F115" s="3">
        <v>1056</v>
      </c>
      <c r="G115" s="76">
        <v>0.41</v>
      </c>
      <c r="H115" s="3">
        <v>1298</v>
      </c>
      <c r="I115" s="76">
        <v>0.57999999999999996</v>
      </c>
      <c r="J115" s="3">
        <v>769</v>
      </c>
      <c r="K115" s="76">
        <v>0.31</v>
      </c>
      <c r="L115" s="3">
        <v>1138</v>
      </c>
      <c r="M115" s="76">
        <v>0.49</v>
      </c>
      <c r="N115" s="3">
        <v>986</v>
      </c>
      <c r="O115" s="76">
        <v>0.42</v>
      </c>
      <c r="P115" s="3">
        <v>10706</v>
      </c>
      <c r="Q115" s="76">
        <v>4.58</v>
      </c>
      <c r="R115" s="3">
        <v>4629</v>
      </c>
      <c r="S115" s="76">
        <v>1.88</v>
      </c>
      <c r="T115" s="3">
        <v>3651</v>
      </c>
      <c r="U115" s="76">
        <v>1.61</v>
      </c>
      <c r="V115" s="3">
        <v>1326</v>
      </c>
      <c r="W115" s="76">
        <v>0.62</v>
      </c>
      <c r="X115" s="3">
        <v>1497</v>
      </c>
      <c r="Y115" s="76">
        <v>0.61</v>
      </c>
      <c r="Z115" s="87">
        <f t="shared" si="27"/>
        <v>29721</v>
      </c>
      <c r="AA115" s="24">
        <f t="shared" si="28"/>
        <v>12.579999999999998</v>
      </c>
    </row>
    <row r="116" spans="1:27" x14ac:dyDescent="0.25">
      <c r="A116" s="14" t="s">
        <v>197</v>
      </c>
      <c r="B116" s="5" cm="1">
        <f t="array" ref="B116:Y116">_xlfn.XLOOKUP(A116,'P&amp;L Trending Data'!A117:A257,'P&amp;L Trending Data'!B117:Y257)</f>
        <v>0</v>
      </c>
      <c r="C116" s="76">
        <v>0</v>
      </c>
      <c r="D116" s="5">
        <v>0</v>
      </c>
      <c r="E116" s="76">
        <v>0</v>
      </c>
      <c r="F116" s="5">
        <v>0</v>
      </c>
      <c r="G116" s="76">
        <v>0</v>
      </c>
      <c r="H116" s="5">
        <v>0</v>
      </c>
      <c r="I116" s="76">
        <v>0</v>
      </c>
      <c r="J116" s="5">
        <v>0</v>
      </c>
      <c r="K116" s="76">
        <v>0</v>
      </c>
      <c r="L116" s="5">
        <v>0</v>
      </c>
      <c r="M116" s="76">
        <v>0</v>
      </c>
      <c r="N116" s="5">
        <v>0</v>
      </c>
      <c r="O116" s="76">
        <v>0</v>
      </c>
      <c r="P116" s="5">
        <v>0</v>
      </c>
      <c r="Q116" s="76">
        <v>0</v>
      </c>
      <c r="R116" s="5">
        <v>0</v>
      </c>
      <c r="S116" s="76">
        <v>0</v>
      </c>
      <c r="T116" s="5">
        <v>0</v>
      </c>
      <c r="U116" s="76">
        <v>0</v>
      </c>
      <c r="V116" s="5">
        <v>0</v>
      </c>
      <c r="W116" s="76">
        <v>0</v>
      </c>
      <c r="X116" s="5">
        <v>0</v>
      </c>
      <c r="Y116" s="76">
        <v>0</v>
      </c>
      <c r="Z116" s="87">
        <f t="shared" si="27"/>
        <v>0</v>
      </c>
      <c r="AA116" s="24">
        <f t="shared" si="28"/>
        <v>0</v>
      </c>
    </row>
    <row r="117" spans="1:27" x14ac:dyDescent="0.25">
      <c r="A117" s="14" t="s">
        <v>198</v>
      </c>
      <c r="B117" s="5" cm="1">
        <f t="array" ref="B117:Y117">_xlfn.XLOOKUP(A117,'P&amp;L Trending Data'!A118:A258,'P&amp;L Trending Data'!B118:Y258)</f>
        <v>359</v>
      </c>
      <c r="C117" s="76">
        <v>0.14000000000000001</v>
      </c>
      <c r="D117" s="5">
        <v>0</v>
      </c>
      <c r="E117" s="76">
        <v>0</v>
      </c>
      <c r="F117" s="5">
        <v>0</v>
      </c>
      <c r="G117" s="76">
        <v>0</v>
      </c>
      <c r="H117" s="5">
        <v>0</v>
      </c>
      <c r="I117" s="76">
        <v>0</v>
      </c>
      <c r="J117" s="5">
        <v>0</v>
      </c>
      <c r="K117" s="76">
        <v>0</v>
      </c>
      <c r="L117" s="5">
        <v>0</v>
      </c>
      <c r="M117" s="76">
        <v>0</v>
      </c>
      <c r="N117" s="5">
        <v>0</v>
      </c>
      <c r="O117" s="76">
        <v>0</v>
      </c>
      <c r="P117" s="5">
        <v>0</v>
      </c>
      <c r="Q117" s="76">
        <v>0</v>
      </c>
      <c r="R117" s="5">
        <v>0</v>
      </c>
      <c r="S117" s="76">
        <v>0</v>
      </c>
      <c r="T117" s="5">
        <v>195</v>
      </c>
      <c r="U117" s="76">
        <v>0.09</v>
      </c>
      <c r="V117" s="5">
        <v>0</v>
      </c>
      <c r="W117" s="76">
        <v>0</v>
      </c>
      <c r="X117" s="5">
        <v>177</v>
      </c>
      <c r="Y117" s="76">
        <v>7.0000000000000007E-2</v>
      </c>
      <c r="Z117" s="87">
        <f t="shared" si="27"/>
        <v>731</v>
      </c>
      <c r="AA117" s="24">
        <f t="shared" si="28"/>
        <v>0.30000000000000004</v>
      </c>
    </row>
    <row r="118" spans="1:27" x14ac:dyDescent="0.25">
      <c r="A118" s="14" t="s">
        <v>199</v>
      </c>
      <c r="B118" s="5" cm="1">
        <f t="array" ref="B118:Y118">_xlfn.XLOOKUP(A118,'P&amp;L Trending Data'!A119:A259,'P&amp;L Trending Data'!B119:Y259)</f>
        <v>1910</v>
      </c>
      <c r="C118" s="76">
        <v>0.74</v>
      </c>
      <c r="D118" s="5">
        <v>2589</v>
      </c>
      <c r="E118" s="76">
        <v>1.08</v>
      </c>
      <c r="F118" s="3">
        <v>2171</v>
      </c>
      <c r="G118" s="76">
        <v>0.84</v>
      </c>
      <c r="H118" s="3">
        <v>2121</v>
      </c>
      <c r="I118" s="76">
        <v>0.94</v>
      </c>
      <c r="J118" s="3">
        <v>1871</v>
      </c>
      <c r="K118" s="76">
        <v>0.76</v>
      </c>
      <c r="L118" s="3">
        <v>2376</v>
      </c>
      <c r="M118" s="76">
        <v>1.03</v>
      </c>
      <c r="N118" s="3">
        <v>2250</v>
      </c>
      <c r="O118" s="76">
        <v>0.95</v>
      </c>
      <c r="P118" s="3">
        <v>1735</v>
      </c>
      <c r="Q118" s="76">
        <v>0.74</v>
      </c>
      <c r="R118" s="3">
        <v>2576</v>
      </c>
      <c r="S118" s="76">
        <v>1.05</v>
      </c>
      <c r="T118" s="3">
        <v>1389</v>
      </c>
      <c r="U118" s="76">
        <v>0.61</v>
      </c>
      <c r="V118" s="3">
        <v>2967</v>
      </c>
      <c r="W118" s="76">
        <v>1.38</v>
      </c>
      <c r="X118" s="3">
        <v>2178</v>
      </c>
      <c r="Y118" s="76">
        <v>0.89</v>
      </c>
      <c r="Z118" s="87">
        <f t="shared" si="27"/>
        <v>26133</v>
      </c>
      <c r="AA118" s="24">
        <f t="shared" si="28"/>
        <v>11.010000000000002</v>
      </c>
    </row>
    <row r="119" spans="1:27" x14ac:dyDescent="0.25">
      <c r="A119" s="14" t="s">
        <v>200</v>
      </c>
      <c r="B119" s="5" cm="1">
        <f t="array" ref="B119:Y119">_xlfn.XLOOKUP(A119,'P&amp;L Trending Data'!A120:A260,'P&amp;L Trending Data'!B120:Y260)</f>
        <v>1324</v>
      </c>
      <c r="C119" s="76">
        <v>0.52</v>
      </c>
      <c r="D119" s="5">
        <v>3207</v>
      </c>
      <c r="E119" s="76">
        <v>1.34</v>
      </c>
      <c r="F119" s="5">
        <v>11293</v>
      </c>
      <c r="G119" s="76">
        <v>4.3600000000000003</v>
      </c>
      <c r="H119" s="5">
        <v>1207</v>
      </c>
      <c r="I119" s="76">
        <v>0.54</v>
      </c>
      <c r="J119" s="5">
        <v>1341</v>
      </c>
      <c r="K119" s="76">
        <v>0.54</v>
      </c>
      <c r="L119" s="5">
        <v>5718</v>
      </c>
      <c r="M119" s="76">
        <v>2.48</v>
      </c>
      <c r="N119" s="5">
        <v>1458</v>
      </c>
      <c r="O119" s="76">
        <v>0.61</v>
      </c>
      <c r="P119" s="5">
        <v>1341</v>
      </c>
      <c r="Q119" s="76">
        <v>0.56999999999999995</v>
      </c>
      <c r="R119" s="5">
        <v>1341</v>
      </c>
      <c r="S119" s="76">
        <v>0.54</v>
      </c>
      <c r="T119" s="5">
        <v>1509</v>
      </c>
      <c r="U119" s="76">
        <v>0.67</v>
      </c>
      <c r="V119" s="5">
        <v>1341</v>
      </c>
      <c r="W119" s="76">
        <v>0.63</v>
      </c>
      <c r="X119" s="5">
        <v>1341</v>
      </c>
      <c r="Y119" s="76">
        <v>0.55000000000000004</v>
      </c>
      <c r="Z119" s="87">
        <f t="shared" si="27"/>
        <v>32421</v>
      </c>
      <c r="AA119" s="24">
        <f t="shared" si="28"/>
        <v>13.350000000000001</v>
      </c>
    </row>
    <row r="120" spans="1:27" x14ac:dyDescent="0.25">
      <c r="A120" s="14" t="s">
        <v>201</v>
      </c>
      <c r="B120" s="3" cm="1">
        <f t="array" ref="B120:Y120">_xlfn.XLOOKUP(A120,'P&amp;L Trending Data'!A121:A261,'P&amp;L Trending Data'!B121:Y261)</f>
        <v>1539</v>
      </c>
      <c r="C120" s="76">
        <v>0.6</v>
      </c>
      <c r="D120" s="3">
        <v>1577</v>
      </c>
      <c r="E120" s="76">
        <v>0.66</v>
      </c>
      <c r="F120" s="3">
        <v>1742</v>
      </c>
      <c r="G120" s="76">
        <v>0.67</v>
      </c>
      <c r="H120" s="3">
        <v>1466</v>
      </c>
      <c r="I120" s="76">
        <v>0.65</v>
      </c>
      <c r="J120" s="3">
        <v>1494</v>
      </c>
      <c r="K120" s="76">
        <v>0.61</v>
      </c>
      <c r="L120" s="3">
        <v>1390</v>
      </c>
      <c r="M120" s="76">
        <v>0.6</v>
      </c>
      <c r="N120" s="3">
        <v>2088</v>
      </c>
      <c r="O120" s="76">
        <v>0.88</v>
      </c>
      <c r="P120" s="3">
        <v>1205</v>
      </c>
      <c r="Q120" s="76">
        <v>0.52</v>
      </c>
      <c r="R120" s="3">
        <v>1693</v>
      </c>
      <c r="S120" s="76">
        <v>0.69</v>
      </c>
      <c r="T120" s="3">
        <v>33</v>
      </c>
      <c r="U120" s="76">
        <v>0.01</v>
      </c>
      <c r="V120" s="3">
        <v>885</v>
      </c>
      <c r="W120" s="76">
        <v>0.41</v>
      </c>
      <c r="X120" s="3">
        <v>1200</v>
      </c>
      <c r="Y120" s="76">
        <v>0.49</v>
      </c>
      <c r="Z120" s="87">
        <f t="shared" si="27"/>
        <v>16312</v>
      </c>
      <c r="AA120" s="24">
        <f t="shared" si="28"/>
        <v>6.7899999999999991</v>
      </c>
    </row>
    <row r="121" spans="1:27" x14ac:dyDescent="0.25">
      <c r="A121" s="14" t="s">
        <v>202</v>
      </c>
      <c r="B121" s="5" cm="1">
        <f t="array" ref="B121:Y121">_xlfn.XLOOKUP(A121,'P&amp;L Trending Data'!A122:A262,'P&amp;L Trending Data'!B122:Y262)</f>
        <v>1676</v>
      </c>
      <c r="C121" s="76">
        <v>0.65</v>
      </c>
      <c r="D121" s="5">
        <v>1819</v>
      </c>
      <c r="E121" s="76">
        <v>0.76</v>
      </c>
      <c r="F121" s="5">
        <v>1578</v>
      </c>
      <c r="G121" s="76">
        <v>0.61</v>
      </c>
      <c r="H121" s="5">
        <v>1549</v>
      </c>
      <c r="I121" s="76">
        <v>0.69</v>
      </c>
      <c r="J121" s="5">
        <v>1625</v>
      </c>
      <c r="K121" s="76">
        <v>0.66</v>
      </c>
      <c r="L121" s="5">
        <v>1278</v>
      </c>
      <c r="M121" s="76">
        <v>0.55000000000000004</v>
      </c>
      <c r="N121" s="5">
        <v>1275</v>
      </c>
      <c r="O121" s="76">
        <v>0.54</v>
      </c>
      <c r="P121" s="5">
        <v>1656</v>
      </c>
      <c r="Q121" s="76">
        <v>0.71</v>
      </c>
      <c r="R121" s="5">
        <v>956</v>
      </c>
      <c r="S121" s="76">
        <v>0.39</v>
      </c>
      <c r="T121" s="5">
        <v>1431</v>
      </c>
      <c r="U121" s="76">
        <v>0.63</v>
      </c>
      <c r="V121" s="5">
        <v>1249</v>
      </c>
      <c r="W121" s="76">
        <v>0.57999999999999996</v>
      </c>
      <c r="X121" s="5">
        <v>1013</v>
      </c>
      <c r="Y121" s="76">
        <v>0.41</v>
      </c>
      <c r="Z121" s="87">
        <f t="shared" si="27"/>
        <v>17105</v>
      </c>
      <c r="AA121" s="24">
        <f t="shared" si="28"/>
        <v>7.18</v>
      </c>
    </row>
    <row r="122" spans="1:27" x14ac:dyDescent="0.25">
      <c r="A122" s="14" t="s">
        <v>203</v>
      </c>
      <c r="B122" s="5" cm="1">
        <f t="array" ref="B122:Y122">_xlfn.XLOOKUP(A122,'P&amp;L Trending Data'!A123:A263,'P&amp;L Trending Data'!B123:Y263)</f>
        <v>0</v>
      </c>
      <c r="C122" s="76">
        <v>0</v>
      </c>
      <c r="D122" s="5">
        <v>0</v>
      </c>
      <c r="E122" s="76">
        <v>0</v>
      </c>
      <c r="F122" s="5">
        <v>0</v>
      </c>
      <c r="G122" s="76">
        <v>0</v>
      </c>
      <c r="H122" s="5">
        <v>0</v>
      </c>
      <c r="I122" s="76">
        <v>0</v>
      </c>
      <c r="J122" s="5">
        <v>0</v>
      </c>
      <c r="K122" s="76">
        <v>0</v>
      </c>
      <c r="L122" s="5">
        <v>0</v>
      </c>
      <c r="M122" s="76">
        <v>0</v>
      </c>
      <c r="N122" s="5">
        <v>0</v>
      </c>
      <c r="O122" s="76">
        <v>0</v>
      </c>
      <c r="P122" s="5">
        <v>0</v>
      </c>
      <c r="Q122" s="76">
        <v>0</v>
      </c>
      <c r="R122" s="5">
        <v>0</v>
      </c>
      <c r="S122" s="76">
        <v>0</v>
      </c>
      <c r="T122" s="5">
        <v>0</v>
      </c>
      <c r="U122" s="76">
        <v>0</v>
      </c>
      <c r="V122" s="5">
        <v>0</v>
      </c>
      <c r="W122" s="76">
        <v>0</v>
      </c>
      <c r="X122" s="5">
        <v>0</v>
      </c>
      <c r="Y122" s="76">
        <v>0</v>
      </c>
      <c r="Z122" s="87">
        <f t="shared" si="27"/>
        <v>0</v>
      </c>
      <c r="AA122" s="24">
        <f t="shared" si="28"/>
        <v>0</v>
      </c>
    </row>
    <row r="123" spans="1:27" x14ac:dyDescent="0.25">
      <c r="A123" s="14" t="s">
        <v>204</v>
      </c>
      <c r="B123" s="5" cm="1">
        <f t="array" ref="B123:Y123">_xlfn.XLOOKUP(A123,'P&amp;L Trending Data'!A124:A264,'P&amp;L Trending Data'!B124:Y264)</f>
        <v>944</v>
      </c>
      <c r="C123" s="76">
        <v>0.37</v>
      </c>
      <c r="D123" s="5">
        <v>232</v>
      </c>
      <c r="E123" s="76">
        <v>0.1</v>
      </c>
      <c r="F123" s="5">
        <v>751</v>
      </c>
      <c r="G123" s="76">
        <v>0.28999999999999998</v>
      </c>
      <c r="H123" s="5">
        <v>753</v>
      </c>
      <c r="I123" s="76">
        <v>0.33</v>
      </c>
      <c r="J123" s="5">
        <v>42</v>
      </c>
      <c r="K123" s="76">
        <v>0.02</v>
      </c>
      <c r="L123" s="5">
        <v>740</v>
      </c>
      <c r="M123" s="76">
        <v>0.32</v>
      </c>
      <c r="N123" s="5">
        <v>230</v>
      </c>
      <c r="O123" s="76">
        <v>0.1</v>
      </c>
      <c r="P123" s="5">
        <v>217</v>
      </c>
      <c r="Q123" s="76">
        <v>0.09</v>
      </c>
      <c r="R123" s="5">
        <v>946</v>
      </c>
      <c r="S123" s="76">
        <v>0.38</v>
      </c>
      <c r="T123" s="5">
        <v>753</v>
      </c>
      <c r="U123" s="76">
        <v>0.33</v>
      </c>
      <c r="V123" s="5">
        <v>740</v>
      </c>
      <c r="W123" s="76">
        <v>0.35</v>
      </c>
      <c r="X123" s="5">
        <v>216</v>
      </c>
      <c r="Y123" s="76">
        <v>0.09</v>
      </c>
      <c r="Z123" s="87">
        <f t="shared" si="27"/>
        <v>6564</v>
      </c>
      <c r="AA123" s="24">
        <f t="shared" si="28"/>
        <v>2.7700000000000005</v>
      </c>
    </row>
    <row r="124" spans="1:27" x14ac:dyDescent="0.25">
      <c r="A124" s="14" t="s">
        <v>205</v>
      </c>
      <c r="B124" s="3" cm="1">
        <f t="array" ref="B124:Y124">_xlfn.XLOOKUP(A124,'P&amp;L Trending Data'!A125:A265,'P&amp;L Trending Data'!B125:Y265)</f>
        <v>48720</v>
      </c>
      <c r="C124" s="76">
        <v>18.989999999999998</v>
      </c>
      <c r="D124" s="3">
        <v>42893</v>
      </c>
      <c r="E124" s="76">
        <v>17.86</v>
      </c>
      <c r="F124" s="3">
        <v>49157</v>
      </c>
      <c r="G124" s="76">
        <v>18.96</v>
      </c>
      <c r="H124" s="3">
        <v>41701</v>
      </c>
      <c r="I124" s="76">
        <v>18.510000000000002</v>
      </c>
      <c r="J124" s="3">
        <v>45066</v>
      </c>
      <c r="K124" s="76">
        <v>18.27</v>
      </c>
      <c r="L124" s="3">
        <v>38273</v>
      </c>
      <c r="M124" s="76">
        <v>16.57</v>
      </c>
      <c r="N124" s="3">
        <v>43789</v>
      </c>
      <c r="O124" s="76">
        <v>18.440000000000001</v>
      </c>
      <c r="P124" s="3">
        <v>43332</v>
      </c>
      <c r="Q124" s="76">
        <v>18.54</v>
      </c>
      <c r="R124" s="3">
        <v>44923</v>
      </c>
      <c r="S124" s="76">
        <v>18.25</v>
      </c>
      <c r="T124" s="3">
        <v>39374</v>
      </c>
      <c r="U124" s="76">
        <v>17.36</v>
      </c>
      <c r="V124" s="3">
        <v>36912</v>
      </c>
      <c r="W124" s="76">
        <v>17.21</v>
      </c>
      <c r="X124" s="3">
        <v>44297</v>
      </c>
      <c r="Y124" s="76">
        <v>18.07</v>
      </c>
      <c r="Z124" s="87">
        <f t="shared" si="27"/>
        <v>518437</v>
      </c>
      <c r="AA124" s="24">
        <f t="shared" si="28"/>
        <v>217.03</v>
      </c>
    </row>
    <row r="125" spans="1:27" x14ac:dyDescent="0.25">
      <c r="A125" s="14" t="s">
        <v>206</v>
      </c>
      <c r="B125" s="3" cm="1">
        <f t="array" ref="B125:Y125">_xlfn.XLOOKUP(A125,'P&amp;L Trending Data'!A126:A266,'P&amp;L Trending Data'!B126:Y266)</f>
        <v>13078</v>
      </c>
      <c r="C125" s="76">
        <v>5.0999999999999996</v>
      </c>
      <c r="D125" s="3">
        <v>11778</v>
      </c>
      <c r="E125" s="76">
        <v>4.91</v>
      </c>
      <c r="F125" s="3">
        <v>12858</v>
      </c>
      <c r="G125" s="76">
        <v>4.96</v>
      </c>
      <c r="H125" s="3">
        <v>11778</v>
      </c>
      <c r="I125" s="76">
        <v>5.23</v>
      </c>
      <c r="J125" s="3">
        <v>12063</v>
      </c>
      <c r="K125" s="76">
        <v>4.8899999999999997</v>
      </c>
      <c r="L125" s="3">
        <v>11932</v>
      </c>
      <c r="M125" s="76">
        <v>5.17</v>
      </c>
      <c r="N125" s="3">
        <v>14788</v>
      </c>
      <c r="O125" s="76">
        <v>6.23</v>
      </c>
      <c r="P125" s="3">
        <v>11801</v>
      </c>
      <c r="Q125" s="76">
        <v>5.05</v>
      </c>
      <c r="R125" s="3">
        <v>11932</v>
      </c>
      <c r="S125" s="76">
        <v>4.8499999999999996</v>
      </c>
      <c r="T125" s="3">
        <v>11973</v>
      </c>
      <c r="U125" s="76">
        <v>5.28</v>
      </c>
      <c r="V125" s="3">
        <v>11973</v>
      </c>
      <c r="W125" s="76">
        <v>5.58</v>
      </c>
      <c r="X125" s="3">
        <v>11973</v>
      </c>
      <c r="Y125" s="76">
        <v>4.88</v>
      </c>
      <c r="Z125" s="87">
        <f t="shared" si="27"/>
        <v>147927</v>
      </c>
      <c r="AA125" s="24">
        <f t="shared" si="28"/>
        <v>62.129999999999995</v>
      </c>
    </row>
    <row r="126" spans="1:27" x14ac:dyDescent="0.25">
      <c r="A126" s="14" t="s">
        <v>207</v>
      </c>
      <c r="B126" s="3" cm="1">
        <f t="array" ref="B126:Y126">_xlfn.XLOOKUP(A126,'P&amp;L Trending Data'!A127:A267,'P&amp;L Trending Data'!B127:Y267)</f>
        <v>0</v>
      </c>
      <c r="C126" s="76">
        <v>0</v>
      </c>
      <c r="D126" s="3">
        <v>0</v>
      </c>
      <c r="E126" s="76">
        <v>0</v>
      </c>
      <c r="F126" s="5">
        <v>0</v>
      </c>
      <c r="G126" s="76">
        <v>0</v>
      </c>
      <c r="H126" s="5">
        <v>151</v>
      </c>
      <c r="I126" s="76">
        <v>7.0000000000000007E-2</v>
      </c>
      <c r="J126" s="5">
        <v>0</v>
      </c>
      <c r="K126" s="76">
        <v>0</v>
      </c>
      <c r="L126" s="5">
        <v>975</v>
      </c>
      <c r="M126" s="76">
        <v>0.42</v>
      </c>
      <c r="N126" s="5">
        <v>1763</v>
      </c>
      <c r="O126" s="76">
        <v>0.74</v>
      </c>
      <c r="P126" s="5">
        <v>0</v>
      </c>
      <c r="Q126" s="76">
        <v>0</v>
      </c>
      <c r="R126" s="5">
        <v>4343</v>
      </c>
      <c r="S126" s="76">
        <v>1.76</v>
      </c>
      <c r="T126" s="5">
        <v>4759</v>
      </c>
      <c r="U126" s="76">
        <v>2.1</v>
      </c>
      <c r="V126" s="5">
        <v>6427</v>
      </c>
      <c r="W126" s="76">
        <v>3</v>
      </c>
      <c r="X126" s="5">
        <v>20945</v>
      </c>
      <c r="Y126" s="76">
        <v>8.5500000000000007</v>
      </c>
      <c r="Z126" s="87">
        <f t="shared" si="27"/>
        <v>39363</v>
      </c>
      <c r="AA126" s="24">
        <f t="shared" si="28"/>
        <v>16.64</v>
      </c>
    </row>
    <row r="127" spans="1:27" x14ac:dyDescent="0.25">
      <c r="A127" s="14" t="s">
        <v>208</v>
      </c>
      <c r="B127" s="3" cm="1">
        <f t="array" ref="B127:Y127">_xlfn.XLOOKUP(A127,'P&amp;L Trending Data'!A128:A268,'P&amp;L Trending Data'!B128:Y268)</f>
        <v>5495</v>
      </c>
      <c r="C127" s="76">
        <v>2.14</v>
      </c>
      <c r="D127" s="3">
        <v>6629</v>
      </c>
      <c r="E127" s="76">
        <v>2.76</v>
      </c>
      <c r="F127" s="3">
        <v>5826</v>
      </c>
      <c r="G127" s="76">
        <v>2.25</v>
      </c>
      <c r="H127" s="3">
        <v>9278</v>
      </c>
      <c r="I127" s="76">
        <v>4.12</v>
      </c>
      <c r="J127" s="3">
        <v>5658</v>
      </c>
      <c r="K127" s="76">
        <v>2.29</v>
      </c>
      <c r="L127" s="3">
        <v>3987</v>
      </c>
      <c r="M127" s="76">
        <v>1.73</v>
      </c>
      <c r="N127" s="3">
        <v>5035</v>
      </c>
      <c r="O127" s="76">
        <v>2.12</v>
      </c>
      <c r="P127" s="3">
        <v>4099</v>
      </c>
      <c r="Q127" s="76">
        <v>1.75</v>
      </c>
      <c r="R127" s="3">
        <v>6327</v>
      </c>
      <c r="S127" s="76">
        <v>2.57</v>
      </c>
      <c r="T127" s="3">
        <v>5424</v>
      </c>
      <c r="U127" s="76">
        <v>2.39</v>
      </c>
      <c r="V127" s="3">
        <v>2573</v>
      </c>
      <c r="W127" s="76">
        <v>1.2</v>
      </c>
      <c r="X127" s="3">
        <v>4953</v>
      </c>
      <c r="Y127" s="76">
        <v>2.02</v>
      </c>
      <c r="Z127" s="87">
        <f t="shared" si="27"/>
        <v>65284</v>
      </c>
      <c r="AA127" s="24">
        <f t="shared" si="28"/>
        <v>27.34</v>
      </c>
    </row>
    <row r="128" spans="1:27" x14ac:dyDescent="0.25">
      <c r="A128" s="14" t="s">
        <v>209</v>
      </c>
      <c r="B128" s="3" cm="1">
        <f t="array" ref="B128:Y128">_xlfn.XLOOKUP(A128,'P&amp;L Trending Data'!A129:A269,'P&amp;L Trending Data'!B129:Y269)</f>
        <v>6283</v>
      </c>
      <c r="C128" s="76">
        <v>2.4500000000000002</v>
      </c>
      <c r="D128" s="3">
        <v>10616</v>
      </c>
      <c r="E128" s="76">
        <v>4.42</v>
      </c>
      <c r="F128" s="3">
        <v>9500</v>
      </c>
      <c r="G128" s="76">
        <v>3.66</v>
      </c>
      <c r="H128" s="3">
        <v>10662</v>
      </c>
      <c r="I128" s="76">
        <v>4.7300000000000004</v>
      </c>
      <c r="J128" s="3">
        <v>8944</v>
      </c>
      <c r="K128" s="76">
        <v>3.63</v>
      </c>
      <c r="L128" s="3">
        <v>9542</v>
      </c>
      <c r="M128" s="76">
        <v>4.13</v>
      </c>
      <c r="N128" s="3">
        <v>10146</v>
      </c>
      <c r="O128" s="76">
        <v>4.2699999999999996</v>
      </c>
      <c r="P128" s="3">
        <v>10289</v>
      </c>
      <c r="Q128" s="76">
        <v>4.4000000000000004</v>
      </c>
      <c r="R128" s="3">
        <v>9470</v>
      </c>
      <c r="S128" s="76">
        <v>3.85</v>
      </c>
      <c r="T128" s="3">
        <v>11812</v>
      </c>
      <c r="U128" s="76">
        <v>5.21</v>
      </c>
      <c r="V128" s="3">
        <v>10485</v>
      </c>
      <c r="W128" s="76">
        <v>4.8899999999999997</v>
      </c>
      <c r="X128" s="3">
        <v>11991</v>
      </c>
      <c r="Y128" s="76">
        <v>4.8899999999999997</v>
      </c>
      <c r="Z128" s="87">
        <f t="shared" si="27"/>
        <v>119740</v>
      </c>
      <c r="AA128" s="24">
        <f t="shared" si="28"/>
        <v>50.53</v>
      </c>
    </row>
    <row r="129" spans="1:27" x14ac:dyDescent="0.25">
      <c r="A129" s="14" t="s">
        <v>210</v>
      </c>
      <c r="B129" s="5" cm="1">
        <f t="array" ref="B129:Y129">_xlfn.XLOOKUP(A129,'P&amp;L Trending Data'!A130:A270,'P&amp;L Trending Data'!B130:Y270)</f>
        <v>0</v>
      </c>
      <c r="C129" s="76">
        <v>0</v>
      </c>
      <c r="D129" s="5">
        <v>0</v>
      </c>
      <c r="E129" s="76">
        <v>0</v>
      </c>
      <c r="F129" s="5">
        <v>0</v>
      </c>
      <c r="G129" s="76">
        <v>0</v>
      </c>
      <c r="H129" s="5">
        <v>0</v>
      </c>
      <c r="I129" s="76">
        <v>0</v>
      </c>
      <c r="J129" s="5">
        <v>0</v>
      </c>
      <c r="K129" s="76">
        <v>0</v>
      </c>
      <c r="L129" s="5">
        <v>0</v>
      </c>
      <c r="M129" s="76">
        <v>0</v>
      </c>
      <c r="N129" s="5">
        <v>0</v>
      </c>
      <c r="O129" s="76">
        <v>0</v>
      </c>
      <c r="P129" s="5">
        <v>0</v>
      </c>
      <c r="Q129" s="76">
        <v>0</v>
      </c>
      <c r="R129" s="5">
        <v>0</v>
      </c>
      <c r="S129" s="76">
        <v>0</v>
      </c>
      <c r="T129" s="5">
        <v>0</v>
      </c>
      <c r="U129" s="76">
        <v>0</v>
      </c>
      <c r="V129" s="5">
        <v>0</v>
      </c>
      <c r="W129" s="76">
        <v>0</v>
      </c>
      <c r="X129" s="5">
        <v>0</v>
      </c>
      <c r="Y129" s="76">
        <v>0</v>
      </c>
      <c r="Z129" s="87">
        <f t="shared" si="27"/>
        <v>0</v>
      </c>
      <c r="AA129" s="24">
        <f t="shared" si="28"/>
        <v>0</v>
      </c>
    </row>
    <row r="130" spans="1:27" x14ac:dyDescent="0.25">
      <c r="A130" s="14" t="s">
        <v>211</v>
      </c>
      <c r="B130" s="5" cm="1">
        <f t="array" ref="B130:Y130">_xlfn.XLOOKUP(A130,'P&amp;L Trending Data'!A131:A271,'P&amp;L Trending Data'!B131:Y271)</f>
        <v>85</v>
      </c>
      <c r="C130" s="76">
        <v>0.03</v>
      </c>
      <c r="D130" s="5">
        <v>233</v>
      </c>
      <c r="E130" s="76">
        <v>0.1</v>
      </c>
      <c r="F130" s="5">
        <v>9807</v>
      </c>
      <c r="G130" s="76">
        <v>3.78</v>
      </c>
      <c r="H130" s="5">
        <v>8</v>
      </c>
      <c r="I130" s="76">
        <v>0</v>
      </c>
      <c r="J130" s="5">
        <v>1843</v>
      </c>
      <c r="K130" s="76">
        <v>0.75</v>
      </c>
      <c r="L130" s="5">
        <v>20091</v>
      </c>
      <c r="M130" s="76">
        <v>8.6999999999999993</v>
      </c>
      <c r="N130" s="5">
        <v>890</v>
      </c>
      <c r="O130" s="76">
        <v>0.37</v>
      </c>
      <c r="P130" s="5">
        <v>65</v>
      </c>
      <c r="Q130" s="76">
        <v>0.03</v>
      </c>
      <c r="R130" s="5">
        <v>2904</v>
      </c>
      <c r="S130" s="76">
        <v>1.18</v>
      </c>
      <c r="T130" s="5">
        <v>2181</v>
      </c>
      <c r="U130" s="76">
        <v>0.96</v>
      </c>
      <c r="V130" s="5">
        <v>8148</v>
      </c>
      <c r="W130" s="76">
        <v>3.8</v>
      </c>
      <c r="X130" s="5">
        <v>213</v>
      </c>
      <c r="Y130" s="76">
        <v>0.09</v>
      </c>
      <c r="Z130" s="87">
        <f t="shared" si="27"/>
        <v>46468</v>
      </c>
      <c r="AA130" s="24">
        <f t="shared" si="28"/>
        <v>19.79</v>
      </c>
    </row>
    <row r="131" spans="1:27" x14ac:dyDescent="0.25">
      <c r="A131" s="14" t="s">
        <v>212</v>
      </c>
      <c r="B131" s="3" cm="1">
        <f t="array" ref="B131:Y131">_xlfn.XLOOKUP(A131,'P&amp;L Trending Data'!A132:A272,'P&amp;L Trending Data'!B132:Y272)</f>
        <v>0</v>
      </c>
      <c r="C131" s="76">
        <v>0</v>
      </c>
      <c r="D131" s="3">
        <v>0</v>
      </c>
      <c r="E131" s="76">
        <v>0</v>
      </c>
      <c r="F131" s="5">
        <v>0</v>
      </c>
      <c r="G131" s="76">
        <v>0</v>
      </c>
      <c r="H131" s="5">
        <v>0</v>
      </c>
      <c r="I131" s="76">
        <v>0</v>
      </c>
      <c r="J131" s="5">
        <v>0</v>
      </c>
      <c r="K131" s="76">
        <v>0</v>
      </c>
      <c r="L131" s="5">
        <v>0</v>
      </c>
      <c r="M131" s="76">
        <v>0</v>
      </c>
      <c r="N131" s="5">
        <v>0</v>
      </c>
      <c r="O131" s="76">
        <v>0</v>
      </c>
      <c r="P131" s="5">
        <v>0</v>
      </c>
      <c r="Q131" s="76">
        <v>0</v>
      </c>
      <c r="R131" s="5">
        <v>0</v>
      </c>
      <c r="S131" s="76">
        <v>0</v>
      </c>
      <c r="T131" s="5">
        <v>0</v>
      </c>
      <c r="U131" s="76">
        <v>0</v>
      </c>
      <c r="V131" s="5">
        <v>0</v>
      </c>
      <c r="W131" s="76">
        <v>0</v>
      </c>
      <c r="X131" s="5">
        <v>0</v>
      </c>
      <c r="Y131" s="76">
        <v>0</v>
      </c>
      <c r="Z131" s="87">
        <f t="shared" si="27"/>
        <v>0</v>
      </c>
      <c r="AA131" s="24">
        <f t="shared" si="28"/>
        <v>0</v>
      </c>
    </row>
    <row r="132" spans="1:27" x14ac:dyDescent="0.25">
      <c r="A132" s="14" t="s">
        <v>213</v>
      </c>
      <c r="B132" s="3" cm="1">
        <f t="array" ref="B132:Y132">_xlfn.XLOOKUP(A132,'P&amp;L Trending Data'!A133:A273,'P&amp;L Trending Data'!B133:Y273)</f>
        <v>34829</v>
      </c>
      <c r="C132" s="76">
        <v>13.57</v>
      </c>
      <c r="D132" s="3">
        <v>42403</v>
      </c>
      <c r="E132" s="76">
        <v>17.66</v>
      </c>
      <c r="F132" s="3">
        <v>42806</v>
      </c>
      <c r="G132" s="76">
        <v>16.510000000000002</v>
      </c>
      <c r="H132" s="3">
        <v>41350</v>
      </c>
      <c r="I132" s="76">
        <v>18.350000000000001</v>
      </c>
      <c r="J132" s="3">
        <v>39984</v>
      </c>
      <c r="K132" s="76">
        <v>16.21</v>
      </c>
      <c r="L132" s="3">
        <v>37341</v>
      </c>
      <c r="M132" s="76">
        <v>16.16</v>
      </c>
      <c r="N132" s="3">
        <v>38909</v>
      </c>
      <c r="O132" s="76">
        <v>16.38</v>
      </c>
      <c r="P132" s="3">
        <v>35750</v>
      </c>
      <c r="Q132" s="76">
        <v>15.3</v>
      </c>
      <c r="R132" s="3">
        <v>40454</v>
      </c>
      <c r="S132" s="76">
        <v>16.43</v>
      </c>
      <c r="T132" s="3">
        <v>38909</v>
      </c>
      <c r="U132" s="76">
        <v>17.16</v>
      </c>
      <c r="V132" s="3">
        <v>38259</v>
      </c>
      <c r="W132" s="76">
        <v>17.84</v>
      </c>
      <c r="X132" s="3">
        <v>38147</v>
      </c>
      <c r="Y132" s="76">
        <v>15.56</v>
      </c>
      <c r="Z132" s="87">
        <f t="shared" si="27"/>
        <v>469141</v>
      </c>
      <c r="AA132" s="24">
        <f t="shared" si="28"/>
        <v>197.13000000000002</v>
      </c>
    </row>
    <row r="133" spans="1:27" ht="14.95" thickBot="1" x14ac:dyDescent="0.3">
      <c r="A133" s="14" t="s">
        <v>214</v>
      </c>
      <c r="B133" s="3" cm="1">
        <f t="array" ref="B133:Y133">_xlfn.XLOOKUP(A133,'P&amp;L Trending Data'!A134:A274,'P&amp;L Trending Data'!B134:Y274)</f>
        <v>19068</v>
      </c>
      <c r="C133" s="76">
        <v>7.43</v>
      </c>
      <c r="D133" s="3">
        <v>16659</v>
      </c>
      <c r="E133" s="76">
        <v>6.94</v>
      </c>
      <c r="F133" s="3">
        <v>19039</v>
      </c>
      <c r="G133" s="76">
        <v>7.34</v>
      </c>
      <c r="H133" s="3">
        <v>16351</v>
      </c>
      <c r="I133" s="76">
        <v>7.26</v>
      </c>
      <c r="J133" s="3">
        <v>17593</v>
      </c>
      <c r="K133" s="76">
        <v>7.13</v>
      </c>
      <c r="L133" s="3">
        <v>16330</v>
      </c>
      <c r="M133" s="76">
        <v>7.07</v>
      </c>
      <c r="N133" s="3">
        <v>17164</v>
      </c>
      <c r="O133" s="76">
        <v>7.23</v>
      </c>
      <c r="P133" s="3">
        <v>16932</v>
      </c>
      <c r="Q133" s="76">
        <v>7.25</v>
      </c>
      <c r="R133" s="3">
        <v>17619</v>
      </c>
      <c r="S133" s="76">
        <v>7.16</v>
      </c>
      <c r="T133" s="3">
        <v>15381</v>
      </c>
      <c r="U133" s="76">
        <v>6.78</v>
      </c>
      <c r="V133" s="3">
        <v>14396</v>
      </c>
      <c r="W133" s="76">
        <v>6.71</v>
      </c>
      <c r="X133" s="3">
        <v>17385</v>
      </c>
      <c r="Y133" s="76">
        <v>7.09</v>
      </c>
      <c r="Z133" s="88">
        <f>B133+D133+F133+H133+J133+L133+N133+P133+R133+T133+V133+X133</f>
        <v>203917</v>
      </c>
      <c r="AA133" s="58">
        <f t="shared" si="28"/>
        <v>85.39</v>
      </c>
    </row>
    <row r="134" spans="1:27" x14ac:dyDescent="0.25">
      <c r="A134" s="14" t="s">
        <v>37</v>
      </c>
      <c r="B134" s="66" cm="1">
        <f t="array" ref="B134:Y134">_xlfn.XLOOKUP(A134,'P&amp;L Trending Data'!A135:A275,'P&amp;L Trending Data'!B135:Y275)</f>
        <v>162706</v>
      </c>
      <c r="C134" s="67">
        <v>63.41</v>
      </c>
      <c r="D134" s="66">
        <v>161090</v>
      </c>
      <c r="E134" s="67">
        <v>67.09</v>
      </c>
      <c r="F134" s="66">
        <v>189086</v>
      </c>
      <c r="G134" s="8">
        <v>72.92</v>
      </c>
      <c r="H134" s="66">
        <v>179555</v>
      </c>
      <c r="I134" s="8">
        <v>79.7</v>
      </c>
      <c r="J134" s="66">
        <v>165708</v>
      </c>
      <c r="K134" s="8">
        <v>67.2</v>
      </c>
      <c r="L134" s="66">
        <v>181669</v>
      </c>
      <c r="M134" s="8">
        <v>78.64</v>
      </c>
      <c r="N134" s="66">
        <v>168263</v>
      </c>
      <c r="O134" s="8">
        <v>70.849999999999994</v>
      </c>
      <c r="P134" s="66">
        <v>168263</v>
      </c>
      <c r="Q134" s="8">
        <v>72</v>
      </c>
      <c r="R134" s="66">
        <v>177035</v>
      </c>
      <c r="S134" s="8">
        <v>71.91</v>
      </c>
      <c r="T134" s="66">
        <v>167655</v>
      </c>
      <c r="U134" s="8">
        <v>73.92</v>
      </c>
      <c r="V134" s="66">
        <v>164255</v>
      </c>
      <c r="W134" s="8">
        <v>76.58</v>
      </c>
      <c r="X134" s="66">
        <v>197169</v>
      </c>
      <c r="Y134" s="8">
        <v>80.44</v>
      </c>
      <c r="Z134" s="82">
        <f>B134+D134+F134+H134+J134+L134+N134+P134+R134+T134+V134+X134</f>
        <v>2082454</v>
      </c>
      <c r="AA134" s="55">
        <f>C134+E134+G134+I134+K134+M134+O134+Q134+S134+U134+W134+Y134</f>
        <v>874.65999999999985</v>
      </c>
    </row>
    <row r="135" spans="1:27" x14ac:dyDescent="0.25">
      <c r="A135" s="12" t="s">
        <v>38</v>
      </c>
      <c r="B135" s="2"/>
      <c r="C135" s="46"/>
      <c r="D135" s="2"/>
      <c r="E135" s="46"/>
      <c r="F135" s="2"/>
      <c r="G135" s="46"/>
      <c r="H135" s="2"/>
      <c r="I135" s="46"/>
      <c r="J135" s="2"/>
      <c r="K135" s="46"/>
      <c r="L135" s="2"/>
      <c r="M135" s="46"/>
      <c r="N135" s="2"/>
      <c r="O135" s="46"/>
      <c r="P135" s="2"/>
      <c r="Q135" s="46"/>
      <c r="R135" s="2"/>
      <c r="S135" s="46"/>
      <c r="T135" s="2"/>
      <c r="U135" s="46"/>
      <c r="V135" s="2"/>
      <c r="W135" s="46"/>
      <c r="X135" s="2"/>
      <c r="Y135" s="46"/>
      <c r="Z135" s="84"/>
      <c r="AA135" s="23"/>
    </row>
    <row r="136" spans="1:27" x14ac:dyDescent="0.25">
      <c r="A136" s="14" t="s">
        <v>215</v>
      </c>
      <c r="B136" s="3" cm="1">
        <f t="array" ref="B136:Y136">_xlfn.XLOOKUP(A136,'P&amp;L Trending Data'!A137:A277,'P&amp;L Trending Data'!B137:Y277)</f>
        <v>59682</v>
      </c>
      <c r="C136" s="76">
        <v>23.26</v>
      </c>
      <c r="D136" s="3">
        <v>59682</v>
      </c>
      <c r="E136" s="76">
        <v>24.86</v>
      </c>
      <c r="F136" s="3">
        <v>59682</v>
      </c>
      <c r="G136" s="76">
        <v>23.02</v>
      </c>
      <c r="H136" s="3">
        <v>59682</v>
      </c>
      <c r="I136" s="76">
        <v>26.49</v>
      </c>
      <c r="J136" s="3">
        <v>59682</v>
      </c>
      <c r="K136" s="76">
        <v>24.2</v>
      </c>
      <c r="L136" s="3">
        <v>59682</v>
      </c>
      <c r="M136" s="76">
        <v>25.84</v>
      </c>
      <c r="N136" s="3">
        <v>60312</v>
      </c>
      <c r="O136" s="76">
        <v>25.39</v>
      </c>
      <c r="P136" s="3">
        <v>61473</v>
      </c>
      <c r="Q136" s="76">
        <v>26.3</v>
      </c>
      <c r="R136" s="3">
        <v>61473</v>
      </c>
      <c r="S136" s="76">
        <v>24.97</v>
      </c>
      <c r="T136" s="3">
        <v>54545</v>
      </c>
      <c r="U136" s="76">
        <v>24.05</v>
      </c>
      <c r="V136" s="3">
        <v>54545</v>
      </c>
      <c r="W136" s="76">
        <v>25.43</v>
      </c>
      <c r="X136" s="3">
        <v>54545</v>
      </c>
      <c r="Y136" s="76">
        <v>22.25</v>
      </c>
      <c r="Z136" s="87">
        <f t="shared" ref="Z136:Z144" si="29">B136+D136+F136+H136+J136+L136+N136+P136+R136+T136+V136+X136</f>
        <v>704985</v>
      </c>
      <c r="AA136" s="24">
        <f t="shared" ref="AA136:AA144" si="30">C136+E136+G136+I136+K136+M136+O136+Q136+S136+U136+W136+Y136</f>
        <v>296.06</v>
      </c>
    </row>
    <row r="137" spans="1:27" x14ac:dyDescent="0.25">
      <c r="A137" s="14" t="s">
        <v>216</v>
      </c>
      <c r="B137" s="3" cm="1">
        <f t="array" ref="B137:Y137">_xlfn.XLOOKUP(A137,'P&amp;L Trending Data'!A138:A278,'P&amp;L Trending Data'!B138:Y278)</f>
        <v>4421</v>
      </c>
      <c r="C137" s="76">
        <v>1.72</v>
      </c>
      <c r="D137" s="3">
        <v>4421</v>
      </c>
      <c r="E137" s="76">
        <v>1.84</v>
      </c>
      <c r="F137" s="3">
        <v>4421</v>
      </c>
      <c r="G137" s="76">
        <v>1.71</v>
      </c>
      <c r="H137" s="3">
        <v>4421</v>
      </c>
      <c r="I137" s="76">
        <v>1.96</v>
      </c>
      <c r="J137" s="3">
        <v>4421</v>
      </c>
      <c r="K137" s="76">
        <v>1.79</v>
      </c>
      <c r="L137" s="3">
        <v>4421</v>
      </c>
      <c r="M137" s="76">
        <v>1.91</v>
      </c>
      <c r="N137" s="3">
        <v>4357</v>
      </c>
      <c r="O137" s="76">
        <v>1.83</v>
      </c>
      <c r="P137" s="3">
        <v>4357</v>
      </c>
      <c r="Q137" s="76">
        <v>1.86</v>
      </c>
      <c r="R137" s="3">
        <v>4357</v>
      </c>
      <c r="S137" s="76">
        <v>1.77</v>
      </c>
      <c r="T137" s="3">
        <v>4574</v>
      </c>
      <c r="U137" s="76">
        <v>2.02</v>
      </c>
      <c r="V137" s="3">
        <v>4574</v>
      </c>
      <c r="W137" s="76">
        <v>2.13</v>
      </c>
      <c r="X137" s="3">
        <v>4574</v>
      </c>
      <c r="Y137" s="76">
        <v>1.87</v>
      </c>
      <c r="Z137" s="87">
        <f t="shared" si="29"/>
        <v>53319</v>
      </c>
      <c r="AA137" s="24">
        <f t="shared" si="30"/>
        <v>22.41</v>
      </c>
    </row>
    <row r="138" spans="1:27" x14ac:dyDescent="0.25">
      <c r="A138" s="14" t="s">
        <v>217</v>
      </c>
      <c r="B138" s="3" cm="1">
        <f t="array" ref="B138:Y138">_xlfn.XLOOKUP(A138,'P&amp;L Trending Data'!A139:A279,'P&amp;L Trending Data'!B139:Y279)</f>
        <v>2724</v>
      </c>
      <c r="C138" s="76">
        <v>1.06</v>
      </c>
      <c r="D138" s="3">
        <v>2724</v>
      </c>
      <c r="E138" s="76">
        <v>1.1299999999999999</v>
      </c>
      <c r="F138" s="3">
        <v>2724</v>
      </c>
      <c r="G138" s="76">
        <v>1.05</v>
      </c>
      <c r="H138" s="3">
        <v>2724</v>
      </c>
      <c r="I138" s="76">
        <v>1.21</v>
      </c>
      <c r="J138" s="3">
        <v>2724</v>
      </c>
      <c r="K138" s="76">
        <v>1.1000000000000001</v>
      </c>
      <c r="L138" s="3">
        <v>2724</v>
      </c>
      <c r="M138" s="76">
        <v>1.18</v>
      </c>
      <c r="N138" s="3">
        <v>3461</v>
      </c>
      <c r="O138" s="76">
        <v>1.46</v>
      </c>
      <c r="P138" s="3">
        <v>3461</v>
      </c>
      <c r="Q138" s="76">
        <v>1.48</v>
      </c>
      <c r="R138" s="3">
        <v>3461</v>
      </c>
      <c r="S138" s="76">
        <v>1.41</v>
      </c>
      <c r="T138" s="3">
        <v>3461</v>
      </c>
      <c r="U138" s="76">
        <v>1.53</v>
      </c>
      <c r="V138" s="3">
        <v>3461</v>
      </c>
      <c r="W138" s="76">
        <v>1.61</v>
      </c>
      <c r="X138" s="3">
        <v>3461</v>
      </c>
      <c r="Y138" s="76">
        <v>1.41</v>
      </c>
      <c r="Z138" s="87">
        <f t="shared" si="29"/>
        <v>37110</v>
      </c>
      <c r="AA138" s="24">
        <f t="shared" si="30"/>
        <v>15.63</v>
      </c>
    </row>
    <row r="139" spans="1:27" x14ac:dyDescent="0.25">
      <c r="A139" s="14" t="s">
        <v>218</v>
      </c>
      <c r="B139" s="3" cm="1">
        <f t="array" ref="B139:Y139">_xlfn.XLOOKUP(A139,'P&amp;L Trending Data'!A140:A280,'P&amp;L Trending Data'!B140:Y280)</f>
        <v>0</v>
      </c>
      <c r="C139" s="76">
        <v>0</v>
      </c>
      <c r="D139" s="3">
        <v>0</v>
      </c>
      <c r="E139" s="76">
        <v>0</v>
      </c>
      <c r="F139" s="3">
        <v>0</v>
      </c>
      <c r="G139" s="76">
        <v>0</v>
      </c>
      <c r="H139" s="3">
        <v>0</v>
      </c>
      <c r="I139" s="76">
        <v>0</v>
      </c>
      <c r="J139" s="3">
        <v>0</v>
      </c>
      <c r="K139" s="76">
        <v>0</v>
      </c>
      <c r="L139" s="3">
        <v>0</v>
      </c>
      <c r="M139" s="76">
        <v>0</v>
      </c>
      <c r="N139" s="3">
        <v>0</v>
      </c>
      <c r="O139" s="76">
        <v>0</v>
      </c>
      <c r="P139" s="3">
        <v>0</v>
      </c>
      <c r="Q139" s="76">
        <v>0</v>
      </c>
      <c r="R139" s="3">
        <v>30192</v>
      </c>
      <c r="S139" s="76">
        <v>12.26</v>
      </c>
      <c r="T139" s="3">
        <v>3355</v>
      </c>
      <c r="U139" s="76">
        <v>1.48</v>
      </c>
      <c r="V139" s="3">
        <v>3355</v>
      </c>
      <c r="W139" s="76">
        <v>1.56</v>
      </c>
      <c r="X139" s="3">
        <v>3355</v>
      </c>
      <c r="Y139" s="76">
        <v>1.37</v>
      </c>
      <c r="Z139" s="87">
        <f t="shared" si="29"/>
        <v>40257</v>
      </c>
      <c r="AA139" s="24">
        <f t="shared" si="30"/>
        <v>16.670000000000002</v>
      </c>
    </row>
    <row r="140" spans="1:27" x14ac:dyDescent="0.25">
      <c r="A140" s="14" t="s">
        <v>219</v>
      </c>
      <c r="B140" s="3" cm="1">
        <f t="array" ref="B140:Y140">_xlfn.XLOOKUP(A140,'P&amp;L Trending Data'!A141:A281,'P&amp;L Trending Data'!B141:Y281)</f>
        <v>4210</v>
      </c>
      <c r="C140" s="76">
        <v>1.64</v>
      </c>
      <c r="D140" s="3">
        <v>3415</v>
      </c>
      <c r="E140" s="76">
        <v>1.42</v>
      </c>
      <c r="F140" s="3">
        <v>0</v>
      </c>
      <c r="G140" s="76">
        <v>0</v>
      </c>
      <c r="H140" s="3">
        <v>7670</v>
      </c>
      <c r="I140" s="76">
        <v>3.4</v>
      </c>
      <c r="J140" s="3">
        <v>8274</v>
      </c>
      <c r="K140" s="76">
        <v>3.36</v>
      </c>
      <c r="L140" s="3">
        <v>5113</v>
      </c>
      <c r="M140" s="76">
        <v>2.21</v>
      </c>
      <c r="N140" s="3">
        <v>9892</v>
      </c>
      <c r="O140" s="76">
        <v>4.17</v>
      </c>
      <c r="P140" s="3">
        <v>4214</v>
      </c>
      <c r="Q140" s="76">
        <v>1.8</v>
      </c>
      <c r="R140" s="3">
        <v>0</v>
      </c>
      <c r="S140" s="76">
        <v>0</v>
      </c>
      <c r="T140" s="3">
        <v>8181</v>
      </c>
      <c r="U140" s="76">
        <v>3.61</v>
      </c>
      <c r="V140" s="3">
        <v>3415</v>
      </c>
      <c r="W140" s="76">
        <v>1.59</v>
      </c>
      <c r="X140" s="3">
        <v>0</v>
      </c>
      <c r="Y140" s="76">
        <v>0</v>
      </c>
      <c r="Z140" s="87">
        <f t="shared" si="29"/>
        <v>54384</v>
      </c>
      <c r="AA140" s="24">
        <f t="shared" si="30"/>
        <v>23.199999999999996</v>
      </c>
    </row>
    <row r="141" spans="1:27" x14ac:dyDescent="0.25">
      <c r="A141" s="14" t="s">
        <v>220</v>
      </c>
      <c r="B141" s="5" cm="1">
        <f t="array" ref="B141:Y141">_xlfn.XLOOKUP(A141,'P&amp;L Trending Data'!A142:A282,'P&amp;L Trending Data'!B142:Y282)</f>
        <v>0</v>
      </c>
      <c r="C141" s="76">
        <v>0</v>
      </c>
      <c r="D141" s="5">
        <v>0</v>
      </c>
      <c r="E141" s="76">
        <v>0</v>
      </c>
      <c r="F141" s="5">
        <v>0</v>
      </c>
      <c r="G141" s="76">
        <v>0</v>
      </c>
      <c r="H141" s="5">
        <v>0</v>
      </c>
      <c r="I141" s="76">
        <v>0</v>
      </c>
      <c r="J141" s="5">
        <v>0</v>
      </c>
      <c r="K141" s="76">
        <v>0</v>
      </c>
      <c r="L141" s="5">
        <v>0</v>
      </c>
      <c r="M141" s="76">
        <v>0</v>
      </c>
      <c r="N141" s="5">
        <v>0</v>
      </c>
      <c r="O141" s="76">
        <v>0</v>
      </c>
      <c r="P141" s="5">
        <v>0</v>
      </c>
      <c r="Q141" s="76">
        <v>0</v>
      </c>
      <c r="R141" s="5">
        <v>0</v>
      </c>
      <c r="S141" s="76">
        <v>0</v>
      </c>
      <c r="T141" s="5">
        <v>0</v>
      </c>
      <c r="U141" s="76">
        <v>0</v>
      </c>
      <c r="V141" s="5">
        <v>0</v>
      </c>
      <c r="W141" s="76">
        <v>0</v>
      </c>
      <c r="X141" s="5">
        <v>0</v>
      </c>
      <c r="Y141" s="76">
        <v>0</v>
      </c>
      <c r="Z141" s="87">
        <f t="shared" si="29"/>
        <v>0</v>
      </c>
      <c r="AA141" s="24">
        <f t="shared" si="30"/>
        <v>0</v>
      </c>
    </row>
    <row r="142" spans="1:27" x14ac:dyDescent="0.25">
      <c r="A142" s="14" t="s">
        <v>221</v>
      </c>
      <c r="B142" s="5" cm="1">
        <f t="array" ref="B142:Y142">_xlfn.XLOOKUP(A142,'P&amp;L Trending Data'!A143:A283,'P&amp;L Trending Data'!B143:Y283)</f>
        <v>0</v>
      </c>
      <c r="C142" s="76">
        <v>0</v>
      </c>
      <c r="D142" s="5">
        <v>0</v>
      </c>
      <c r="E142" s="76">
        <v>0</v>
      </c>
      <c r="F142" s="5">
        <v>0</v>
      </c>
      <c r="G142" s="76">
        <v>0</v>
      </c>
      <c r="H142" s="5">
        <v>9137</v>
      </c>
      <c r="I142" s="76">
        <v>4.0599999999999996</v>
      </c>
      <c r="J142" s="5">
        <v>0</v>
      </c>
      <c r="K142" s="76">
        <v>0</v>
      </c>
      <c r="L142" s="5">
        <v>0</v>
      </c>
      <c r="M142" s="76">
        <v>0</v>
      </c>
      <c r="N142" s="5">
        <v>0</v>
      </c>
      <c r="O142" s="76">
        <v>0</v>
      </c>
      <c r="P142" s="5">
        <v>0</v>
      </c>
      <c r="Q142" s="76">
        <v>0</v>
      </c>
      <c r="R142" s="5">
        <v>0</v>
      </c>
      <c r="S142" s="76">
        <v>0</v>
      </c>
      <c r="T142" s="5">
        <v>2606</v>
      </c>
      <c r="U142" s="76">
        <v>1.1499999999999999</v>
      </c>
      <c r="V142" s="5">
        <v>0</v>
      </c>
      <c r="W142" s="76">
        <v>0</v>
      </c>
      <c r="X142" s="5">
        <v>9789</v>
      </c>
      <c r="Y142" s="76">
        <v>3.99</v>
      </c>
      <c r="Z142" s="87">
        <f t="shared" si="29"/>
        <v>21532</v>
      </c>
      <c r="AA142" s="24">
        <f t="shared" si="30"/>
        <v>9.1999999999999993</v>
      </c>
    </row>
    <row r="143" spans="1:27" ht="14.95" thickBot="1" x14ac:dyDescent="0.3">
      <c r="A143" s="14" t="s">
        <v>222</v>
      </c>
      <c r="B143" s="3" cm="1">
        <f t="array" ref="B143:Y143">_xlfn.XLOOKUP(A143,'P&amp;L Trending Data'!A144:A284,'P&amp;L Trending Data'!B144:Y284)</f>
        <v>48000</v>
      </c>
      <c r="C143" s="76">
        <v>18.71</v>
      </c>
      <c r="D143" s="3">
        <v>0</v>
      </c>
      <c r="E143" s="76">
        <v>0</v>
      </c>
      <c r="F143" s="5">
        <v>0</v>
      </c>
      <c r="G143" s="76">
        <v>0</v>
      </c>
      <c r="H143" s="5">
        <v>-4057</v>
      </c>
      <c r="I143" s="76">
        <v>-1.8</v>
      </c>
      <c r="J143" s="5">
        <v>0</v>
      </c>
      <c r="K143" s="76">
        <v>0</v>
      </c>
      <c r="L143" s="5">
        <v>0</v>
      </c>
      <c r="M143" s="76">
        <v>0</v>
      </c>
      <c r="N143" s="5">
        <v>0</v>
      </c>
      <c r="O143" s="76">
        <v>0</v>
      </c>
      <c r="P143" s="5">
        <v>0</v>
      </c>
      <c r="Q143" s="76">
        <v>0</v>
      </c>
      <c r="R143" s="5">
        <v>0</v>
      </c>
      <c r="S143" s="76">
        <v>0</v>
      </c>
      <c r="T143" s="5">
        <v>0</v>
      </c>
      <c r="U143" s="76">
        <v>0</v>
      </c>
      <c r="V143" s="5">
        <v>0</v>
      </c>
      <c r="W143" s="76">
        <v>0</v>
      </c>
      <c r="X143" s="5">
        <v>11495</v>
      </c>
      <c r="Y143" s="76">
        <v>4.6900000000000004</v>
      </c>
      <c r="Z143" s="88">
        <f t="shared" si="29"/>
        <v>55438</v>
      </c>
      <c r="AA143" s="58">
        <f t="shared" si="30"/>
        <v>21.6</v>
      </c>
    </row>
    <row r="144" spans="1:27" x14ac:dyDescent="0.25">
      <c r="A144" s="14" t="s">
        <v>39</v>
      </c>
      <c r="B144" s="66" cm="1">
        <f t="array" ref="B144:Y144">_xlfn.XLOOKUP(A144,'P&amp;L Trending Data'!A145:A285,'P&amp;L Trending Data'!B145:Y285)</f>
        <v>119037</v>
      </c>
      <c r="C144" s="67">
        <v>46.39</v>
      </c>
      <c r="D144" s="66">
        <v>70242</v>
      </c>
      <c r="E144" s="67">
        <v>29.26</v>
      </c>
      <c r="F144" s="66">
        <v>66827</v>
      </c>
      <c r="G144" s="8">
        <v>25.77</v>
      </c>
      <c r="H144" s="66">
        <v>79577</v>
      </c>
      <c r="I144" s="8">
        <v>35.32</v>
      </c>
      <c r="J144" s="66">
        <v>75101</v>
      </c>
      <c r="K144" s="8">
        <v>30.45</v>
      </c>
      <c r="L144" s="66">
        <v>71940</v>
      </c>
      <c r="M144" s="8">
        <v>31.14</v>
      </c>
      <c r="N144" s="66">
        <v>78022</v>
      </c>
      <c r="O144" s="8">
        <v>32.85</v>
      </c>
      <c r="P144" s="66">
        <v>73504</v>
      </c>
      <c r="Q144" s="8">
        <v>31.45</v>
      </c>
      <c r="R144" s="66">
        <v>99482</v>
      </c>
      <c r="S144" s="8">
        <v>40.409999999999997</v>
      </c>
      <c r="T144" s="66">
        <v>76722</v>
      </c>
      <c r="U144" s="8">
        <v>33.83</v>
      </c>
      <c r="V144" s="66">
        <v>69350</v>
      </c>
      <c r="W144" s="8">
        <v>32.33</v>
      </c>
      <c r="X144" s="66">
        <v>87219</v>
      </c>
      <c r="Y144" s="8">
        <v>35.590000000000003</v>
      </c>
      <c r="Z144" s="81">
        <f t="shared" si="29"/>
        <v>967023</v>
      </c>
      <c r="AA144" s="24">
        <f t="shared" si="30"/>
        <v>404.78999999999996</v>
      </c>
    </row>
    <row r="145" spans="1:28" x14ac:dyDescent="0.25">
      <c r="A145" s="18" t="s">
        <v>40</v>
      </c>
      <c r="B145" s="70" cm="1">
        <f t="array" ref="B145:Y145">_xlfn.XLOOKUP(A145,'P&amp;L Trending Data'!A146:A286,'P&amp;L Trending Data'!B146:Y286)</f>
        <v>872904</v>
      </c>
      <c r="C145" s="79">
        <v>340.18</v>
      </c>
      <c r="D145" s="70">
        <v>777472</v>
      </c>
      <c r="E145" s="79">
        <v>323.81</v>
      </c>
      <c r="F145" s="70">
        <v>899049</v>
      </c>
      <c r="G145" s="72">
        <v>346.72</v>
      </c>
      <c r="H145" s="70">
        <v>793784</v>
      </c>
      <c r="I145" s="72">
        <v>352.32</v>
      </c>
      <c r="J145" s="70">
        <v>842204</v>
      </c>
      <c r="K145" s="72">
        <v>341.53</v>
      </c>
      <c r="L145" s="70">
        <v>842331</v>
      </c>
      <c r="M145" s="72">
        <v>364.65</v>
      </c>
      <c r="N145" s="70">
        <v>831568</v>
      </c>
      <c r="O145" s="72">
        <v>350.13</v>
      </c>
      <c r="P145" s="70">
        <v>798450</v>
      </c>
      <c r="Q145" s="72">
        <v>341.66</v>
      </c>
      <c r="R145" s="70">
        <v>874192</v>
      </c>
      <c r="S145" s="72">
        <v>355.07</v>
      </c>
      <c r="T145" s="70">
        <v>797133</v>
      </c>
      <c r="U145" s="72">
        <v>351.47</v>
      </c>
      <c r="V145" s="70">
        <v>755631</v>
      </c>
      <c r="W145" s="72">
        <v>352.28</v>
      </c>
      <c r="X145" s="70">
        <v>1000933</v>
      </c>
      <c r="Y145" s="72">
        <v>408.38</v>
      </c>
      <c r="Z145" s="70">
        <f t="shared" ref="Z145" si="31">B145+D145+F145+H145+J145+L145+N145+P145+R145+T145+V145+X145</f>
        <v>10085651</v>
      </c>
      <c r="AA145" s="72">
        <f t="shared" ref="AA145" si="32">C145+E145+G145+I145+K145+M145+O145+Q145+S145+U145+W145+Y145</f>
        <v>4228.2</v>
      </c>
      <c r="AB145" s="44"/>
    </row>
    <row r="146" spans="1:28" x14ac:dyDescent="0.25">
      <c r="A146" s="11"/>
      <c r="B146" s="9"/>
      <c r="C146" s="49"/>
      <c r="D146" s="9"/>
      <c r="E146" s="49"/>
      <c r="F146" s="9"/>
      <c r="G146" s="49"/>
      <c r="H146" s="9"/>
      <c r="I146" s="49"/>
      <c r="J146" s="9"/>
      <c r="K146" s="49"/>
      <c r="L146" s="9"/>
      <c r="M146" s="49"/>
      <c r="N146" s="9"/>
      <c r="O146" s="49"/>
      <c r="P146" s="9"/>
      <c r="Q146" s="49"/>
      <c r="R146" s="9"/>
      <c r="S146" s="49"/>
      <c r="T146" s="9"/>
      <c r="U146" s="49"/>
      <c r="V146" s="9"/>
      <c r="W146" s="49"/>
      <c r="X146" s="9"/>
      <c r="Y146" s="49"/>
      <c r="Z146" s="9"/>
      <c r="AA146" s="26"/>
    </row>
    <row r="147" spans="1:28" ht="14.95" thickBot="1" x14ac:dyDescent="0.3">
      <c r="A147" s="18" t="s">
        <v>41</v>
      </c>
      <c r="B147" s="70" cm="1">
        <f t="array" ref="B147:Y147">_xlfn.XLOOKUP(A147,'P&amp;L Trending Data'!A148:A288,'P&amp;L Trending Data'!B148:Y288)</f>
        <v>101854</v>
      </c>
      <c r="C147" s="80">
        <v>39.69</v>
      </c>
      <c r="D147" s="70">
        <v>80380</v>
      </c>
      <c r="E147" s="80">
        <v>33.479999999999997</v>
      </c>
      <c r="F147" s="70">
        <v>84087</v>
      </c>
      <c r="G147" s="72">
        <v>32.43</v>
      </c>
      <c r="H147" s="70">
        <v>41543</v>
      </c>
      <c r="I147" s="72">
        <v>18.440000000000001</v>
      </c>
      <c r="J147" s="70">
        <v>58699</v>
      </c>
      <c r="K147" s="72">
        <v>23.8</v>
      </c>
      <c r="L147" s="70">
        <v>149</v>
      </c>
      <c r="M147" s="72">
        <v>0.06</v>
      </c>
      <c r="N147" s="70">
        <v>45740</v>
      </c>
      <c r="O147" s="72">
        <v>19.260000000000002</v>
      </c>
      <c r="P147" s="70">
        <v>57663</v>
      </c>
      <c r="Q147" s="72">
        <v>24.67</v>
      </c>
      <c r="R147" s="70">
        <v>24276</v>
      </c>
      <c r="S147" s="72">
        <v>9.86</v>
      </c>
      <c r="T147" s="70">
        <v>-8119</v>
      </c>
      <c r="U147" s="72">
        <v>-3.58</v>
      </c>
      <c r="V147" s="70">
        <v>-31725</v>
      </c>
      <c r="W147" s="72">
        <v>-14.79</v>
      </c>
      <c r="X147" s="70">
        <v>-115951</v>
      </c>
      <c r="Y147" s="72">
        <v>-47.31</v>
      </c>
      <c r="Z147" s="70">
        <f t="shared" ref="Z147" si="33">B147+D147+F147+H147+J147+L147+N147+P147+R147+T147+V147+X147</f>
        <v>338596</v>
      </c>
      <c r="AA147" s="72">
        <f t="shared" ref="AA147" si="34">C147+E147+G147+I147+K147+M147+O147+Q147+S147+U147+W147+Y147</f>
        <v>136.01</v>
      </c>
    </row>
    <row r="148" spans="1:28" ht="15.65" thickTop="1" thickBot="1" x14ac:dyDescent="0.3">
      <c r="A148" s="31"/>
      <c r="B148" s="32"/>
      <c r="C148" s="33"/>
      <c r="D148" s="32"/>
      <c r="E148" s="33"/>
      <c r="F148" s="32"/>
      <c r="G148" s="33"/>
      <c r="H148" s="32"/>
      <c r="I148" s="33"/>
      <c r="J148" s="32"/>
      <c r="K148" s="33"/>
      <c r="L148" s="32"/>
      <c r="M148" s="33"/>
      <c r="N148" s="32"/>
      <c r="O148" s="33"/>
      <c r="P148" s="32"/>
      <c r="Q148" s="33"/>
      <c r="R148" s="32"/>
      <c r="S148" s="33"/>
      <c r="T148" s="32"/>
      <c r="U148" s="33"/>
      <c r="V148" s="32"/>
      <c r="W148" s="33"/>
      <c r="X148" s="32"/>
      <c r="Y148" s="33"/>
      <c r="Z148" s="32"/>
      <c r="AA148" s="34"/>
    </row>
  </sheetData>
  <mergeCells count="4">
    <mergeCell ref="A1:AA1"/>
    <mergeCell ref="A2:AA2"/>
    <mergeCell ref="A3:AA3"/>
    <mergeCell ref="A4:AA4"/>
  </mergeCells>
  <phoneticPr fontId="5" type="noConversion"/>
  <pageMargins left="0.7" right="0.7" top="0.75" bottom="0.75" header="0.3" footer="0.3"/>
  <pageSetup paperSize="9"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692D-B762-45D0-A1D2-E4D87A2BDD04}">
  <dimension ref="A1:AC73"/>
  <sheetViews>
    <sheetView workbookViewId="0">
      <selection activeCell="G20" sqref="G20"/>
    </sheetView>
  </sheetViews>
  <sheetFormatPr defaultColWidth="9" defaultRowHeight="14.3" x14ac:dyDescent="0.25"/>
  <cols>
    <col min="1" max="1" width="23.625" bestFit="1" customWidth="1"/>
    <col min="2" max="2" width="6.625" bestFit="1" customWidth="1"/>
    <col min="3" max="3" width="9.125" bestFit="1" customWidth="1"/>
    <col min="4" max="4" width="6.625" bestFit="1" customWidth="1"/>
    <col min="5" max="5" width="9.125" bestFit="1" customWidth="1"/>
    <col min="6" max="6" width="6.625" bestFit="1" customWidth="1"/>
    <col min="7" max="7" width="9.125" bestFit="1" customWidth="1"/>
    <col min="8" max="8" width="6.625" bestFit="1" customWidth="1"/>
    <col min="9" max="9" width="9.125" bestFit="1" customWidth="1"/>
    <col min="10" max="10" width="6.625" bestFit="1" customWidth="1"/>
    <col min="11" max="11" width="9.125" bestFit="1" customWidth="1"/>
    <col min="12" max="12" width="6.625" bestFit="1" customWidth="1"/>
    <col min="13" max="13" width="9.125" bestFit="1" customWidth="1"/>
    <col min="14" max="14" width="6.625" bestFit="1" customWidth="1"/>
    <col min="15" max="15" width="9.125" bestFit="1" customWidth="1"/>
    <col min="16" max="16" width="6.625" bestFit="1" customWidth="1"/>
    <col min="17" max="17" width="9.125" bestFit="1" customWidth="1"/>
    <col min="18" max="18" width="6.625" bestFit="1" customWidth="1"/>
    <col min="19" max="19" width="9.125" bestFit="1" customWidth="1"/>
    <col min="20" max="20" width="6.625" bestFit="1" customWidth="1"/>
    <col min="21" max="21" width="9.125" bestFit="1" customWidth="1"/>
    <col min="22" max="22" width="6.625" bestFit="1" customWidth="1"/>
    <col min="23" max="23" width="9.125" bestFit="1" customWidth="1"/>
    <col min="24" max="24" width="6.625" bestFit="1" customWidth="1"/>
    <col min="25" max="25" width="9.125" bestFit="1" customWidth="1"/>
    <col min="26" max="26" width="7.75" style="44" bestFit="1" customWidth="1"/>
    <col min="27" max="27" width="9.125" style="45" bestFit="1" customWidth="1"/>
  </cols>
  <sheetData>
    <row r="1" spans="1:27" ht="14.95" x14ac:dyDescent="0.25">
      <c r="A1" s="145" t="str">
        <f>BS!A1</f>
        <v>Allure of Peru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</row>
    <row r="2" spans="1:27" ht="14.95" x14ac:dyDescent="0.25">
      <c r="A2" s="148" t="s">
        <v>52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</row>
    <row r="3" spans="1:27" ht="14.95" x14ac:dyDescent="0.25">
      <c r="A3" s="148" t="str">
        <f>'PR Trending Data'!B3</f>
        <v>1/1/2025 to 12/31/2025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50"/>
    </row>
    <row r="4" spans="1:27" ht="15.8" thickBot="1" x14ac:dyDescent="0.3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3"/>
      <c r="AA4" s="124"/>
    </row>
    <row r="5" spans="1:27" ht="15.8" thickBot="1" x14ac:dyDescent="0.3">
      <c r="A5" s="10"/>
      <c r="B5" s="117">
        <f>'P&amp;L Detail Trending'!B5</f>
        <v>45658</v>
      </c>
      <c r="C5" s="118"/>
      <c r="D5" s="119">
        <f t="shared" ref="D5" si="0">EDATE(B5,1)</f>
        <v>45689</v>
      </c>
      <c r="E5" s="118"/>
      <c r="F5" s="119">
        <f t="shared" ref="F5" si="1">EDATE(D5,1)</f>
        <v>45717</v>
      </c>
      <c r="G5" s="118"/>
      <c r="H5" s="119">
        <f t="shared" ref="H5" si="2">EDATE(F5,1)</f>
        <v>45748</v>
      </c>
      <c r="I5" s="118"/>
      <c r="J5" s="119">
        <f>EDATE(H5,1)</f>
        <v>45778</v>
      </c>
      <c r="K5" s="118"/>
      <c r="L5" s="119">
        <f t="shared" ref="L5" si="3">EDATE(J5,1)</f>
        <v>45809</v>
      </c>
      <c r="M5" s="118"/>
      <c r="N5" s="119">
        <f t="shared" ref="N5" si="4">EDATE(L5,1)</f>
        <v>45839</v>
      </c>
      <c r="O5" s="118"/>
      <c r="P5" s="119">
        <f t="shared" ref="P5" si="5">EDATE(N5,1)</f>
        <v>45870</v>
      </c>
      <c r="Q5" s="118"/>
      <c r="R5" s="119">
        <f t="shared" ref="R5" si="6">EDATE(P5,1)</f>
        <v>45901</v>
      </c>
      <c r="S5" s="118"/>
      <c r="T5" s="119">
        <f t="shared" ref="T5" si="7">EDATE(R5,1)</f>
        <v>45931</v>
      </c>
      <c r="U5" s="118"/>
      <c r="V5" s="119">
        <f t="shared" ref="V5" si="8">EDATE(T5,1)</f>
        <v>45962</v>
      </c>
      <c r="W5" s="118"/>
      <c r="X5" s="119">
        <f t="shared" ref="X5" si="9">EDATE(V5,1)</f>
        <v>45992</v>
      </c>
      <c r="Y5" s="120"/>
      <c r="Z5" s="116" t="s">
        <v>15</v>
      </c>
      <c r="AA5" s="99"/>
    </row>
    <row r="6" spans="1:27" ht="14.95" thickBot="1" x14ac:dyDescent="0.3">
      <c r="A6" s="11"/>
      <c r="B6" s="1" t="s">
        <v>2</v>
      </c>
      <c r="C6" s="7" t="s">
        <v>16</v>
      </c>
      <c r="D6" s="1" t="s">
        <v>2</v>
      </c>
      <c r="E6" s="7" t="s">
        <v>16</v>
      </c>
      <c r="F6" s="1" t="s">
        <v>2</v>
      </c>
      <c r="G6" s="7" t="s">
        <v>16</v>
      </c>
      <c r="H6" s="1" t="s">
        <v>2</v>
      </c>
      <c r="I6" s="7" t="s">
        <v>16</v>
      </c>
      <c r="J6" s="1" t="s">
        <v>2</v>
      </c>
      <c r="K6" s="7" t="s">
        <v>16</v>
      </c>
      <c r="L6" s="1" t="s">
        <v>2</v>
      </c>
      <c r="M6" s="7" t="s">
        <v>16</v>
      </c>
      <c r="N6" s="1" t="s">
        <v>2</v>
      </c>
      <c r="O6" s="7" t="s">
        <v>16</v>
      </c>
      <c r="P6" s="1" t="s">
        <v>2</v>
      </c>
      <c r="Q6" s="7" t="s">
        <v>16</v>
      </c>
      <c r="R6" s="1" t="s">
        <v>2</v>
      </c>
      <c r="S6" s="7" t="s">
        <v>16</v>
      </c>
      <c r="T6" s="1" t="s">
        <v>2</v>
      </c>
      <c r="U6" s="7" t="s">
        <v>16</v>
      </c>
      <c r="V6" s="1" t="s">
        <v>2</v>
      </c>
      <c r="W6" s="7" t="s">
        <v>16</v>
      </c>
      <c r="X6" s="1" t="s">
        <v>2</v>
      </c>
      <c r="Y6" s="7" t="s">
        <v>16</v>
      </c>
      <c r="Z6" s="6" t="s">
        <v>2</v>
      </c>
      <c r="AA6" s="96" t="s">
        <v>16</v>
      </c>
    </row>
    <row r="7" spans="1:27" x14ac:dyDescent="0.25">
      <c r="A7" s="12" t="s">
        <v>42</v>
      </c>
      <c r="B7" s="2"/>
      <c r="C7" s="46"/>
      <c r="D7" s="2"/>
      <c r="E7" s="46"/>
      <c r="F7" s="2"/>
      <c r="G7" s="46"/>
      <c r="H7" s="2"/>
      <c r="I7" s="46"/>
      <c r="J7" s="2"/>
      <c r="K7" s="46"/>
      <c r="L7" s="2"/>
      <c r="M7" s="46"/>
      <c r="N7" s="2"/>
      <c r="O7" s="46"/>
      <c r="P7" s="2"/>
      <c r="Q7" s="46"/>
      <c r="R7" s="2"/>
      <c r="S7" s="46"/>
      <c r="T7" s="2"/>
      <c r="U7" s="46"/>
      <c r="V7" s="2"/>
      <c r="W7" s="46"/>
      <c r="X7" s="2"/>
      <c r="Y7" s="46"/>
      <c r="Z7" s="97"/>
      <c r="AA7" s="98"/>
    </row>
    <row r="8" spans="1:27" x14ac:dyDescent="0.25">
      <c r="A8" s="29" t="s">
        <v>57</v>
      </c>
      <c r="B8" s="27" cm="1">
        <f t="array" ref="B8:Y8">_xlfn.XLOOKUP(A8,'PR Trending Data'!A9:A74,'PR Trending Data'!B9:Y74)</f>
        <v>10221</v>
      </c>
      <c r="C8" s="47">
        <v>3.98</v>
      </c>
      <c r="D8" s="27">
        <v>9232</v>
      </c>
      <c r="E8" s="47">
        <v>3.85</v>
      </c>
      <c r="F8" s="27">
        <v>10241</v>
      </c>
      <c r="G8" s="47">
        <v>3.95</v>
      </c>
      <c r="H8" s="27">
        <v>10188</v>
      </c>
      <c r="I8" s="47">
        <v>4.5199999999999996</v>
      </c>
      <c r="J8" s="27">
        <v>10528</v>
      </c>
      <c r="K8" s="47">
        <v>4.2699999999999996</v>
      </c>
      <c r="L8" s="27">
        <v>10188</v>
      </c>
      <c r="M8" s="47">
        <v>4.41</v>
      </c>
      <c r="N8" s="27">
        <v>10528</v>
      </c>
      <c r="O8" s="47">
        <v>4.43</v>
      </c>
      <c r="P8" s="27">
        <v>10528</v>
      </c>
      <c r="Q8" s="47">
        <v>4.5</v>
      </c>
      <c r="R8" s="27">
        <v>10188</v>
      </c>
      <c r="S8" s="47">
        <v>4.1399999999999997</v>
      </c>
      <c r="T8" s="27">
        <v>10528</v>
      </c>
      <c r="U8" s="47">
        <v>4.6399999999999997</v>
      </c>
      <c r="V8" s="27">
        <v>10188</v>
      </c>
      <c r="W8" s="47">
        <v>4.75</v>
      </c>
      <c r="X8" s="27">
        <v>11658</v>
      </c>
      <c r="Y8" s="47">
        <v>4.76</v>
      </c>
      <c r="Z8" s="109">
        <f>B8+D8+F8+H8+J8+L8+N8+P8+R8+T8+V8+X8</f>
        <v>124216</v>
      </c>
      <c r="AA8" s="104">
        <f>C8+E8+G8+I8+K8+M8+O8+Q8+S8+U8+W8+Y8</f>
        <v>52.199999999999996</v>
      </c>
    </row>
    <row r="9" spans="1:27" x14ac:dyDescent="0.25">
      <c r="A9" s="30" t="s">
        <v>58</v>
      </c>
      <c r="B9" s="108" cm="1">
        <f t="array" ref="B9:Y9">_xlfn.XLOOKUP(A9,'PR Trending Data'!A10:A75,'PR Trending Data'!B10:Y75)</f>
        <v>1922</v>
      </c>
      <c r="C9" s="48">
        <v>0.75</v>
      </c>
      <c r="D9" s="108">
        <v>1487</v>
      </c>
      <c r="E9" s="48">
        <v>0.62</v>
      </c>
      <c r="F9" s="108">
        <v>113</v>
      </c>
      <c r="G9" s="48">
        <v>0.04</v>
      </c>
      <c r="H9" s="108">
        <v>2287</v>
      </c>
      <c r="I9" s="48">
        <v>1.02</v>
      </c>
      <c r="J9" s="108">
        <v>1608</v>
      </c>
      <c r="K9" s="48">
        <v>0.65</v>
      </c>
      <c r="L9" s="108">
        <v>1871</v>
      </c>
      <c r="M9" s="48">
        <v>0.81</v>
      </c>
      <c r="N9" s="108">
        <v>1014</v>
      </c>
      <c r="O9" s="48">
        <v>0.43</v>
      </c>
      <c r="P9" s="108">
        <v>1741</v>
      </c>
      <c r="Q9" s="48">
        <v>0.74</v>
      </c>
      <c r="R9" s="108">
        <v>303</v>
      </c>
      <c r="S9" s="48">
        <v>0.12</v>
      </c>
      <c r="T9" s="108">
        <v>1606</v>
      </c>
      <c r="U9" s="48">
        <v>0.71</v>
      </c>
      <c r="V9" s="108">
        <v>659</v>
      </c>
      <c r="W9" s="48">
        <v>0.31</v>
      </c>
      <c r="X9" s="108">
        <v>0</v>
      </c>
      <c r="Y9" s="48">
        <v>0</v>
      </c>
      <c r="Z9" s="110">
        <f t="shared" ref="Z9:Z46" si="10">B9+D9+F9+H9+J9+L9+N9+P9+R9+T9+V9+X9</f>
        <v>14611</v>
      </c>
      <c r="AA9" s="105">
        <f t="shared" ref="AA9:AA46" si="11">C9+E9+G9+I9+K9+M9+O9+Q9+S9+U9+W9+Y9</f>
        <v>6.2</v>
      </c>
    </row>
    <row r="10" spans="1:27" x14ac:dyDescent="0.25">
      <c r="A10" s="29" t="s">
        <v>59</v>
      </c>
      <c r="B10" s="27" cm="1">
        <f t="array" ref="B10:Y10">_xlfn.XLOOKUP(A10,'PR Trending Data'!A11:A76,'PR Trending Data'!B11:Y76)</f>
        <v>0</v>
      </c>
      <c r="C10" s="47">
        <v>0</v>
      </c>
      <c r="D10" s="27">
        <v>0</v>
      </c>
      <c r="E10" s="47">
        <v>0</v>
      </c>
      <c r="F10" s="27">
        <v>0</v>
      </c>
      <c r="G10" s="47">
        <v>0</v>
      </c>
      <c r="H10" s="27">
        <v>0</v>
      </c>
      <c r="I10" s="47">
        <v>0</v>
      </c>
      <c r="J10" s="27">
        <v>0</v>
      </c>
      <c r="K10" s="47">
        <v>0</v>
      </c>
      <c r="L10" s="27">
        <v>0</v>
      </c>
      <c r="M10" s="47">
        <v>0</v>
      </c>
      <c r="N10" s="27">
        <v>0</v>
      </c>
      <c r="O10" s="47">
        <v>0</v>
      </c>
      <c r="P10" s="27">
        <v>0</v>
      </c>
      <c r="Q10" s="47">
        <v>0</v>
      </c>
      <c r="R10" s="27">
        <v>0</v>
      </c>
      <c r="S10" s="47">
        <v>0</v>
      </c>
      <c r="T10" s="27">
        <v>0</v>
      </c>
      <c r="U10" s="47">
        <v>0</v>
      </c>
      <c r="V10" s="27">
        <v>0</v>
      </c>
      <c r="W10" s="47">
        <v>0</v>
      </c>
      <c r="X10" s="27">
        <v>0</v>
      </c>
      <c r="Y10" s="47">
        <v>0</v>
      </c>
      <c r="Z10" s="109">
        <f>B10+D10+F10+H10+J10+L10+N10+P10+R10+T10+V10+X10</f>
        <v>0</v>
      </c>
      <c r="AA10" s="104">
        <f>C10+E10+G10+I10+K10+M10+O10+Q10+S10+U10+W10+Y10</f>
        <v>0</v>
      </c>
    </row>
    <row r="11" spans="1:27" x14ac:dyDescent="0.25">
      <c r="A11" s="30" t="s">
        <v>60</v>
      </c>
      <c r="B11" s="108" cm="1">
        <f t="array" ref="B11:Y11">_xlfn.XLOOKUP(A11,'PR Trending Data'!A12:A77,'PR Trending Data'!B12:Y77)</f>
        <v>0</v>
      </c>
      <c r="C11" s="48">
        <v>0</v>
      </c>
      <c r="D11" s="108">
        <v>0</v>
      </c>
      <c r="E11" s="48">
        <v>0</v>
      </c>
      <c r="F11" s="108">
        <v>0</v>
      </c>
      <c r="G11" s="48">
        <v>0</v>
      </c>
      <c r="H11" s="108">
        <v>0</v>
      </c>
      <c r="I11" s="48">
        <v>0</v>
      </c>
      <c r="J11" s="108">
        <v>0</v>
      </c>
      <c r="K11" s="48">
        <v>0</v>
      </c>
      <c r="L11" s="108">
        <v>0</v>
      </c>
      <c r="M11" s="48">
        <v>0</v>
      </c>
      <c r="N11" s="108">
        <v>0</v>
      </c>
      <c r="O11" s="48">
        <v>0</v>
      </c>
      <c r="P11" s="108">
        <v>0</v>
      </c>
      <c r="Q11" s="48">
        <v>0</v>
      </c>
      <c r="R11" s="108">
        <v>0</v>
      </c>
      <c r="S11" s="48">
        <v>0</v>
      </c>
      <c r="T11" s="108">
        <v>0</v>
      </c>
      <c r="U11" s="48">
        <v>0</v>
      </c>
      <c r="V11" s="108">
        <v>0</v>
      </c>
      <c r="W11" s="48">
        <v>0</v>
      </c>
      <c r="X11" s="108">
        <v>0</v>
      </c>
      <c r="Y11" s="48">
        <v>0</v>
      </c>
      <c r="Z11" s="110">
        <f t="shared" ref="Z11" si="12">B11+D11+F11+H11+J11+L11+N11+P11+R11+T11+V11+X11</f>
        <v>0</v>
      </c>
      <c r="AA11" s="105">
        <f t="shared" ref="AA11" si="13">C11+E11+G11+I11+K11+M11+O11+Q11+S11+U11+W11+Y11</f>
        <v>0</v>
      </c>
    </row>
    <row r="12" spans="1:27" x14ac:dyDescent="0.25">
      <c r="A12" s="103" t="s">
        <v>61</v>
      </c>
      <c r="B12" s="27" cm="1">
        <f t="array" ref="B12:Y12">_xlfn.XLOOKUP(A12,'PR Trending Data'!A13:A78,'PR Trending Data'!B13:Y78)</f>
        <v>9212</v>
      </c>
      <c r="C12" s="47">
        <v>3.59</v>
      </c>
      <c r="D12" s="27">
        <v>7717</v>
      </c>
      <c r="E12" s="47">
        <v>3.21</v>
      </c>
      <c r="F12" s="27">
        <v>8952</v>
      </c>
      <c r="G12" s="47">
        <v>3.45</v>
      </c>
      <c r="H12" s="27">
        <v>8492</v>
      </c>
      <c r="I12" s="47">
        <v>3.77</v>
      </c>
      <c r="J12" s="27">
        <v>8997</v>
      </c>
      <c r="K12" s="47">
        <v>3.65</v>
      </c>
      <c r="L12" s="27">
        <v>8509</v>
      </c>
      <c r="M12" s="47">
        <v>3.68</v>
      </c>
      <c r="N12" s="27">
        <v>8817</v>
      </c>
      <c r="O12" s="47">
        <v>3.71</v>
      </c>
      <c r="P12" s="27">
        <v>8597</v>
      </c>
      <c r="Q12" s="47">
        <v>3.68</v>
      </c>
      <c r="R12" s="27">
        <v>8438</v>
      </c>
      <c r="S12" s="47">
        <v>3.43</v>
      </c>
      <c r="T12" s="27">
        <v>8719</v>
      </c>
      <c r="U12" s="47">
        <v>3.84</v>
      </c>
      <c r="V12" s="27">
        <v>8626</v>
      </c>
      <c r="W12" s="47">
        <v>4.0199999999999996</v>
      </c>
      <c r="X12" s="27">
        <v>8871</v>
      </c>
      <c r="Y12" s="47">
        <v>3.62</v>
      </c>
      <c r="Z12" s="109">
        <f t="shared" si="10"/>
        <v>103947</v>
      </c>
      <c r="AA12" s="104">
        <f t="shared" si="11"/>
        <v>43.65</v>
      </c>
    </row>
    <row r="13" spans="1:27" x14ac:dyDescent="0.25">
      <c r="A13" s="30" t="s">
        <v>62</v>
      </c>
      <c r="B13" s="108" cm="1">
        <f t="array" ref="B13:Y13">_xlfn.XLOOKUP(A13,'PR Trending Data'!A14:A79,'PR Trending Data'!B14:Y79)</f>
        <v>0</v>
      </c>
      <c r="C13" s="48">
        <v>0</v>
      </c>
      <c r="D13" s="108">
        <v>0</v>
      </c>
      <c r="E13" s="48">
        <v>0</v>
      </c>
      <c r="F13" s="108">
        <v>0</v>
      </c>
      <c r="G13" s="48">
        <v>0</v>
      </c>
      <c r="H13" s="108">
        <v>0</v>
      </c>
      <c r="I13" s="48">
        <v>0</v>
      </c>
      <c r="J13" s="108">
        <v>0</v>
      </c>
      <c r="K13" s="48">
        <v>0</v>
      </c>
      <c r="L13" s="108">
        <v>0</v>
      </c>
      <c r="M13" s="48">
        <v>0</v>
      </c>
      <c r="N13" s="108">
        <v>1250</v>
      </c>
      <c r="O13" s="48">
        <v>0.53</v>
      </c>
      <c r="P13" s="108">
        <v>0</v>
      </c>
      <c r="Q13" s="48">
        <v>0</v>
      </c>
      <c r="R13" s="108">
        <v>0</v>
      </c>
      <c r="S13" s="48">
        <v>0</v>
      </c>
      <c r="T13" s="108">
        <v>321</v>
      </c>
      <c r="U13" s="48">
        <v>0.14000000000000001</v>
      </c>
      <c r="V13" s="108">
        <v>429</v>
      </c>
      <c r="W13" s="48">
        <v>0.2</v>
      </c>
      <c r="X13" s="108">
        <v>0</v>
      </c>
      <c r="Y13" s="48">
        <v>0</v>
      </c>
      <c r="Z13" s="110">
        <f t="shared" ref="Z13" si="14">B13+D13+F13+H13+J13+L13+N13+P13+R13+T13+V13+X13</f>
        <v>2000</v>
      </c>
      <c r="AA13" s="105">
        <f t="shared" ref="AA13" si="15">C13+E13+G13+I13+K13+M13+O13+Q13+S13+U13+W13+Y13</f>
        <v>0.87000000000000011</v>
      </c>
    </row>
    <row r="14" spans="1:27" x14ac:dyDescent="0.25">
      <c r="A14" s="103" t="s">
        <v>63</v>
      </c>
      <c r="B14" s="27" cm="1">
        <f t="array" ref="B14:Y14">_xlfn.XLOOKUP(A14,'PR Trending Data'!A15:A80,'PR Trending Data'!B15:Y80)</f>
        <v>7877</v>
      </c>
      <c r="C14" s="47">
        <v>3.07</v>
      </c>
      <c r="D14" s="27">
        <v>7354</v>
      </c>
      <c r="E14" s="47">
        <v>3.06</v>
      </c>
      <c r="F14" s="27">
        <v>7832</v>
      </c>
      <c r="G14" s="47">
        <v>3.02</v>
      </c>
      <c r="H14" s="27">
        <v>7552</v>
      </c>
      <c r="I14" s="47">
        <v>3.35</v>
      </c>
      <c r="J14" s="27">
        <v>8298</v>
      </c>
      <c r="K14" s="47">
        <v>3.36</v>
      </c>
      <c r="L14" s="27">
        <v>7532</v>
      </c>
      <c r="M14" s="47">
        <v>3.26</v>
      </c>
      <c r="N14" s="27">
        <v>7601</v>
      </c>
      <c r="O14" s="47">
        <v>3.2</v>
      </c>
      <c r="P14" s="27">
        <v>7638</v>
      </c>
      <c r="Q14" s="47">
        <v>3.27</v>
      </c>
      <c r="R14" s="27">
        <v>6659</v>
      </c>
      <c r="S14" s="47">
        <v>2.7</v>
      </c>
      <c r="T14" s="27">
        <v>1904</v>
      </c>
      <c r="U14" s="47">
        <v>0.84</v>
      </c>
      <c r="V14" s="27">
        <v>6738</v>
      </c>
      <c r="W14" s="47">
        <v>3.14</v>
      </c>
      <c r="X14" s="27">
        <v>8630</v>
      </c>
      <c r="Y14" s="47">
        <v>3.52</v>
      </c>
      <c r="Z14" s="109">
        <f t="shared" si="10"/>
        <v>85615</v>
      </c>
      <c r="AA14" s="104">
        <f t="shared" si="11"/>
        <v>35.79</v>
      </c>
    </row>
    <row r="15" spans="1:27" x14ac:dyDescent="0.25">
      <c r="A15" s="30" t="s">
        <v>64</v>
      </c>
      <c r="B15" s="108" cm="1">
        <f t="array" ref="B15:Y15">_xlfn.XLOOKUP(A15,'PR Trending Data'!A16:A81,'PR Trending Data'!B16:Y81)</f>
        <v>0</v>
      </c>
      <c r="C15" s="48">
        <v>0</v>
      </c>
      <c r="D15" s="108">
        <v>0</v>
      </c>
      <c r="E15" s="48">
        <v>0</v>
      </c>
      <c r="F15" s="108">
        <v>0</v>
      </c>
      <c r="G15" s="48">
        <v>0</v>
      </c>
      <c r="H15" s="108">
        <v>0</v>
      </c>
      <c r="I15" s="48">
        <v>0</v>
      </c>
      <c r="J15" s="108">
        <v>0</v>
      </c>
      <c r="K15" s="48">
        <v>0</v>
      </c>
      <c r="L15" s="108">
        <v>0</v>
      </c>
      <c r="M15" s="48">
        <v>0</v>
      </c>
      <c r="N15" s="108">
        <v>0</v>
      </c>
      <c r="O15" s="48">
        <v>0</v>
      </c>
      <c r="P15" s="108">
        <v>0</v>
      </c>
      <c r="Q15" s="48">
        <v>0</v>
      </c>
      <c r="R15" s="108">
        <v>0</v>
      </c>
      <c r="S15" s="48">
        <v>0</v>
      </c>
      <c r="T15" s="108">
        <v>0</v>
      </c>
      <c r="U15" s="48">
        <v>0</v>
      </c>
      <c r="V15" s="108">
        <v>0</v>
      </c>
      <c r="W15" s="48">
        <v>0</v>
      </c>
      <c r="X15" s="108">
        <v>0</v>
      </c>
      <c r="Y15" s="48">
        <v>0</v>
      </c>
      <c r="Z15" s="110">
        <f t="shared" si="10"/>
        <v>0</v>
      </c>
      <c r="AA15" s="105">
        <f t="shared" si="11"/>
        <v>0</v>
      </c>
    </row>
    <row r="16" spans="1:27" x14ac:dyDescent="0.25">
      <c r="A16" s="103" t="s">
        <v>65</v>
      </c>
      <c r="B16" s="27" cm="1">
        <f t="array" ref="B16:Y16">_xlfn.XLOOKUP(A16,'PR Trending Data'!A17:A82,'PR Trending Data'!B17:Y82)</f>
        <v>65236</v>
      </c>
      <c r="C16" s="47">
        <v>25.42</v>
      </c>
      <c r="D16" s="27">
        <v>60365</v>
      </c>
      <c r="E16" s="47">
        <v>25.14</v>
      </c>
      <c r="F16" s="27">
        <v>68632</v>
      </c>
      <c r="G16" s="47">
        <v>26.47</v>
      </c>
      <c r="H16" s="27">
        <v>69671</v>
      </c>
      <c r="I16" s="47">
        <v>30.92</v>
      </c>
      <c r="J16" s="27">
        <v>71475</v>
      </c>
      <c r="K16" s="47">
        <v>28.98</v>
      </c>
      <c r="L16" s="27">
        <v>69227</v>
      </c>
      <c r="M16" s="47">
        <v>29.97</v>
      </c>
      <c r="N16" s="27">
        <v>72869</v>
      </c>
      <c r="O16" s="47">
        <v>30.68</v>
      </c>
      <c r="P16" s="27">
        <v>66824</v>
      </c>
      <c r="Q16" s="47">
        <v>28.59</v>
      </c>
      <c r="R16" s="27">
        <v>64087</v>
      </c>
      <c r="S16" s="47">
        <v>26.03</v>
      </c>
      <c r="T16" s="27">
        <v>66427</v>
      </c>
      <c r="U16" s="47">
        <v>29.29</v>
      </c>
      <c r="V16" s="27">
        <v>64275</v>
      </c>
      <c r="W16" s="47">
        <v>29.97</v>
      </c>
      <c r="X16" s="27">
        <v>61682</v>
      </c>
      <c r="Y16" s="47">
        <v>25.17</v>
      </c>
      <c r="Z16" s="109">
        <f t="shared" si="10"/>
        <v>800770</v>
      </c>
      <c r="AA16" s="104">
        <f t="shared" si="11"/>
        <v>336.63000000000005</v>
      </c>
    </row>
    <row r="17" spans="1:27" x14ac:dyDescent="0.25">
      <c r="A17" s="30" t="s">
        <v>66</v>
      </c>
      <c r="B17" s="108" cm="1">
        <f t="array" ref="B17:Y17">_xlfn.XLOOKUP(A17,'PR Trending Data'!A18:A83,'PR Trending Data'!B18:Y83)</f>
        <v>0</v>
      </c>
      <c r="C17" s="48">
        <v>0</v>
      </c>
      <c r="D17" s="108">
        <v>0</v>
      </c>
      <c r="E17" s="48">
        <v>0</v>
      </c>
      <c r="F17" s="108">
        <v>0</v>
      </c>
      <c r="G17" s="48">
        <v>0</v>
      </c>
      <c r="H17" s="108">
        <v>0</v>
      </c>
      <c r="I17" s="48">
        <v>0</v>
      </c>
      <c r="J17" s="108">
        <v>0</v>
      </c>
      <c r="K17" s="48">
        <v>0</v>
      </c>
      <c r="L17" s="108">
        <v>0</v>
      </c>
      <c r="M17" s="48">
        <v>0</v>
      </c>
      <c r="N17" s="108">
        <v>0</v>
      </c>
      <c r="O17" s="48">
        <v>0</v>
      </c>
      <c r="P17" s="108">
        <v>0</v>
      </c>
      <c r="Q17" s="48">
        <v>0</v>
      </c>
      <c r="R17" s="108">
        <v>0</v>
      </c>
      <c r="S17" s="48">
        <v>0</v>
      </c>
      <c r="T17" s="108">
        <v>0</v>
      </c>
      <c r="U17" s="48">
        <v>0</v>
      </c>
      <c r="V17" s="108">
        <v>0</v>
      </c>
      <c r="W17" s="48">
        <v>0</v>
      </c>
      <c r="X17" s="108">
        <v>0</v>
      </c>
      <c r="Y17" s="48">
        <v>0</v>
      </c>
      <c r="Z17" s="110">
        <f t="shared" si="10"/>
        <v>0</v>
      </c>
      <c r="AA17" s="105">
        <f t="shared" si="11"/>
        <v>0</v>
      </c>
    </row>
    <row r="18" spans="1:27" x14ac:dyDescent="0.25">
      <c r="A18" s="103" t="s">
        <v>67</v>
      </c>
      <c r="B18" s="27" cm="1">
        <f t="array" ref="B18:Y18">_xlfn.XLOOKUP(A18,'PR Trending Data'!A19:A84,'PR Trending Data'!B19:Y84)</f>
        <v>0</v>
      </c>
      <c r="C18" s="47">
        <v>0</v>
      </c>
      <c r="D18" s="27">
        <v>0</v>
      </c>
      <c r="E18" s="47">
        <v>0</v>
      </c>
      <c r="F18" s="27">
        <v>0</v>
      </c>
      <c r="G18" s="47">
        <v>0</v>
      </c>
      <c r="H18" s="27">
        <v>0</v>
      </c>
      <c r="I18" s="47">
        <v>0</v>
      </c>
      <c r="J18" s="27">
        <v>0</v>
      </c>
      <c r="K18" s="47">
        <v>0</v>
      </c>
      <c r="L18" s="27">
        <v>12970</v>
      </c>
      <c r="M18" s="47">
        <v>5.61</v>
      </c>
      <c r="N18" s="27">
        <v>-12970</v>
      </c>
      <c r="O18" s="47">
        <v>-5.46</v>
      </c>
      <c r="P18" s="27">
        <v>0</v>
      </c>
      <c r="Q18" s="47">
        <v>0</v>
      </c>
      <c r="R18" s="27">
        <v>0</v>
      </c>
      <c r="S18" s="47">
        <v>0</v>
      </c>
      <c r="T18" s="27">
        <v>0</v>
      </c>
      <c r="U18" s="47">
        <v>0</v>
      </c>
      <c r="V18" s="27">
        <v>0</v>
      </c>
      <c r="W18" s="47">
        <v>0</v>
      </c>
      <c r="X18" s="27">
        <v>0</v>
      </c>
      <c r="Y18" s="47">
        <v>0</v>
      </c>
      <c r="Z18" s="109">
        <f t="shared" ref="Z18" si="16">B18+D18+F18+H18+J18+L18+N18+P18+R18+T18+V18+X18</f>
        <v>0</v>
      </c>
      <c r="AA18" s="104">
        <f t="shared" ref="AA18" si="17">C18+E18+G18+I18+K18+M18+O18+Q18+S18+U18+W18+Y18</f>
        <v>0.15000000000000036</v>
      </c>
    </row>
    <row r="19" spans="1:27" x14ac:dyDescent="0.25">
      <c r="A19" s="30" t="s">
        <v>68</v>
      </c>
      <c r="B19" s="108" cm="1">
        <f t="array" ref="B19:Y19">_xlfn.XLOOKUP(A19,'PR Trending Data'!A20:A85,'PR Trending Data'!B20:Y85)</f>
        <v>36740</v>
      </c>
      <c r="C19" s="48">
        <v>14.32</v>
      </c>
      <c r="D19" s="108">
        <v>36131</v>
      </c>
      <c r="E19" s="48">
        <v>15.05</v>
      </c>
      <c r="F19" s="108">
        <v>35983</v>
      </c>
      <c r="G19" s="48">
        <v>13.88</v>
      </c>
      <c r="H19" s="108">
        <v>33791</v>
      </c>
      <c r="I19" s="48">
        <v>15</v>
      </c>
      <c r="J19" s="108">
        <v>33989</v>
      </c>
      <c r="K19" s="48">
        <v>13.78</v>
      </c>
      <c r="L19" s="108">
        <v>27241</v>
      </c>
      <c r="M19" s="48">
        <v>11.79</v>
      </c>
      <c r="N19" s="108">
        <v>47661</v>
      </c>
      <c r="O19" s="48">
        <v>20.07</v>
      </c>
      <c r="P19" s="108">
        <v>34825</v>
      </c>
      <c r="Q19" s="48">
        <v>14.9</v>
      </c>
      <c r="R19" s="108">
        <v>35716</v>
      </c>
      <c r="S19" s="48">
        <v>14.51</v>
      </c>
      <c r="T19" s="108">
        <v>40897</v>
      </c>
      <c r="U19" s="48">
        <v>18.03</v>
      </c>
      <c r="V19" s="108">
        <v>39372</v>
      </c>
      <c r="W19" s="48">
        <v>18.36</v>
      </c>
      <c r="X19" s="108">
        <v>40479</v>
      </c>
      <c r="Y19" s="48">
        <v>16.52</v>
      </c>
      <c r="Z19" s="110">
        <f t="shared" si="10"/>
        <v>442825</v>
      </c>
      <c r="AA19" s="105">
        <f t="shared" si="11"/>
        <v>186.21</v>
      </c>
    </row>
    <row r="20" spans="1:27" x14ac:dyDescent="0.25">
      <c r="A20" s="103" t="s">
        <v>69</v>
      </c>
      <c r="B20" s="27" cm="1">
        <f t="array" ref="B20:Y20">_xlfn.XLOOKUP(A20,'PR Trending Data'!A21:A86,'PR Trending Data'!B21:Y86)</f>
        <v>158997</v>
      </c>
      <c r="C20" s="47">
        <v>61.96</v>
      </c>
      <c r="D20" s="27">
        <v>131266</v>
      </c>
      <c r="E20" s="47">
        <v>54.67</v>
      </c>
      <c r="F20" s="27">
        <v>156700</v>
      </c>
      <c r="G20" s="47">
        <v>60.43</v>
      </c>
      <c r="H20" s="27">
        <v>157884</v>
      </c>
      <c r="I20" s="47">
        <v>70.08</v>
      </c>
      <c r="J20" s="27">
        <v>171345</v>
      </c>
      <c r="K20" s="47">
        <v>69.48</v>
      </c>
      <c r="L20" s="27">
        <v>162985</v>
      </c>
      <c r="M20" s="47">
        <v>70.56</v>
      </c>
      <c r="N20" s="27">
        <v>155904</v>
      </c>
      <c r="O20" s="47">
        <v>65.64</v>
      </c>
      <c r="P20" s="27">
        <v>145993</v>
      </c>
      <c r="Q20" s="47">
        <v>62.47</v>
      </c>
      <c r="R20" s="27">
        <v>154712</v>
      </c>
      <c r="S20" s="47">
        <v>62.84</v>
      </c>
      <c r="T20" s="27">
        <v>142246</v>
      </c>
      <c r="U20" s="47">
        <v>62.72</v>
      </c>
      <c r="V20" s="27">
        <v>151314</v>
      </c>
      <c r="W20" s="47">
        <v>70.540000000000006</v>
      </c>
      <c r="X20" s="27">
        <v>172369</v>
      </c>
      <c r="Y20" s="47">
        <v>70.33</v>
      </c>
      <c r="Z20" s="109">
        <f t="shared" si="10"/>
        <v>1861715</v>
      </c>
      <c r="AA20" s="104">
        <f t="shared" si="11"/>
        <v>781.72</v>
      </c>
    </row>
    <row r="21" spans="1:27" x14ac:dyDescent="0.25">
      <c r="A21" s="30" t="s">
        <v>70</v>
      </c>
      <c r="B21" s="108" cm="1">
        <f t="array" ref="B21:Y21">_xlfn.XLOOKUP(A21,'PR Trending Data'!A22:A87,'PR Trending Data'!B22:Y87)</f>
        <v>0</v>
      </c>
      <c r="C21" s="48">
        <v>0</v>
      </c>
      <c r="D21" s="108">
        <v>0</v>
      </c>
      <c r="E21" s="48">
        <v>0</v>
      </c>
      <c r="F21" s="108">
        <v>9</v>
      </c>
      <c r="G21" s="48">
        <v>0</v>
      </c>
      <c r="H21" s="108">
        <v>51</v>
      </c>
      <c r="I21" s="48">
        <v>0.02</v>
      </c>
      <c r="J21" s="108">
        <v>0</v>
      </c>
      <c r="K21" s="48">
        <v>0</v>
      </c>
      <c r="L21" s="108">
        <v>0</v>
      </c>
      <c r="M21" s="48">
        <v>0</v>
      </c>
      <c r="N21" s="108">
        <v>0</v>
      </c>
      <c r="O21" s="48">
        <v>0</v>
      </c>
      <c r="P21" s="108">
        <v>0</v>
      </c>
      <c r="Q21" s="48">
        <v>0</v>
      </c>
      <c r="R21" s="108">
        <v>0</v>
      </c>
      <c r="S21" s="48">
        <v>0</v>
      </c>
      <c r="T21" s="108">
        <v>0</v>
      </c>
      <c r="U21" s="48">
        <v>0</v>
      </c>
      <c r="V21" s="108">
        <v>0</v>
      </c>
      <c r="W21" s="48">
        <v>0</v>
      </c>
      <c r="X21" s="108">
        <v>0</v>
      </c>
      <c r="Y21" s="48">
        <v>0</v>
      </c>
      <c r="Z21" s="110">
        <f t="shared" si="10"/>
        <v>60</v>
      </c>
      <c r="AA21" s="105">
        <f t="shared" si="11"/>
        <v>0.02</v>
      </c>
    </row>
    <row r="22" spans="1:27" x14ac:dyDescent="0.25">
      <c r="A22" s="103" t="s">
        <v>71</v>
      </c>
      <c r="B22" s="27" cm="1">
        <f t="array" ref="B22:Y22">_xlfn.XLOOKUP(A22,'PR Trending Data'!A23:A88,'PR Trending Data'!B23:Y88)</f>
        <v>0</v>
      </c>
      <c r="C22" s="47">
        <v>0</v>
      </c>
      <c r="D22" s="27">
        <v>0</v>
      </c>
      <c r="E22" s="47">
        <v>0</v>
      </c>
      <c r="F22" s="27">
        <v>0</v>
      </c>
      <c r="G22" s="47">
        <v>0</v>
      </c>
      <c r="H22" s="27">
        <v>0</v>
      </c>
      <c r="I22" s="47">
        <v>0</v>
      </c>
      <c r="J22" s="27">
        <v>0</v>
      </c>
      <c r="K22" s="47">
        <v>0</v>
      </c>
      <c r="L22" s="27">
        <v>0</v>
      </c>
      <c r="M22" s="47">
        <v>0</v>
      </c>
      <c r="N22" s="27">
        <v>0</v>
      </c>
      <c r="O22" s="47">
        <v>0</v>
      </c>
      <c r="P22" s="27">
        <v>0</v>
      </c>
      <c r="Q22" s="47">
        <v>0</v>
      </c>
      <c r="R22" s="27">
        <v>0</v>
      </c>
      <c r="S22" s="47">
        <v>0</v>
      </c>
      <c r="T22" s="27">
        <v>0</v>
      </c>
      <c r="U22" s="47">
        <v>0</v>
      </c>
      <c r="V22" s="27">
        <v>0</v>
      </c>
      <c r="W22" s="47">
        <v>0</v>
      </c>
      <c r="X22" s="27">
        <v>0</v>
      </c>
      <c r="Y22" s="47">
        <v>0</v>
      </c>
      <c r="Z22" s="109">
        <f t="shared" ref="Z22" si="18">B22+D22+F22+H22+J22+L22+N22+P22+R22+T22+V22+X22</f>
        <v>0</v>
      </c>
      <c r="AA22" s="104">
        <f t="shared" ref="AA22" si="19">C22+E22+G22+I22+K22+M22+O22+Q22+S22+U22+W22+Y22</f>
        <v>0</v>
      </c>
    </row>
    <row r="23" spans="1:27" x14ac:dyDescent="0.25">
      <c r="A23" s="30" t="s">
        <v>72</v>
      </c>
      <c r="B23" s="108" cm="1">
        <f t="array" ref="B23:Y23">_xlfn.XLOOKUP(A23,'PR Trending Data'!A24:A89,'PR Trending Data'!B24:Y89)</f>
        <v>0</v>
      </c>
      <c r="C23" s="48">
        <v>0</v>
      </c>
      <c r="D23" s="108">
        <v>0</v>
      </c>
      <c r="E23" s="48">
        <v>0</v>
      </c>
      <c r="F23" s="108">
        <v>0</v>
      </c>
      <c r="G23" s="48">
        <v>0</v>
      </c>
      <c r="H23" s="108">
        <v>0</v>
      </c>
      <c r="I23" s="48">
        <v>0</v>
      </c>
      <c r="J23" s="108">
        <v>0</v>
      </c>
      <c r="K23" s="48">
        <v>0</v>
      </c>
      <c r="L23" s="108">
        <v>0</v>
      </c>
      <c r="M23" s="48">
        <v>0</v>
      </c>
      <c r="N23" s="108">
        <v>0</v>
      </c>
      <c r="O23" s="48">
        <v>0</v>
      </c>
      <c r="P23" s="108">
        <v>0</v>
      </c>
      <c r="Q23" s="48">
        <v>0</v>
      </c>
      <c r="R23" s="108">
        <v>0</v>
      </c>
      <c r="S23" s="48">
        <v>0</v>
      </c>
      <c r="T23" s="108">
        <v>0</v>
      </c>
      <c r="U23" s="48">
        <v>0</v>
      </c>
      <c r="V23" s="108">
        <v>0</v>
      </c>
      <c r="W23" s="48">
        <v>0</v>
      </c>
      <c r="X23" s="108">
        <v>0</v>
      </c>
      <c r="Y23" s="48">
        <v>0</v>
      </c>
      <c r="Z23" s="110">
        <f t="shared" ref="Z23" si="20">B23+D23+F23+H23+J23+L23+N23+P23+R23+T23+V23+X23</f>
        <v>0</v>
      </c>
      <c r="AA23" s="105">
        <f t="shared" ref="AA23" si="21">C23+E23+G23+I23+K23+M23+O23+Q23+S23+U23+W23+Y23</f>
        <v>0</v>
      </c>
    </row>
    <row r="24" spans="1:27" x14ac:dyDescent="0.25">
      <c r="A24" s="103" t="s">
        <v>73</v>
      </c>
      <c r="B24" s="27" cm="1">
        <f t="array" ref="B24:Y24">_xlfn.XLOOKUP(A24,'PR Trending Data'!A25:A90,'PR Trending Data'!B25:Y90)</f>
        <v>7723</v>
      </c>
      <c r="C24" s="47">
        <v>3.01</v>
      </c>
      <c r="D24" s="27">
        <v>7800</v>
      </c>
      <c r="E24" s="47">
        <v>3.25</v>
      </c>
      <c r="F24" s="27">
        <v>7670</v>
      </c>
      <c r="G24" s="47">
        <v>2.96</v>
      </c>
      <c r="H24" s="27">
        <v>7340</v>
      </c>
      <c r="I24" s="47">
        <v>3.26</v>
      </c>
      <c r="J24" s="27">
        <v>8444</v>
      </c>
      <c r="K24" s="47">
        <v>3.42</v>
      </c>
      <c r="L24" s="27">
        <v>7123</v>
      </c>
      <c r="M24" s="47">
        <v>3.08</v>
      </c>
      <c r="N24" s="27">
        <v>7715</v>
      </c>
      <c r="O24" s="47">
        <v>3.25</v>
      </c>
      <c r="P24" s="27">
        <v>7615</v>
      </c>
      <c r="Q24" s="47">
        <v>3.26</v>
      </c>
      <c r="R24" s="27">
        <v>7479</v>
      </c>
      <c r="S24" s="47">
        <v>3.04</v>
      </c>
      <c r="T24" s="27">
        <v>7624</v>
      </c>
      <c r="U24" s="47">
        <v>3.36</v>
      </c>
      <c r="V24" s="27">
        <v>7485</v>
      </c>
      <c r="W24" s="47">
        <v>3.49</v>
      </c>
      <c r="X24" s="27">
        <v>8478</v>
      </c>
      <c r="Y24" s="47">
        <v>3.46</v>
      </c>
      <c r="Z24" s="109">
        <f t="shared" si="10"/>
        <v>92496</v>
      </c>
      <c r="AA24" s="104">
        <f t="shared" si="11"/>
        <v>38.839999999999996</v>
      </c>
    </row>
    <row r="25" spans="1:27" x14ac:dyDescent="0.25">
      <c r="A25" s="30" t="s">
        <v>74</v>
      </c>
      <c r="B25" s="108" cm="1">
        <f t="array" ref="B25:Y25">_xlfn.XLOOKUP(A25,'PR Trending Data'!A26:A91,'PR Trending Data'!B26:Y91)</f>
        <v>0</v>
      </c>
      <c r="C25" s="48">
        <v>0</v>
      </c>
      <c r="D25" s="108">
        <v>0</v>
      </c>
      <c r="E25" s="48">
        <v>0</v>
      </c>
      <c r="F25" s="108">
        <v>0</v>
      </c>
      <c r="G25" s="48">
        <v>0</v>
      </c>
      <c r="H25" s="108">
        <v>0</v>
      </c>
      <c r="I25" s="48">
        <v>0</v>
      </c>
      <c r="J25" s="108">
        <v>0</v>
      </c>
      <c r="K25" s="48">
        <v>0</v>
      </c>
      <c r="L25" s="108">
        <v>0</v>
      </c>
      <c r="M25" s="48">
        <v>0</v>
      </c>
      <c r="N25" s="108">
        <v>0</v>
      </c>
      <c r="O25" s="48">
        <v>0</v>
      </c>
      <c r="P25" s="108">
        <v>0</v>
      </c>
      <c r="Q25" s="48">
        <v>0</v>
      </c>
      <c r="R25" s="108">
        <v>0</v>
      </c>
      <c r="S25" s="48">
        <v>0</v>
      </c>
      <c r="T25" s="108">
        <v>0</v>
      </c>
      <c r="U25" s="48">
        <v>0</v>
      </c>
      <c r="V25" s="108">
        <v>0</v>
      </c>
      <c r="W25" s="48">
        <v>0</v>
      </c>
      <c r="X25" s="108">
        <v>0</v>
      </c>
      <c r="Y25" s="48">
        <v>0</v>
      </c>
      <c r="Z25" s="110">
        <f t="shared" ref="Z25" si="22">B25+D25+F25+H25+J25+L25+N25+P25+R25+T25+V25+X25</f>
        <v>0</v>
      </c>
      <c r="AA25" s="105">
        <f t="shared" ref="AA25" si="23">C25+E25+G25+I25+K25+M25+O25+Q25+S25+U25+W25+Y25</f>
        <v>0</v>
      </c>
    </row>
    <row r="26" spans="1:27" x14ac:dyDescent="0.25">
      <c r="A26" s="103" t="s">
        <v>75</v>
      </c>
      <c r="B26" s="27" cm="1">
        <f t="array" ref="B26:Y26">_xlfn.XLOOKUP(A26,'PR Trending Data'!A27:A92,'PR Trending Data'!B27:Y92)</f>
        <v>0</v>
      </c>
      <c r="C26" s="47">
        <v>0</v>
      </c>
      <c r="D26" s="27">
        <v>0</v>
      </c>
      <c r="E26" s="47">
        <v>0</v>
      </c>
      <c r="F26" s="27">
        <v>0</v>
      </c>
      <c r="G26" s="47">
        <v>0</v>
      </c>
      <c r="H26" s="27">
        <v>0</v>
      </c>
      <c r="I26" s="47">
        <v>0</v>
      </c>
      <c r="J26" s="27">
        <v>0</v>
      </c>
      <c r="K26" s="47">
        <v>0</v>
      </c>
      <c r="L26" s="27">
        <v>0</v>
      </c>
      <c r="M26" s="47">
        <v>0</v>
      </c>
      <c r="N26" s="27">
        <v>0</v>
      </c>
      <c r="O26" s="47">
        <v>0</v>
      </c>
      <c r="P26" s="27">
        <v>0</v>
      </c>
      <c r="Q26" s="47">
        <v>0</v>
      </c>
      <c r="R26" s="27">
        <v>0</v>
      </c>
      <c r="S26" s="47">
        <v>0</v>
      </c>
      <c r="T26" s="27">
        <v>0</v>
      </c>
      <c r="U26" s="47">
        <v>0</v>
      </c>
      <c r="V26" s="27">
        <v>0</v>
      </c>
      <c r="W26" s="47">
        <v>0</v>
      </c>
      <c r="X26" s="27">
        <v>0</v>
      </c>
      <c r="Y26" s="47">
        <v>0</v>
      </c>
      <c r="Z26" s="109">
        <f t="shared" ref="Z26" si="24">B26+D26+F26+H26+J26+L26+N26+P26+R26+T26+V26+X26</f>
        <v>0</v>
      </c>
      <c r="AA26" s="104">
        <f t="shared" ref="AA26" si="25">C26+E26+G26+I26+K26+M26+O26+Q26+S26+U26+W26+Y26</f>
        <v>0</v>
      </c>
    </row>
    <row r="27" spans="1:27" x14ac:dyDescent="0.25">
      <c r="A27" s="30" t="s">
        <v>76</v>
      </c>
      <c r="B27" s="108" cm="1">
        <f t="array" ref="B27:Y27">_xlfn.XLOOKUP(A27,'PR Trending Data'!A28:A93,'PR Trending Data'!B28:Y93)</f>
        <v>0</v>
      </c>
      <c r="C27" s="48">
        <v>0</v>
      </c>
      <c r="D27" s="108">
        <v>0</v>
      </c>
      <c r="E27" s="48">
        <v>0</v>
      </c>
      <c r="F27" s="108">
        <v>0</v>
      </c>
      <c r="G27" s="48">
        <v>0</v>
      </c>
      <c r="H27" s="108">
        <v>0</v>
      </c>
      <c r="I27" s="48">
        <v>0</v>
      </c>
      <c r="J27" s="108">
        <v>0</v>
      </c>
      <c r="K27" s="48">
        <v>0</v>
      </c>
      <c r="L27" s="108">
        <v>0</v>
      </c>
      <c r="M27" s="48">
        <v>0</v>
      </c>
      <c r="N27" s="108">
        <v>0</v>
      </c>
      <c r="O27" s="48">
        <v>0</v>
      </c>
      <c r="P27" s="108">
        <v>0</v>
      </c>
      <c r="Q27" s="48">
        <v>0</v>
      </c>
      <c r="R27" s="108">
        <v>0</v>
      </c>
      <c r="S27" s="48">
        <v>0</v>
      </c>
      <c r="T27" s="108">
        <v>0</v>
      </c>
      <c r="U27" s="48">
        <v>0</v>
      </c>
      <c r="V27" s="108">
        <v>0</v>
      </c>
      <c r="W27" s="48">
        <v>0</v>
      </c>
      <c r="X27" s="108">
        <v>0</v>
      </c>
      <c r="Y27" s="48">
        <v>0</v>
      </c>
      <c r="Z27" s="110">
        <f t="shared" ref="Z27" si="26">B27+D27+F27+H27+J27+L27+N27+P27+R27+T27+V27+X27</f>
        <v>0</v>
      </c>
      <c r="AA27" s="105">
        <f t="shared" ref="AA27" si="27">C27+E27+G27+I27+K27+M27+O27+Q27+S27+U27+W27+Y27</f>
        <v>0</v>
      </c>
    </row>
    <row r="28" spans="1:27" x14ac:dyDescent="0.25">
      <c r="A28" s="103" t="s">
        <v>77</v>
      </c>
      <c r="B28" s="27" cm="1">
        <f t="array" ref="B28:Y28">_xlfn.XLOOKUP(A28,'PR Trending Data'!A29:A94,'PR Trending Data'!B29:Y94)</f>
        <v>11503</v>
      </c>
      <c r="C28" s="47">
        <v>4.4800000000000004</v>
      </c>
      <c r="D28" s="27">
        <v>10854</v>
      </c>
      <c r="E28" s="47">
        <v>4.5199999999999996</v>
      </c>
      <c r="F28" s="27">
        <v>11801</v>
      </c>
      <c r="G28" s="47">
        <v>4.55</v>
      </c>
      <c r="H28" s="27">
        <v>11645</v>
      </c>
      <c r="I28" s="47">
        <v>5.17</v>
      </c>
      <c r="J28" s="27">
        <v>12039</v>
      </c>
      <c r="K28" s="47">
        <v>4.88</v>
      </c>
      <c r="L28" s="27">
        <v>11998</v>
      </c>
      <c r="M28" s="47">
        <v>5.19</v>
      </c>
      <c r="N28" s="27">
        <v>12072</v>
      </c>
      <c r="O28" s="47">
        <v>5.08</v>
      </c>
      <c r="P28" s="27">
        <v>12007</v>
      </c>
      <c r="Q28" s="47">
        <v>5.14</v>
      </c>
      <c r="R28" s="27">
        <v>11764</v>
      </c>
      <c r="S28" s="47">
        <v>4.78</v>
      </c>
      <c r="T28" s="27">
        <v>11970</v>
      </c>
      <c r="U28" s="47">
        <v>5.28</v>
      </c>
      <c r="V28" s="27">
        <v>11860</v>
      </c>
      <c r="W28" s="47">
        <v>5.53</v>
      </c>
      <c r="X28" s="27">
        <v>12702</v>
      </c>
      <c r="Y28" s="47">
        <v>5.18</v>
      </c>
      <c r="Z28" s="109">
        <f t="shared" si="10"/>
        <v>142215</v>
      </c>
      <c r="AA28" s="104">
        <f t="shared" si="11"/>
        <v>59.78</v>
      </c>
    </row>
    <row r="29" spans="1:27" x14ac:dyDescent="0.25">
      <c r="A29" s="30" t="s">
        <v>78</v>
      </c>
      <c r="B29" s="108" cm="1">
        <f t="array" ref="B29:Y29">_xlfn.XLOOKUP(A29,'PR Trending Data'!A30:A95,'PR Trending Data'!B30:Y95)</f>
        <v>0</v>
      </c>
      <c r="C29" s="48">
        <v>0</v>
      </c>
      <c r="D29" s="108">
        <v>30</v>
      </c>
      <c r="E29" s="48">
        <v>0.01</v>
      </c>
      <c r="F29" s="108">
        <v>2</v>
      </c>
      <c r="G29" s="48">
        <v>0</v>
      </c>
      <c r="H29" s="108">
        <v>395</v>
      </c>
      <c r="I29" s="48">
        <v>0.18</v>
      </c>
      <c r="J29" s="108">
        <v>0</v>
      </c>
      <c r="K29" s="48">
        <v>0</v>
      </c>
      <c r="L29" s="108">
        <v>0</v>
      </c>
      <c r="M29" s="48">
        <v>0</v>
      </c>
      <c r="N29" s="108">
        <v>13</v>
      </c>
      <c r="O29" s="48">
        <v>0.01</v>
      </c>
      <c r="P29" s="108">
        <v>2</v>
      </c>
      <c r="Q29" s="48">
        <v>0</v>
      </c>
      <c r="R29" s="108">
        <v>0</v>
      </c>
      <c r="S29" s="48">
        <v>0</v>
      </c>
      <c r="T29" s="108">
        <v>0</v>
      </c>
      <c r="U29" s="48">
        <v>0</v>
      </c>
      <c r="V29" s="108">
        <v>0</v>
      </c>
      <c r="W29" s="48">
        <v>0</v>
      </c>
      <c r="X29" s="108">
        <v>0</v>
      </c>
      <c r="Y29" s="48">
        <v>0</v>
      </c>
      <c r="Z29" s="110">
        <f t="shared" ref="Z29" si="28">B29+D29+F29+H29+J29+L29+N29+P29+R29+T29+V29+X29</f>
        <v>442</v>
      </c>
      <c r="AA29" s="105">
        <f t="shared" ref="AA29" si="29">C29+E29+G29+I29+K29+M29+O29+Q29+S29+U29+W29+Y29</f>
        <v>0.2</v>
      </c>
    </row>
    <row r="30" spans="1:27" x14ac:dyDescent="0.25">
      <c r="A30" s="103" t="s">
        <v>79</v>
      </c>
      <c r="B30" s="27" cm="1">
        <f t="array" ref="B30:Y30">_xlfn.XLOOKUP(A30,'PR Trending Data'!A31:A96,'PR Trending Data'!B31:Y96)</f>
        <v>5958</v>
      </c>
      <c r="C30" s="47">
        <v>2.3199999999999998</v>
      </c>
      <c r="D30" s="27">
        <v>5176</v>
      </c>
      <c r="E30" s="47">
        <v>2.16</v>
      </c>
      <c r="F30" s="27">
        <v>5881</v>
      </c>
      <c r="G30" s="47">
        <v>2.27</v>
      </c>
      <c r="H30" s="27">
        <v>5760</v>
      </c>
      <c r="I30" s="47">
        <v>2.56</v>
      </c>
      <c r="J30" s="27">
        <v>5854</v>
      </c>
      <c r="K30" s="47">
        <v>2.37</v>
      </c>
      <c r="L30" s="27">
        <v>5563</v>
      </c>
      <c r="M30" s="47">
        <v>2.41</v>
      </c>
      <c r="N30" s="27">
        <v>5970</v>
      </c>
      <c r="O30" s="47">
        <v>2.5099999999999998</v>
      </c>
      <c r="P30" s="27">
        <v>5762</v>
      </c>
      <c r="Q30" s="47">
        <v>2.4700000000000002</v>
      </c>
      <c r="R30" s="27">
        <v>6067</v>
      </c>
      <c r="S30" s="47">
        <v>2.46</v>
      </c>
      <c r="T30" s="27">
        <v>6109</v>
      </c>
      <c r="U30" s="47">
        <v>2.69</v>
      </c>
      <c r="V30" s="27">
        <v>5845</v>
      </c>
      <c r="W30" s="47">
        <v>2.73</v>
      </c>
      <c r="X30" s="27">
        <v>5870</v>
      </c>
      <c r="Y30" s="47">
        <v>2.39</v>
      </c>
      <c r="Z30" s="109">
        <f t="shared" si="10"/>
        <v>69815</v>
      </c>
      <c r="AA30" s="104">
        <f t="shared" si="11"/>
        <v>29.340000000000003</v>
      </c>
    </row>
    <row r="31" spans="1:27" x14ac:dyDescent="0.25">
      <c r="A31" s="30" t="s">
        <v>80</v>
      </c>
      <c r="B31" s="108" cm="1">
        <f t="array" ref="B31:Y31">_xlfn.XLOOKUP(A31,'PR Trending Data'!A32:A97,'PR Trending Data'!B32:Y97)</f>
        <v>0</v>
      </c>
      <c r="C31" s="48">
        <v>0</v>
      </c>
      <c r="D31" s="108">
        <v>0</v>
      </c>
      <c r="E31" s="48">
        <v>0</v>
      </c>
      <c r="F31" s="108">
        <v>0</v>
      </c>
      <c r="G31" s="48">
        <v>0</v>
      </c>
      <c r="H31" s="108">
        <v>0</v>
      </c>
      <c r="I31" s="48">
        <v>0</v>
      </c>
      <c r="J31" s="108">
        <v>0</v>
      </c>
      <c r="K31" s="48">
        <v>0</v>
      </c>
      <c r="L31" s="108">
        <v>0</v>
      </c>
      <c r="M31" s="48">
        <v>0</v>
      </c>
      <c r="N31" s="108">
        <v>0</v>
      </c>
      <c r="O31" s="48">
        <v>0</v>
      </c>
      <c r="P31" s="108">
        <v>0</v>
      </c>
      <c r="Q31" s="48">
        <v>0</v>
      </c>
      <c r="R31" s="108">
        <v>0</v>
      </c>
      <c r="S31" s="48">
        <v>0</v>
      </c>
      <c r="T31" s="108">
        <v>0</v>
      </c>
      <c r="U31" s="48">
        <v>0</v>
      </c>
      <c r="V31" s="108">
        <v>0</v>
      </c>
      <c r="W31" s="48">
        <v>0</v>
      </c>
      <c r="X31" s="108">
        <v>0</v>
      </c>
      <c r="Y31" s="48">
        <v>0</v>
      </c>
      <c r="Z31" s="110">
        <f t="shared" ref="Z31" si="30">B31+D31+F31+H31+J31+L31+N31+P31+R31+T31+V31+X31</f>
        <v>0</v>
      </c>
      <c r="AA31" s="105">
        <f t="shared" ref="AA31" si="31">C31+E31+G31+I31+K31+M31+O31+Q31+S31+U31+W31+Y31</f>
        <v>0</v>
      </c>
    </row>
    <row r="32" spans="1:27" x14ac:dyDescent="0.25">
      <c r="A32" s="103" t="s">
        <v>81</v>
      </c>
      <c r="B32" s="27" cm="1">
        <f t="array" ref="B32:Y32">_xlfn.XLOOKUP(A32,'PR Trending Data'!A33:A98,'PR Trending Data'!B33:Y98)</f>
        <v>0</v>
      </c>
      <c r="C32" s="47">
        <v>0</v>
      </c>
      <c r="D32" s="27">
        <v>0</v>
      </c>
      <c r="E32" s="47">
        <v>0</v>
      </c>
      <c r="F32" s="27">
        <v>1017</v>
      </c>
      <c r="G32" s="47">
        <v>0.39</v>
      </c>
      <c r="H32" s="27">
        <v>0</v>
      </c>
      <c r="I32" s="47">
        <v>0</v>
      </c>
      <c r="J32" s="27">
        <v>0</v>
      </c>
      <c r="K32" s="47">
        <v>0</v>
      </c>
      <c r="L32" s="27">
        <v>3079</v>
      </c>
      <c r="M32" s="47">
        <v>1.33</v>
      </c>
      <c r="N32" s="27">
        <v>0</v>
      </c>
      <c r="O32" s="47">
        <v>0</v>
      </c>
      <c r="P32" s="27">
        <v>2217</v>
      </c>
      <c r="Q32" s="47">
        <v>0.95</v>
      </c>
      <c r="R32" s="27">
        <v>1518</v>
      </c>
      <c r="S32" s="47">
        <v>0.62</v>
      </c>
      <c r="T32" s="27">
        <v>1282</v>
      </c>
      <c r="U32" s="47">
        <v>0.56999999999999995</v>
      </c>
      <c r="V32" s="27">
        <v>1427</v>
      </c>
      <c r="W32" s="47">
        <v>0.67</v>
      </c>
      <c r="X32" s="27">
        <v>1052</v>
      </c>
      <c r="Y32" s="47">
        <v>0.43</v>
      </c>
      <c r="Z32" s="109">
        <f t="shared" ref="Z32" si="32">B32+D32+F32+H32+J32+L32+N32+P32+R32+T32+V32+X32</f>
        <v>11592</v>
      </c>
      <c r="AA32" s="104">
        <f t="shared" ref="AA32" si="33">C32+E32+G32+I32+K32+M32+O32+Q32+S32+U32+W32+Y32</f>
        <v>4.96</v>
      </c>
    </row>
    <row r="33" spans="1:27" x14ac:dyDescent="0.25">
      <c r="A33" s="30" t="s">
        <v>82</v>
      </c>
      <c r="B33" s="108" cm="1">
        <f t="array" ref="B33:Y33">_xlfn.XLOOKUP(A33,'PR Trending Data'!A34:A99,'PR Trending Data'!B34:Y99)</f>
        <v>0</v>
      </c>
      <c r="C33" s="48">
        <v>0</v>
      </c>
      <c r="D33" s="108">
        <v>0</v>
      </c>
      <c r="E33" s="48">
        <v>0</v>
      </c>
      <c r="F33" s="108">
        <v>0</v>
      </c>
      <c r="G33" s="48">
        <v>0</v>
      </c>
      <c r="H33" s="108">
        <v>0</v>
      </c>
      <c r="I33" s="48">
        <v>0</v>
      </c>
      <c r="J33" s="108">
        <v>0</v>
      </c>
      <c r="K33" s="48">
        <v>0</v>
      </c>
      <c r="L33" s="108">
        <v>0</v>
      </c>
      <c r="M33" s="48">
        <v>0</v>
      </c>
      <c r="N33" s="108">
        <v>0</v>
      </c>
      <c r="O33" s="48">
        <v>0</v>
      </c>
      <c r="P33" s="108">
        <v>0</v>
      </c>
      <c r="Q33" s="48">
        <v>0</v>
      </c>
      <c r="R33" s="108">
        <v>0</v>
      </c>
      <c r="S33" s="48">
        <v>0</v>
      </c>
      <c r="T33" s="108">
        <v>0</v>
      </c>
      <c r="U33" s="48">
        <v>0</v>
      </c>
      <c r="V33" s="108">
        <v>0</v>
      </c>
      <c r="W33" s="48">
        <v>0</v>
      </c>
      <c r="X33" s="108">
        <v>0</v>
      </c>
      <c r="Y33" s="48">
        <v>0</v>
      </c>
      <c r="Z33" s="110">
        <f t="shared" ref="Z33" si="34">B33+D33+F33+H33+J33+L33+N33+P33+R33+T33+V33+X33</f>
        <v>0</v>
      </c>
      <c r="AA33" s="105">
        <f t="shared" ref="AA33" si="35">C33+E33+G33+I33+K33+M33+O33+Q33+S33+U33+W33+Y33</f>
        <v>0</v>
      </c>
    </row>
    <row r="34" spans="1:27" x14ac:dyDescent="0.25">
      <c r="A34" s="103" t="s">
        <v>83</v>
      </c>
      <c r="B34" s="27" cm="1">
        <f t="array" ref="B34:Y34">_xlfn.XLOOKUP(A34,'PR Trending Data'!A35:A100,'PR Trending Data'!B35:Y100)</f>
        <v>7228</v>
      </c>
      <c r="C34" s="47">
        <v>2.82</v>
      </c>
      <c r="D34" s="27">
        <v>6629</v>
      </c>
      <c r="E34" s="47">
        <v>2.76</v>
      </c>
      <c r="F34" s="27">
        <v>8479</v>
      </c>
      <c r="G34" s="47">
        <v>3.27</v>
      </c>
      <c r="H34" s="27">
        <v>7342</v>
      </c>
      <c r="I34" s="47">
        <v>3.26</v>
      </c>
      <c r="J34" s="27">
        <v>7915</v>
      </c>
      <c r="K34" s="47">
        <v>3.21</v>
      </c>
      <c r="L34" s="27">
        <v>8089</v>
      </c>
      <c r="M34" s="47">
        <v>3.5</v>
      </c>
      <c r="N34" s="27">
        <v>6978</v>
      </c>
      <c r="O34" s="47">
        <v>2.94</v>
      </c>
      <c r="P34" s="27">
        <v>7368</v>
      </c>
      <c r="Q34" s="47">
        <v>3.15</v>
      </c>
      <c r="R34" s="27">
        <v>7540</v>
      </c>
      <c r="S34" s="47">
        <v>3.06</v>
      </c>
      <c r="T34" s="27">
        <v>7658</v>
      </c>
      <c r="U34" s="47">
        <v>3.38</v>
      </c>
      <c r="V34" s="27">
        <v>7310</v>
      </c>
      <c r="W34" s="47">
        <v>3.41</v>
      </c>
      <c r="X34" s="27">
        <v>7673</v>
      </c>
      <c r="Y34" s="47">
        <v>3.13</v>
      </c>
      <c r="Z34" s="109">
        <f t="shared" si="10"/>
        <v>90209</v>
      </c>
      <c r="AA34" s="104">
        <f t="shared" si="11"/>
        <v>37.89</v>
      </c>
    </row>
    <row r="35" spans="1:27" x14ac:dyDescent="0.25">
      <c r="A35" s="30" t="s">
        <v>84</v>
      </c>
      <c r="B35" s="108" cm="1">
        <f t="array" ref="B35:Y35">_xlfn.XLOOKUP(A35,'PR Trending Data'!A36:A101,'PR Trending Data'!B36:Y101)</f>
        <v>-1207</v>
      </c>
      <c r="C35" s="48">
        <v>-0.47</v>
      </c>
      <c r="D35" s="108">
        <v>0</v>
      </c>
      <c r="E35" s="48">
        <v>0</v>
      </c>
      <c r="F35" s="108">
        <v>0</v>
      </c>
      <c r="G35" s="48">
        <v>0</v>
      </c>
      <c r="H35" s="108">
        <v>0</v>
      </c>
      <c r="I35" s="48">
        <v>0</v>
      </c>
      <c r="J35" s="108">
        <v>0</v>
      </c>
      <c r="K35" s="48">
        <v>0</v>
      </c>
      <c r="L35" s="108">
        <v>0</v>
      </c>
      <c r="M35" s="48">
        <v>0</v>
      </c>
      <c r="N35" s="108">
        <v>0</v>
      </c>
      <c r="O35" s="48">
        <v>0</v>
      </c>
      <c r="P35" s="108">
        <v>0</v>
      </c>
      <c r="Q35" s="48">
        <v>0</v>
      </c>
      <c r="R35" s="108">
        <v>107</v>
      </c>
      <c r="S35" s="48">
        <v>0.04</v>
      </c>
      <c r="T35" s="108">
        <v>393</v>
      </c>
      <c r="U35" s="48">
        <v>0.17</v>
      </c>
      <c r="V35" s="108">
        <v>0</v>
      </c>
      <c r="W35" s="48">
        <v>0</v>
      </c>
      <c r="X35" s="108">
        <v>0</v>
      </c>
      <c r="Y35" s="48">
        <v>0</v>
      </c>
      <c r="Z35" s="110">
        <f t="shared" ref="Z35" si="36">B35+D35+F35+H35+J35+L35+N35+P35+R35+T35+V35+X35</f>
        <v>-707</v>
      </c>
      <c r="AA35" s="105">
        <f t="shared" ref="AA35" si="37">C35+E35+G35+I35+K35+M35+O35+Q35+S35+U35+W35+Y35</f>
        <v>-0.26</v>
      </c>
    </row>
    <row r="36" spans="1:27" x14ac:dyDescent="0.25">
      <c r="A36" s="103" t="s">
        <v>85</v>
      </c>
      <c r="B36" s="27" cm="1">
        <f t="array" ref="B36:Y36">_xlfn.XLOOKUP(A36,'PR Trending Data'!A37:A102,'PR Trending Data'!B37:Y102)</f>
        <v>10125</v>
      </c>
      <c r="C36" s="47">
        <v>3.95</v>
      </c>
      <c r="D36" s="27">
        <v>7116</v>
      </c>
      <c r="E36" s="47">
        <v>2.96</v>
      </c>
      <c r="F36" s="27">
        <v>7596</v>
      </c>
      <c r="G36" s="47">
        <v>2.93</v>
      </c>
      <c r="H36" s="27">
        <v>7423</v>
      </c>
      <c r="I36" s="47">
        <v>3.29</v>
      </c>
      <c r="J36" s="27">
        <v>10263</v>
      </c>
      <c r="K36" s="47">
        <v>4.16</v>
      </c>
      <c r="L36" s="27">
        <v>11343</v>
      </c>
      <c r="M36" s="47">
        <v>4.91</v>
      </c>
      <c r="N36" s="27">
        <v>11976</v>
      </c>
      <c r="O36" s="47">
        <v>5.04</v>
      </c>
      <c r="P36" s="27">
        <v>12031</v>
      </c>
      <c r="Q36" s="47">
        <v>5.15</v>
      </c>
      <c r="R36" s="27">
        <v>10548</v>
      </c>
      <c r="S36" s="47">
        <v>4.28</v>
      </c>
      <c r="T36" s="27">
        <v>13059</v>
      </c>
      <c r="U36" s="47">
        <v>5.76</v>
      </c>
      <c r="V36" s="27">
        <v>15390</v>
      </c>
      <c r="W36" s="47">
        <v>7.17</v>
      </c>
      <c r="X36" s="27">
        <v>16629</v>
      </c>
      <c r="Y36" s="47">
        <v>6.78</v>
      </c>
      <c r="Z36" s="109">
        <f t="shared" si="10"/>
        <v>133499</v>
      </c>
      <c r="AA36" s="104">
        <f t="shared" si="11"/>
        <v>56.38</v>
      </c>
    </row>
    <row r="37" spans="1:27" x14ac:dyDescent="0.25">
      <c r="A37" s="30" t="s">
        <v>86</v>
      </c>
      <c r="B37" s="108" cm="1">
        <f t="array" ref="B37:Y37">_xlfn.XLOOKUP(A37,'PR Trending Data'!A38:A103,'PR Trending Data'!B38:Y103)</f>
        <v>0</v>
      </c>
      <c r="C37" s="48">
        <v>0</v>
      </c>
      <c r="D37" s="108">
        <v>0</v>
      </c>
      <c r="E37" s="48">
        <v>0</v>
      </c>
      <c r="F37" s="108">
        <v>0</v>
      </c>
      <c r="G37" s="48">
        <v>0</v>
      </c>
      <c r="H37" s="108">
        <v>0</v>
      </c>
      <c r="I37" s="48">
        <v>0</v>
      </c>
      <c r="J37" s="108">
        <v>0</v>
      </c>
      <c r="K37" s="48">
        <v>0</v>
      </c>
      <c r="L37" s="108">
        <v>0</v>
      </c>
      <c r="M37" s="48">
        <v>0</v>
      </c>
      <c r="N37" s="108">
        <v>0</v>
      </c>
      <c r="O37" s="48">
        <v>0</v>
      </c>
      <c r="P37" s="108">
        <v>0</v>
      </c>
      <c r="Q37" s="48">
        <v>0</v>
      </c>
      <c r="R37" s="108">
        <v>0</v>
      </c>
      <c r="S37" s="48">
        <v>0</v>
      </c>
      <c r="T37" s="108">
        <v>0</v>
      </c>
      <c r="U37" s="48">
        <v>0</v>
      </c>
      <c r="V37" s="108">
        <v>0</v>
      </c>
      <c r="W37" s="48">
        <v>0</v>
      </c>
      <c r="X37" s="108">
        <v>0</v>
      </c>
      <c r="Y37" s="48">
        <v>0</v>
      </c>
      <c r="Z37" s="110">
        <f t="shared" ref="Z37" si="38">B37+D37+F37+H37+J37+L37+N37+P37+R37+T37+V37+X37</f>
        <v>0</v>
      </c>
      <c r="AA37" s="105">
        <f t="shared" ref="AA37" si="39">C37+E37+G37+I37+K37+M37+O37+Q37+S37+U37+W37+Y37</f>
        <v>0</v>
      </c>
    </row>
    <row r="38" spans="1:27" x14ac:dyDescent="0.25">
      <c r="A38" s="103" t="s">
        <v>87</v>
      </c>
      <c r="B38" s="27" cm="1">
        <f t="array" ref="B38:Y38">_xlfn.XLOOKUP(A38,'PR Trending Data'!A39:A104,'PR Trending Data'!B39:Y104)</f>
        <v>6134</v>
      </c>
      <c r="C38" s="47">
        <v>2.39</v>
      </c>
      <c r="D38" s="27">
        <v>5539</v>
      </c>
      <c r="E38" s="47">
        <v>2.31</v>
      </c>
      <c r="F38" s="27">
        <v>7460</v>
      </c>
      <c r="G38" s="47">
        <v>2.88</v>
      </c>
      <c r="H38" s="27">
        <v>5610</v>
      </c>
      <c r="I38" s="47">
        <v>2.4900000000000002</v>
      </c>
      <c r="J38" s="27">
        <v>5575</v>
      </c>
      <c r="K38" s="47">
        <v>2.2599999999999998</v>
      </c>
      <c r="L38" s="27">
        <v>5347</v>
      </c>
      <c r="M38" s="47">
        <v>2.31</v>
      </c>
      <c r="N38" s="27">
        <v>5608</v>
      </c>
      <c r="O38" s="47">
        <v>2.36</v>
      </c>
      <c r="P38" s="27">
        <v>5467</v>
      </c>
      <c r="Q38" s="47">
        <v>2.34</v>
      </c>
      <c r="R38" s="27">
        <v>6371</v>
      </c>
      <c r="S38" s="47">
        <v>2.59</v>
      </c>
      <c r="T38" s="27">
        <v>5931</v>
      </c>
      <c r="U38" s="47">
        <v>2.62</v>
      </c>
      <c r="V38" s="27">
        <v>5481</v>
      </c>
      <c r="W38" s="47">
        <v>2.56</v>
      </c>
      <c r="X38" s="27">
        <v>5645</v>
      </c>
      <c r="Y38" s="47">
        <v>2.2999999999999998</v>
      </c>
      <c r="Z38" s="109">
        <f t="shared" si="10"/>
        <v>70168</v>
      </c>
      <c r="AA38" s="104">
        <f t="shared" si="11"/>
        <v>29.41</v>
      </c>
    </row>
    <row r="39" spans="1:27" x14ac:dyDescent="0.25">
      <c r="A39" s="30" t="s">
        <v>88</v>
      </c>
      <c r="B39" s="108" cm="1">
        <f t="array" ref="B39:Y39">_xlfn.XLOOKUP(A39,'PR Trending Data'!A40:A105,'PR Trending Data'!B40:Y105)</f>
        <v>0</v>
      </c>
      <c r="C39" s="48">
        <v>0</v>
      </c>
      <c r="D39" s="108">
        <v>0</v>
      </c>
      <c r="E39" s="48">
        <v>0</v>
      </c>
      <c r="F39" s="108">
        <v>0</v>
      </c>
      <c r="G39" s="48">
        <v>0</v>
      </c>
      <c r="H39" s="108">
        <v>0</v>
      </c>
      <c r="I39" s="48">
        <v>0</v>
      </c>
      <c r="J39" s="108">
        <v>0</v>
      </c>
      <c r="K39" s="48">
        <v>0</v>
      </c>
      <c r="L39" s="108">
        <v>0</v>
      </c>
      <c r="M39" s="48">
        <v>0</v>
      </c>
      <c r="N39" s="108">
        <v>0</v>
      </c>
      <c r="O39" s="48">
        <v>0</v>
      </c>
      <c r="P39" s="108">
        <v>0</v>
      </c>
      <c r="Q39" s="48">
        <v>0</v>
      </c>
      <c r="R39" s="108">
        <v>0</v>
      </c>
      <c r="S39" s="48">
        <v>0</v>
      </c>
      <c r="T39" s="108">
        <v>0</v>
      </c>
      <c r="U39" s="48">
        <v>0</v>
      </c>
      <c r="V39" s="108">
        <v>0</v>
      </c>
      <c r="W39" s="48">
        <v>0</v>
      </c>
      <c r="X39" s="108">
        <v>0</v>
      </c>
      <c r="Y39" s="48">
        <v>0</v>
      </c>
      <c r="Z39" s="110">
        <f t="shared" ref="Z39:Z40" si="40">B39+D39+F39+H39+J39+L39+N39+P39+R39+T39+V39+X39</f>
        <v>0</v>
      </c>
      <c r="AA39" s="105">
        <f t="shared" ref="AA39:AA40" si="41">C39+E39+G39+I39+K39+M39+O39+Q39+S39+U39+W39+Y39</f>
        <v>0</v>
      </c>
    </row>
    <row r="40" spans="1:27" x14ac:dyDescent="0.25">
      <c r="A40" s="103" t="s">
        <v>89</v>
      </c>
      <c r="B40" s="27" cm="1">
        <f t="array" ref="B40:Y40">_xlfn.XLOOKUP(A40,'PR Trending Data'!A41:A106,'PR Trending Data'!B41:Y106)</f>
        <v>0</v>
      </c>
      <c r="C40" s="47">
        <v>0</v>
      </c>
      <c r="D40" s="27">
        <v>0</v>
      </c>
      <c r="E40" s="47">
        <v>0</v>
      </c>
      <c r="F40" s="27">
        <v>0</v>
      </c>
      <c r="G40" s="47">
        <v>0</v>
      </c>
      <c r="H40" s="27">
        <v>0</v>
      </c>
      <c r="I40" s="47">
        <v>0</v>
      </c>
      <c r="J40" s="27">
        <v>0</v>
      </c>
      <c r="K40" s="47">
        <v>0</v>
      </c>
      <c r="L40" s="27">
        <v>0</v>
      </c>
      <c r="M40" s="47">
        <v>0</v>
      </c>
      <c r="N40" s="27">
        <v>0</v>
      </c>
      <c r="O40" s="47">
        <v>0</v>
      </c>
      <c r="P40" s="27">
        <v>0</v>
      </c>
      <c r="Q40" s="47">
        <v>0</v>
      </c>
      <c r="R40" s="27">
        <v>0</v>
      </c>
      <c r="S40" s="47">
        <v>0</v>
      </c>
      <c r="T40" s="27">
        <v>0</v>
      </c>
      <c r="U40" s="47">
        <v>0</v>
      </c>
      <c r="V40" s="27">
        <v>0</v>
      </c>
      <c r="W40" s="47">
        <v>0</v>
      </c>
      <c r="X40" s="27">
        <v>0</v>
      </c>
      <c r="Y40" s="47">
        <v>0</v>
      </c>
      <c r="Z40" s="109">
        <f t="shared" si="40"/>
        <v>0</v>
      </c>
      <c r="AA40" s="104">
        <f t="shared" si="41"/>
        <v>0</v>
      </c>
    </row>
    <row r="41" spans="1:27" x14ac:dyDescent="0.25">
      <c r="A41" s="30" t="s">
        <v>90</v>
      </c>
      <c r="B41" s="108" cm="1">
        <f t="array" ref="B41:Y41">_xlfn.XLOOKUP(A41,'PR Trending Data'!A42:A107,'PR Trending Data'!B42:Y107)</f>
        <v>0</v>
      </c>
      <c r="C41" s="48">
        <v>0</v>
      </c>
      <c r="D41" s="108">
        <v>0</v>
      </c>
      <c r="E41" s="48">
        <v>0</v>
      </c>
      <c r="F41" s="108">
        <v>0</v>
      </c>
      <c r="G41" s="48">
        <v>0</v>
      </c>
      <c r="H41" s="108">
        <v>0</v>
      </c>
      <c r="I41" s="48">
        <v>0</v>
      </c>
      <c r="J41" s="108">
        <v>0</v>
      </c>
      <c r="K41" s="48">
        <v>0</v>
      </c>
      <c r="L41" s="108">
        <v>0</v>
      </c>
      <c r="M41" s="48">
        <v>0</v>
      </c>
      <c r="N41" s="108">
        <v>0</v>
      </c>
      <c r="O41" s="48">
        <v>0</v>
      </c>
      <c r="P41" s="108">
        <v>0</v>
      </c>
      <c r="Q41" s="48">
        <v>0</v>
      </c>
      <c r="R41" s="108">
        <v>0</v>
      </c>
      <c r="S41" s="48">
        <v>0</v>
      </c>
      <c r="T41" s="108">
        <v>0</v>
      </c>
      <c r="U41" s="48">
        <v>0</v>
      </c>
      <c r="V41" s="108">
        <v>0</v>
      </c>
      <c r="W41" s="48">
        <v>0</v>
      </c>
      <c r="X41" s="108">
        <v>0</v>
      </c>
      <c r="Y41" s="48">
        <v>0</v>
      </c>
      <c r="Z41" s="110">
        <f t="shared" ref="Z41" si="42">B41+D41+F41+H41+J41+L41+N41+P41+R41+T41+V41+X41</f>
        <v>0</v>
      </c>
      <c r="AA41" s="105">
        <f t="shared" ref="AA41" si="43">C41+E41+G41+I41+K41+M41+O41+Q41+S41+U41+W41+Y41</f>
        <v>0</v>
      </c>
    </row>
    <row r="42" spans="1:27" x14ac:dyDescent="0.25">
      <c r="A42" s="103" t="s">
        <v>91</v>
      </c>
      <c r="B42" s="27" cm="1">
        <f t="array" ref="B42:Y42">_xlfn.XLOOKUP(A42,'PR Trending Data'!A43:A108,'PR Trending Data'!B43:Y108)</f>
        <v>30789</v>
      </c>
      <c r="C42" s="47">
        <v>12</v>
      </c>
      <c r="D42" s="27">
        <v>27795</v>
      </c>
      <c r="E42" s="47">
        <v>11.58</v>
      </c>
      <c r="F42" s="27">
        <v>28398</v>
      </c>
      <c r="G42" s="47">
        <v>10.95</v>
      </c>
      <c r="H42" s="27">
        <v>27975</v>
      </c>
      <c r="I42" s="47">
        <v>12.42</v>
      </c>
      <c r="J42" s="27">
        <v>30931</v>
      </c>
      <c r="K42" s="47">
        <v>12.54</v>
      </c>
      <c r="L42" s="27">
        <v>32852</v>
      </c>
      <c r="M42" s="47">
        <v>14.22</v>
      </c>
      <c r="N42" s="27">
        <v>27171</v>
      </c>
      <c r="O42" s="47">
        <v>11.44</v>
      </c>
      <c r="P42" s="27">
        <v>28137</v>
      </c>
      <c r="Q42" s="47">
        <v>12.04</v>
      </c>
      <c r="R42" s="27">
        <v>27808</v>
      </c>
      <c r="S42" s="47">
        <v>11.29</v>
      </c>
      <c r="T42" s="27">
        <v>26559</v>
      </c>
      <c r="U42" s="47">
        <v>11.71</v>
      </c>
      <c r="V42" s="27">
        <v>23191</v>
      </c>
      <c r="W42" s="47">
        <v>10.81</v>
      </c>
      <c r="X42" s="27">
        <v>24827</v>
      </c>
      <c r="Y42" s="47">
        <v>10.130000000000001</v>
      </c>
      <c r="Z42" s="109">
        <f t="shared" si="10"/>
        <v>336433</v>
      </c>
      <c r="AA42" s="104">
        <f t="shared" si="11"/>
        <v>141.13</v>
      </c>
    </row>
    <row r="43" spans="1:27" x14ac:dyDescent="0.25">
      <c r="A43" s="30" t="s">
        <v>92</v>
      </c>
      <c r="B43" s="108" cm="1">
        <f t="array" ref="B43:Y43">_xlfn.XLOOKUP(A43,'PR Trending Data'!A44:A109,'PR Trending Data'!B44:Y109)</f>
        <v>0</v>
      </c>
      <c r="C43" s="48">
        <v>0</v>
      </c>
      <c r="D43" s="108">
        <v>0</v>
      </c>
      <c r="E43" s="48">
        <v>0</v>
      </c>
      <c r="F43" s="108">
        <v>0</v>
      </c>
      <c r="G43" s="48">
        <v>0</v>
      </c>
      <c r="H43" s="108">
        <v>0</v>
      </c>
      <c r="I43" s="48">
        <v>0</v>
      </c>
      <c r="J43" s="108">
        <v>0</v>
      </c>
      <c r="K43" s="48">
        <v>0</v>
      </c>
      <c r="L43" s="108">
        <v>0</v>
      </c>
      <c r="M43" s="48">
        <v>0</v>
      </c>
      <c r="N43" s="108">
        <v>0</v>
      </c>
      <c r="O43" s="48">
        <v>0</v>
      </c>
      <c r="P43" s="108">
        <v>0</v>
      </c>
      <c r="Q43" s="48">
        <v>0</v>
      </c>
      <c r="R43" s="108">
        <v>0</v>
      </c>
      <c r="S43" s="48">
        <v>0</v>
      </c>
      <c r="T43" s="108">
        <v>0</v>
      </c>
      <c r="U43" s="48">
        <v>0</v>
      </c>
      <c r="V43" s="108">
        <v>0</v>
      </c>
      <c r="W43" s="48">
        <v>0</v>
      </c>
      <c r="X43" s="108">
        <v>0</v>
      </c>
      <c r="Y43" s="48">
        <v>0</v>
      </c>
      <c r="Z43" s="110">
        <f t="shared" ref="Z43" si="44">B43+D43+F43+H43+J43+L43+N43+P43+R43+T43+V43+X43</f>
        <v>0</v>
      </c>
      <c r="AA43" s="105">
        <f t="shared" ref="AA43" si="45">C43+E43+G43+I43+K43+M43+O43+Q43+S43+U43+W43+Y43</f>
        <v>0</v>
      </c>
    </row>
    <row r="44" spans="1:27" x14ac:dyDescent="0.25">
      <c r="A44" s="103" t="s">
        <v>93</v>
      </c>
      <c r="B44" s="27" cm="1">
        <f t="array" ref="B44:Y44">_xlfn.XLOOKUP(A44,'PR Trending Data'!A45:A110,'PR Trending Data'!B45:Y110)</f>
        <v>10814</v>
      </c>
      <c r="C44" s="47">
        <v>4.21</v>
      </c>
      <c r="D44" s="27">
        <v>7612</v>
      </c>
      <c r="E44" s="47">
        <v>3.17</v>
      </c>
      <c r="F44" s="27">
        <v>19123</v>
      </c>
      <c r="G44" s="47">
        <v>7.37</v>
      </c>
      <c r="H44" s="27">
        <v>9552</v>
      </c>
      <c r="I44" s="47">
        <v>4.24</v>
      </c>
      <c r="J44" s="27">
        <v>13921</v>
      </c>
      <c r="K44" s="47">
        <v>5.65</v>
      </c>
      <c r="L44" s="27">
        <v>25007</v>
      </c>
      <c r="M44" s="47">
        <v>10.83</v>
      </c>
      <c r="N44" s="27">
        <v>15526</v>
      </c>
      <c r="O44" s="47">
        <v>6.54</v>
      </c>
      <c r="P44" s="27">
        <v>-1433</v>
      </c>
      <c r="Q44" s="47">
        <v>-0.61</v>
      </c>
      <c r="R44" s="27">
        <v>14114</v>
      </c>
      <c r="S44" s="47">
        <v>5.73</v>
      </c>
      <c r="T44" s="27">
        <v>11113</v>
      </c>
      <c r="U44" s="47">
        <v>4.9000000000000004</v>
      </c>
      <c r="V44" s="27">
        <v>7486</v>
      </c>
      <c r="W44" s="47">
        <v>3.49</v>
      </c>
      <c r="X44" s="27">
        <v>9129</v>
      </c>
      <c r="Y44" s="47">
        <v>3.72</v>
      </c>
      <c r="Z44" s="109">
        <f t="shared" si="10"/>
        <v>141964</v>
      </c>
      <c r="AA44" s="104">
        <f t="shared" si="11"/>
        <v>59.239999999999995</v>
      </c>
    </row>
    <row r="45" spans="1:27" x14ac:dyDescent="0.25">
      <c r="A45" s="30" t="s">
        <v>94</v>
      </c>
      <c r="B45" s="108" cm="1">
        <f t="array" ref="B45:Y45">_xlfn.XLOOKUP(A45,'PR Trending Data'!A46:A111,'PR Trending Data'!B46:Y111)</f>
        <v>60</v>
      </c>
      <c r="C45" s="48">
        <v>0.02</v>
      </c>
      <c r="D45" s="108">
        <v>0</v>
      </c>
      <c r="E45" s="48">
        <v>0</v>
      </c>
      <c r="F45" s="108">
        <v>24</v>
      </c>
      <c r="G45" s="48">
        <v>0.01</v>
      </c>
      <c r="H45" s="108">
        <v>261</v>
      </c>
      <c r="I45" s="48">
        <v>0.12</v>
      </c>
      <c r="J45" s="108">
        <v>64</v>
      </c>
      <c r="K45" s="48">
        <v>0.03</v>
      </c>
      <c r="L45" s="108">
        <v>882</v>
      </c>
      <c r="M45" s="48">
        <v>0.38</v>
      </c>
      <c r="N45" s="108">
        <v>520</v>
      </c>
      <c r="O45" s="48">
        <v>0.22</v>
      </c>
      <c r="P45" s="108">
        <v>0</v>
      </c>
      <c r="Q45" s="48">
        <v>0</v>
      </c>
      <c r="R45" s="108">
        <v>0</v>
      </c>
      <c r="S45" s="48">
        <v>0</v>
      </c>
      <c r="T45" s="108">
        <v>0</v>
      </c>
      <c r="U45" s="48">
        <v>0</v>
      </c>
      <c r="V45" s="108">
        <v>0</v>
      </c>
      <c r="W45" s="48">
        <v>0</v>
      </c>
      <c r="X45" s="108">
        <v>0</v>
      </c>
      <c r="Y45" s="48">
        <v>0</v>
      </c>
      <c r="Z45" s="110">
        <f t="shared" ref="Z45" si="46">B45+D45+F45+H45+J45+L45+N45+P45+R45+T45+V45+X45</f>
        <v>1811</v>
      </c>
      <c r="AA45" s="105">
        <f t="shared" ref="AA45" si="47">C45+E45+G45+I45+K45+M45+O45+Q45+S45+U45+W45+Y45</f>
        <v>0.78</v>
      </c>
    </row>
    <row r="46" spans="1:27" x14ac:dyDescent="0.25">
      <c r="A46" s="103" t="s">
        <v>95</v>
      </c>
      <c r="B46" s="27" cm="1">
        <f t="array" ref="B46:Y46">_xlfn.XLOOKUP(A46,'PR Trending Data'!A47:A112,'PR Trending Data'!B47:Y112)</f>
        <v>0</v>
      </c>
      <c r="C46" s="47">
        <v>0</v>
      </c>
      <c r="D46" s="27">
        <v>0</v>
      </c>
      <c r="E46" s="47">
        <v>0</v>
      </c>
      <c r="F46" s="27">
        <v>5007</v>
      </c>
      <c r="G46" s="47">
        <v>1.93</v>
      </c>
      <c r="H46" s="27">
        <v>0</v>
      </c>
      <c r="I46" s="47">
        <v>0</v>
      </c>
      <c r="J46" s="27">
        <v>0</v>
      </c>
      <c r="K46" s="47">
        <v>0</v>
      </c>
      <c r="L46" s="27">
        <v>865</v>
      </c>
      <c r="M46" s="47">
        <v>0.37</v>
      </c>
      <c r="N46" s="27">
        <v>0</v>
      </c>
      <c r="O46" s="47">
        <v>0</v>
      </c>
      <c r="P46" s="27">
        <v>10570</v>
      </c>
      <c r="Q46" s="47">
        <v>4.5199999999999996</v>
      </c>
      <c r="R46" s="27">
        <v>4636</v>
      </c>
      <c r="S46" s="47">
        <v>1.88</v>
      </c>
      <c r="T46" s="27">
        <v>5935</v>
      </c>
      <c r="U46" s="47">
        <v>2.62</v>
      </c>
      <c r="V46" s="27">
        <v>5935</v>
      </c>
      <c r="W46" s="47">
        <v>2.77</v>
      </c>
      <c r="X46" s="27">
        <v>6078</v>
      </c>
      <c r="Y46" s="47">
        <v>2.48</v>
      </c>
      <c r="Z46" s="109">
        <f t="shared" si="10"/>
        <v>39026</v>
      </c>
      <c r="AA46" s="104">
        <f t="shared" si="11"/>
        <v>16.57</v>
      </c>
    </row>
    <row r="47" spans="1:27" ht="14.95" thickBot="1" x14ac:dyDescent="0.3">
      <c r="A47" s="30" t="s">
        <v>96</v>
      </c>
      <c r="B47" s="108" cm="1">
        <f t="array" ref="B47:Y47">_xlfn.XLOOKUP(A47,'PR Trending Data'!A48:A113,'PR Trending Data'!B48:Y113)</f>
        <v>0</v>
      </c>
      <c r="C47" s="48">
        <v>0</v>
      </c>
      <c r="D47" s="108">
        <v>0</v>
      </c>
      <c r="E47" s="48">
        <v>0</v>
      </c>
      <c r="F47" s="108">
        <v>0</v>
      </c>
      <c r="G47" s="48">
        <v>0</v>
      </c>
      <c r="H47" s="108">
        <v>0</v>
      </c>
      <c r="I47" s="48">
        <v>0</v>
      </c>
      <c r="J47" s="108">
        <v>0</v>
      </c>
      <c r="K47" s="48">
        <v>0</v>
      </c>
      <c r="L47" s="108">
        <v>0</v>
      </c>
      <c r="M47" s="48">
        <v>0</v>
      </c>
      <c r="N47" s="108">
        <v>0</v>
      </c>
      <c r="O47" s="48">
        <v>0</v>
      </c>
      <c r="P47" s="108">
        <v>0</v>
      </c>
      <c r="Q47" s="48">
        <v>0</v>
      </c>
      <c r="R47" s="108">
        <v>0</v>
      </c>
      <c r="S47" s="48">
        <v>0</v>
      </c>
      <c r="T47" s="108">
        <v>0</v>
      </c>
      <c r="U47" s="48">
        <v>0</v>
      </c>
      <c r="V47" s="108">
        <v>0</v>
      </c>
      <c r="W47" s="48">
        <v>0</v>
      </c>
      <c r="X47" s="108">
        <v>0</v>
      </c>
      <c r="Y47" s="48">
        <v>0</v>
      </c>
      <c r="Z47" s="110">
        <f t="shared" ref="Z47" si="48">B47+D47+F47+H47+J47+L47+N47+P47+R47+T47+V47+X47</f>
        <v>0</v>
      </c>
      <c r="AA47" s="105">
        <f t="shared" ref="AA47" si="49">C47+E47+G47+I47+K47+M47+O47+Q47+S47+U47+W47+Y47</f>
        <v>0</v>
      </c>
    </row>
    <row r="48" spans="1:27" x14ac:dyDescent="0.25">
      <c r="A48" s="14" t="s">
        <v>43</v>
      </c>
      <c r="B48" s="4" cm="1">
        <f t="array" ref="B48:Y48">_xlfn.XLOOKUP(A48,'PR Trending Data'!A49:A114,'PR Trending Data'!B49:Y114)</f>
        <v>379332</v>
      </c>
      <c r="C48" s="8">
        <v>147.83000000000001</v>
      </c>
      <c r="D48" s="4">
        <v>332103</v>
      </c>
      <c r="E48" s="8">
        <v>138.32</v>
      </c>
      <c r="F48" s="4">
        <v>390919</v>
      </c>
      <c r="G48" s="8">
        <v>150.76</v>
      </c>
      <c r="H48" s="4">
        <v>373220</v>
      </c>
      <c r="I48" s="8">
        <v>165.65</v>
      </c>
      <c r="J48" s="4">
        <v>401243</v>
      </c>
      <c r="K48" s="8">
        <v>162.71</v>
      </c>
      <c r="L48" s="4">
        <v>412670</v>
      </c>
      <c r="M48" s="8">
        <v>178.65</v>
      </c>
      <c r="N48" s="4">
        <v>386222</v>
      </c>
      <c r="O48" s="8">
        <v>162.62</v>
      </c>
      <c r="P48" s="4">
        <v>365887</v>
      </c>
      <c r="Q48" s="8">
        <v>156.56</v>
      </c>
      <c r="R48" s="4">
        <v>378054</v>
      </c>
      <c r="S48" s="8">
        <v>153.56</v>
      </c>
      <c r="T48" s="4">
        <v>370281</v>
      </c>
      <c r="U48" s="8">
        <v>163.26</v>
      </c>
      <c r="V48" s="4">
        <v>373009</v>
      </c>
      <c r="W48" s="8">
        <v>173.9</v>
      </c>
      <c r="X48" s="4">
        <v>401772</v>
      </c>
      <c r="Y48" s="8">
        <v>163.92</v>
      </c>
      <c r="Z48" s="54">
        <f>SUM(Z8:Z47)</f>
        <v>4564722</v>
      </c>
      <c r="AA48" s="55">
        <f>SUM(AA8:AA47)</f>
        <v>1917.7</v>
      </c>
    </row>
    <row r="49" spans="1:27" x14ac:dyDescent="0.25">
      <c r="A49" s="12" t="s">
        <v>44</v>
      </c>
      <c r="B49" s="2" cm="1">
        <f t="array" ref="B49:Y49">_xlfn.XLOOKUP(A49,'PR Trending Data'!A50:A115,'PR Trending Data'!B50:Y115)</f>
        <v>0</v>
      </c>
      <c r="C49" s="46">
        <v>0</v>
      </c>
      <c r="D49" s="2">
        <v>0</v>
      </c>
      <c r="E49" s="46">
        <v>0</v>
      </c>
      <c r="F49" s="2">
        <v>0</v>
      </c>
      <c r="G49" s="46">
        <v>0</v>
      </c>
      <c r="H49" s="2">
        <v>0</v>
      </c>
      <c r="I49" s="46">
        <v>0</v>
      </c>
      <c r="J49" s="2">
        <v>0</v>
      </c>
      <c r="K49" s="46">
        <v>0</v>
      </c>
      <c r="L49" s="2">
        <v>0</v>
      </c>
      <c r="M49" s="46">
        <v>0</v>
      </c>
      <c r="N49" s="2">
        <v>0</v>
      </c>
      <c r="O49" s="46">
        <v>0</v>
      </c>
      <c r="P49" s="2">
        <v>0</v>
      </c>
      <c r="Q49" s="46">
        <v>0</v>
      </c>
      <c r="R49" s="2">
        <v>0</v>
      </c>
      <c r="S49" s="46">
        <v>0</v>
      </c>
      <c r="T49" s="2">
        <v>0</v>
      </c>
      <c r="U49" s="46">
        <v>0</v>
      </c>
      <c r="V49" s="2">
        <v>0</v>
      </c>
      <c r="W49" s="46">
        <v>0</v>
      </c>
      <c r="X49" s="2">
        <v>0</v>
      </c>
      <c r="Y49" s="46">
        <v>0</v>
      </c>
      <c r="Z49" s="84"/>
      <c r="AA49" s="23"/>
    </row>
    <row r="50" spans="1:27" x14ac:dyDescent="0.25">
      <c r="A50" s="29" t="s">
        <v>97</v>
      </c>
      <c r="B50" s="27" cm="1">
        <f t="array" ref="B50:Y50">_xlfn.XLOOKUP(A50,'PR Trending Data'!A51:A116,'PR Trending Data'!B51:Y116)</f>
        <v>28146</v>
      </c>
      <c r="C50" s="47">
        <v>10.97</v>
      </c>
      <c r="D50" s="27">
        <v>24576</v>
      </c>
      <c r="E50" s="47">
        <v>10.24</v>
      </c>
      <c r="F50" s="27">
        <v>27649</v>
      </c>
      <c r="G50" s="47">
        <v>10.66</v>
      </c>
      <c r="H50" s="27">
        <v>27609</v>
      </c>
      <c r="I50" s="47">
        <v>12.25</v>
      </c>
      <c r="J50" s="27">
        <v>29751</v>
      </c>
      <c r="K50" s="47">
        <v>12.06</v>
      </c>
      <c r="L50" s="27">
        <v>29195</v>
      </c>
      <c r="M50" s="47">
        <v>12.64</v>
      </c>
      <c r="N50" s="27">
        <v>28527</v>
      </c>
      <c r="O50" s="47">
        <v>12.01</v>
      </c>
      <c r="P50" s="27">
        <v>27223</v>
      </c>
      <c r="Q50" s="47">
        <v>11.65</v>
      </c>
      <c r="R50" s="27">
        <v>27430</v>
      </c>
      <c r="S50" s="47">
        <v>11.14</v>
      </c>
      <c r="T50" s="27">
        <v>22786</v>
      </c>
      <c r="U50" s="47">
        <v>10.050000000000001</v>
      </c>
      <c r="V50" s="27">
        <v>27048</v>
      </c>
      <c r="W50" s="47">
        <v>12.61</v>
      </c>
      <c r="X50" s="27">
        <v>28986</v>
      </c>
      <c r="Y50" s="47">
        <v>11.83</v>
      </c>
      <c r="Z50" s="109">
        <f t="shared" ref="Z50:AA53" si="50">B50+D50+F50+H50+J50+L50+N50+P50+R50+T50+V50+X50</f>
        <v>328926</v>
      </c>
      <c r="AA50" s="104">
        <f t="shared" si="50"/>
        <v>138.11000000000001</v>
      </c>
    </row>
    <row r="51" spans="1:27" x14ac:dyDescent="0.25">
      <c r="A51" s="30" t="s">
        <v>98</v>
      </c>
      <c r="B51" s="28" cm="1">
        <f t="array" ref="B51:Y51">_xlfn.XLOOKUP(A51,'PR Trending Data'!A52:A117,'PR Trending Data'!B52:Y117)</f>
        <v>13556</v>
      </c>
      <c r="C51" s="48">
        <v>5.28</v>
      </c>
      <c r="D51" s="28">
        <v>10269</v>
      </c>
      <c r="E51" s="48">
        <v>4.28</v>
      </c>
      <c r="F51" s="28">
        <v>8818</v>
      </c>
      <c r="G51" s="48">
        <v>3.4</v>
      </c>
      <c r="H51" s="28">
        <v>6179</v>
      </c>
      <c r="I51" s="48">
        <v>2.74</v>
      </c>
      <c r="J51" s="28">
        <v>5508</v>
      </c>
      <c r="K51" s="48">
        <v>2.23</v>
      </c>
      <c r="L51" s="28">
        <v>3839</v>
      </c>
      <c r="M51" s="48">
        <v>1.66</v>
      </c>
      <c r="N51" s="28">
        <v>2743</v>
      </c>
      <c r="O51" s="48">
        <v>1.1599999999999999</v>
      </c>
      <c r="P51" s="28">
        <v>2164</v>
      </c>
      <c r="Q51" s="48">
        <v>0.93</v>
      </c>
      <c r="R51" s="28">
        <v>2174</v>
      </c>
      <c r="S51" s="48">
        <v>0.88</v>
      </c>
      <c r="T51" s="28">
        <v>2092</v>
      </c>
      <c r="U51" s="48">
        <v>0.92</v>
      </c>
      <c r="V51" s="28">
        <v>1895</v>
      </c>
      <c r="W51" s="48">
        <v>0.88</v>
      </c>
      <c r="X51" s="28">
        <v>2237</v>
      </c>
      <c r="Y51" s="48">
        <v>0.91</v>
      </c>
      <c r="Z51" s="112">
        <f t="shared" si="50"/>
        <v>61474</v>
      </c>
      <c r="AA51" s="105">
        <f t="shared" si="50"/>
        <v>25.27</v>
      </c>
    </row>
    <row r="52" spans="1:27" x14ac:dyDescent="0.25">
      <c r="A52" s="29" t="s">
        <v>99</v>
      </c>
      <c r="B52" s="27" cm="1">
        <f t="array" ref="B52:Y52">_xlfn.XLOOKUP(A52,'PR Trending Data'!A53:A118,'PR Trending Data'!B53:Y118)</f>
        <v>1959</v>
      </c>
      <c r="C52" s="47">
        <v>0.76</v>
      </c>
      <c r="D52" s="27">
        <v>924</v>
      </c>
      <c r="E52" s="47">
        <v>0.38</v>
      </c>
      <c r="F52" s="27">
        <v>496</v>
      </c>
      <c r="G52" s="47">
        <v>0.19</v>
      </c>
      <c r="H52" s="27">
        <v>341</v>
      </c>
      <c r="I52" s="47">
        <v>0.15</v>
      </c>
      <c r="J52" s="27">
        <v>363</v>
      </c>
      <c r="K52" s="47">
        <v>0.15</v>
      </c>
      <c r="L52" s="27">
        <v>315</v>
      </c>
      <c r="M52" s="47">
        <v>0.14000000000000001</v>
      </c>
      <c r="N52" s="27">
        <v>261</v>
      </c>
      <c r="O52" s="47">
        <v>0.11</v>
      </c>
      <c r="P52" s="27">
        <v>172</v>
      </c>
      <c r="Q52" s="47">
        <v>7.0000000000000007E-2</v>
      </c>
      <c r="R52" s="27">
        <v>134</v>
      </c>
      <c r="S52" s="47">
        <v>0.05</v>
      </c>
      <c r="T52" s="27">
        <v>150</v>
      </c>
      <c r="U52" s="47">
        <v>7.0000000000000007E-2</v>
      </c>
      <c r="V52" s="27">
        <v>184</v>
      </c>
      <c r="W52" s="47">
        <v>0.09</v>
      </c>
      <c r="X52" s="27">
        <v>961</v>
      </c>
      <c r="Y52" s="47">
        <v>0.39</v>
      </c>
      <c r="Z52" s="109">
        <f t="shared" si="50"/>
        <v>6260</v>
      </c>
      <c r="AA52" s="104">
        <f t="shared" si="50"/>
        <v>2.5499999999999998</v>
      </c>
    </row>
    <row r="53" spans="1:27" ht="14.95" thickBot="1" x14ac:dyDescent="0.3">
      <c r="A53" s="30" t="s">
        <v>100</v>
      </c>
      <c r="B53" s="28" cm="1">
        <f t="array" ref="B53:Y53">_xlfn.XLOOKUP(A53,'PR Trending Data'!A54:A119,'PR Trending Data'!B54:Y119)</f>
        <v>0</v>
      </c>
      <c r="C53" s="48">
        <v>0</v>
      </c>
      <c r="D53" s="28">
        <v>0</v>
      </c>
      <c r="E53" s="48">
        <v>0</v>
      </c>
      <c r="F53" s="28">
        <v>0</v>
      </c>
      <c r="G53" s="48">
        <v>0</v>
      </c>
      <c r="H53" s="28">
        <v>0</v>
      </c>
      <c r="I53" s="48">
        <v>0</v>
      </c>
      <c r="J53" s="28">
        <v>0</v>
      </c>
      <c r="K53" s="48">
        <v>0</v>
      </c>
      <c r="L53" s="28">
        <v>0</v>
      </c>
      <c r="M53" s="48">
        <v>0</v>
      </c>
      <c r="N53" s="28">
        <v>0</v>
      </c>
      <c r="O53" s="48">
        <v>0</v>
      </c>
      <c r="P53" s="28">
        <v>0</v>
      </c>
      <c r="Q53" s="48">
        <v>0</v>
      </c>
      <c r="R53" s="28">
        <v>0</v>
      </c>
      <c r="S53" s="48">
        <v>0</v>
      </c>
      <c r="T53" s="28">
        <v>0</v>
      </c>
      <c r="U53" s="48">
        <v>0</v>
      </c>
      <c r="V53" s="28">
        <v>0</v>
      </c>
      <c r="W53" s="48">
        <v>0</v>
      </c>
      <c r="X53" s="28">
        <v>0</v>
      </c>
      <c r="Y53" s="48">
        <v>0</v>
      </c>
      <c r="Z53" s="112">
        <f t="shared" si="50"/>
        <v>0</v>
      </c>
      <c r="AA53" s="105">
        <f t="shared" si="50"/>
        <v>0</v>
      </c>
    </row>
    <row r="54" spans="1:27" ht="14.95" thickBot="1" x14ac:dyDescent="0.3">
      <c r="A54" s="14" t="s">
        <v>45</v>
      </c>
      <c r="B54" s="4" cm="1">
        <f t="array" ref="B54:Y54">_xlfn.XLOOKUP(A54,'PR Trending Data'!A55:A120,'PR Trending Data'!B55:Y120)</f>
        <v>43661</v>
      </c>
      <c r="C54" s="8">
        <v>17.02</v>
      </c>
      <c r="D54" s="4">
        <v>35768</v>
      </c>
      <c r="E54" s="8">
        <v>14.9</v>
      </c>
      <c r="F54" s="4">
        <v>36963</v>
      </c>
      <c r="G54" s="8">
        <v>14.25</v>
      </c>
      <c r="H54" s="4">
        <v>34129</v>
      </c>
      <c r="I54" s="8">
        <v>15.15</v>
      </c>
      <c r="J54" s="4">
        <v>35621</v>
      </c>
      <c r="K54" s="8">
        <v>14.44</v>
      </c>
      <c r="L54" s="4">
        <v>33348</v>
      </c>
      <c r="M54" s="8">
        <v>14.44</v>
      </c>
      <c r="N54" s="4">
        <v>31531</v>
      </c>
      <c r="O54" s="8">
        <v>13.28</v>
      </c>
      <c r="P54" s="4">
        <v>29560</v>
      </c>
      <c r="Q54" s="8">
        <v>12.65</v>
      </c>
      <c r="R54" s="4">
        <v>29738</v>
      </c>
      <c r="S54" s="8">
        <v>12.08</v>
      </c>
      <c r="T54" s="4">
        <v>25028</v>
      </c>
      <c r="U54" s="8">
        <v>11.04</v>
      </c>
      <c r="V54" s="4">
        <v>29128</v>
      </c>
      <c r="W54" s="8">
        <v>13.58</v>
      </c>
      <c r="X54" s="4">
        <v>32183</v>
      </c>
      <c r="Y54" s="8">
        <v>13.13</v>
      </c>
      <c r="Z54" s="131">
        <f>SUM(Z50:Z53)</f>
        <v>396660</v>
      </c>
      <c r="AA54" s="132">
        <f>SUM(AA50:AA53)</f>
        <v>165.93000000000004</v>
      </c>
    </row>
    <row r="55" spans="1:27" x14ac:dyDescent="0.25">
      <c r="A55" s="14" t="s">
        <v>101</v>
      </c>
      <c r="B55" s="4" cm="1">
        <f t="array" ref="B55:Y55">_xlfn.XLOOKUP(A55,'PR Trending Data'!A56:A121,'PR Trending Data'!B56:Y121)</f>
        <v>422993</v>
      </c>
      <c r="C55" s="8">
        <v>164.85</v>
      </c>
      <c r="D55" s="4">
        <v>367871</v>
      </c>
      <c r="E55" s="8">
        <v>153.22</v>
      </c>
      <c r="F55" s="4">
        <v>427882</v>
      </c>
      <c r="G55" s="8">
        <v>165.01</v>
      </c>
      <c r="H55" s="4">
        <v>407349</v>
      </c>
      <c r="I55" s="8">
        <v>180.8</v>
      </c>
      <c r="J55" s="4">
        <v>436864</v>
      </c>
      <c r="K55" s="8">
        <v>177.15</v>
      </c>
      <c r="L55" s="4">
        <v>446019</v>
      </c>
      <c r="M55" s="8">
        <v>193.08</v>
      </c>
      <c r="N55" s="4">
        <v>417754</v>
      </c>
      <c r="O55" s="8">
        <v>175.9</v>
      </c>
      <c r="P55" s="4">
        <v>395447</v>
      </c>
      <c r="Q55" s="8">
        <v>169.21</v>
      </c>
      <c r="R55" s="4">
        <v>407792</v>
      </c>
      <c r="S55" s="8">
        <v>165.63</v>
      </c>
      <c r="T55" s="4">
        <v>395309</v>
      </c>
      <c r="U55" s="8">
        <v>174.3</v>
      </c>
      <c r="V55" s="4">
        <v>402137</v>
      </c>
      <c r="W55" s="8">
        <v>187.48</v>
      </c>
      <c r="X55" s="4">
        <v>433956</v>
      </c>
      <c r="Y55" s="8">
        <v>177.05</v>
      </c>
      <c r="Z55" s="54">
        <f>+Z54+Z48</f>
        <v>4961382</v>
      </c>
      <c r="AA55" s="55">
        <f>+AA54+AA48</f>
        <v>2083.63</v>
      </c>
    </row>
    <row r="56" spans="1:27" x14ac:dyDescent="0.25">
      <c r="A56" s="12" t="s">
        <v>46</v>
      </c>
      <c r="B56" s="2" cm="1">
        <f t="array" ref="B56:Y56">_xlfn.XLOOKUP(A56,'PR Trending Data'!A57:A122,'PR Trending Data'!B57:Y122)</f>
        <v>0</v>
      </c>
      <c r="C56" s="46">
        <v>0</v>
      </c>
      <c r="D56" s="2">
        <v>0</v>
      </c>
      <c r="E56" s="46">
        <v>0</v>
      </c>
      <c r="F56" s="2">
        <v>0</v>
      </c>
      <c r="G56" s="46">
        <v>0</v>
      </c>
      <c r="H56" s="2">
        <v>0</v>
      </c>
      <c r="I56" s="46">
        <v>0</v>
      </c>
      <c r="J56" s="2">
        <v>0</v>
      </c>
      <c r="K56" s="46">
        <v>0</v>
      </c>
      <c r="L56" s="2">
        <v>0</v>
      </c>
      <c r="M56" s="46">
        <v>0</v>
      </c>
      <c r="N56" s="2">
        <v>0</v>
      </c>
      <c r="O56" s="46">
        <v>0</v>
      </c>
      <c r="P56" s="2">
        <v>0</v>
      </c>
      <c r="Q56" s="46">
        <v>0</v>
      </c>
      <c r="R56" s="2">
        <v>0</v>
      </c>
      <c r="S56" s="46">
        <v>0</v>
      </c>
      <c r="T56" s="2">
        <v>0</v>
      </c>
      <c r="U56" s="46">
        <v>0</v>
      </c>
      <c r="V56" s="2">
        <v>0</v>
      </c>
      <c r="W56" s="46">
        <v>0</v>
      </c>
      <c r="X56" s="2">
        <v>0</v>
      </c>
      <c r="Y56" s="46">
        <v>0</v>
      </c>
      <c r="Z56" s="84"/>
      <c r="AA56" s="23"/>
    </row>
    <row r="57" spans="1:27" x14ac:dyDescent="0.25">
      <c r="A57" s="30" t="s">
        <v>102</v>
      </c>
      <c r="B57" s="28" cm="1">
        <f t="array" ref="B57:Y57">_xlfn.XLOOKUP(A57,'PR Trending Data'!A58:A123,'PR Trending Data'!B58:Y123)</f>
        <v>15000</v>
      </c>
      <c r="C57" s="48">
        <v>5.85</v>
      </c>
      <c r="D57" s="28">
        <v>2529</v>
      </c>
      <c r="E57" s="48">
        <v>1.05</v>
      </c>
      <c r="F57" s="28">
        <v>5652</v>
      </c>
      <c r="G57" s="48">
        <v>2.1800000000000002</v>
      </c>
      <c r="H57" s="28">
        <v>2333</v>
      </c>
      <c r="I57" s="48">
        <v>1.04</v>
      </c>
      <c r="J57" s="28">
        <v>8661</v>
      </c>
      <c r="K57" s="48">
        <v>3.51</v>
      </c>
      <c r="L57" s="28">
        <v>3684</v>
      </c>
      <c r="M57" s="48">
        <v>1.59</v>
      </c>
      <c r="N57" s="28">
        <v>2170</v>
      </c>
      <c r="O57" s="48">
        <v>0.91</v>
      </c>
      <c r="P57" s="28">
        <v>2527</v>
      </c>
      <c r="Q57" s="48">
        <v>1.08</v>
      </c>
      <c r="R57" s="28">
        <v>14053</v>
      </c>
      <c r="S57" s="48">
        <v>5.71</v>
      </c>
      <c r="T57" s="28">
        <v>12299</v>
      </c>
      <c r="U57" s="48">
        <v>5.42</v>
      </c>
      <c r="V57" s="28">
        <v>0</v>
      </c>
      <c r="W57" s="48">
        <v>0</v>
      </c>
      <c r="X57" s="28">
        <v>8315</v>
      </c>
      <c r="Y57" s="48">
        <v>3.39</v>
      </c>
      <c r="Z57" s="112">
        <f t="shared" ref="Z57:AA62" si="51">B57+D57+F57+H57+J57+L57+N57+P57+R57+T57+V57+X57</f>
        <v>77223</v>
      </c>
      <c r="AA57" s="105">
        <f t="shared" si="51"/>
        <v>31.730000000000004</v>
      </c>
    </row>
    <row r="58" spans="1:27" x14ac:dyDescent="0.25">
      <c r="A58" s="29" t="s">
        <v>103</v>
      </c>
      <c r="B58" s="27" cm="1">
        <f t="array" ref="B58:Y58">_xlfn.XLOOKUP(A58,'PR Trending Data'!A59:A124,'PR Trending Data'!B59:Y124)</f>
        <v>2683</v>
      </c>
      <c r="C58" s="47">
        <v>1.05</v>
      </c>
      <c r="D58" s="27">
        <v>2226</v>
      </c>
      <c r="E58" s="47">
        <v>0.93</v>
      </c>
      <c r="F58" s="27">
        <v>0</v>
      </c>
      <c r="G58" s="47">
        <v>0</v>
      </c>
      <c r="H58" s="27">
        <v>95</v>
      </c>
      <c r="I58" s="47">
        <v>0.04</v>
      </c>
      <c r="J58" s="27">
        <v>0</v>
      </c>
      <c r="K58" s="47">
        <v>0</v>
      </c>
      <c r="L58" s="27">
        <v>0</v>
      </c>
      <c r="M58" s="47">
        <v>0</v>
      </c>
      <c r="N58" s="27">
        <v>0</v>
      </c>
      <c r="O58" s="47">
        <v>0</v>
      </c>
      <c r="P58" s="27">
        <v>0</v>
      </c>
      <c r="Q58" s="47">
        <v>0</v>
      </c>
      <c r="R58" s="27">
        <v>0</v>
      </c>
      <c r="S58" s="47">
        <v>0</v>
      </c>
      <c r="T58" s="27">
        <v>0</v>
      </c>
      <c r="U58" s="47">
        <v>0</v>
      </c>
      <c r="V58" s="27">
        <v>0</v>
      </c>
      <c r="W58" s="47">
        <v>0</v>
      </c>
      <c r="X58" s="27">
        <v>0</v>
      </c>
      <c r="Y58" s="47">
        <v>0</v>
      </c>
      <c r="Z58" s="109">
        <f t="shared" si="51"/>
        <v>5004</v>
      </c>
      <c r="AA58" s="104">
        <f t="shared" si="51"/>
        <v>2.02</v>
      </c>
    </row>
    <row r="59" spans="1:27" x14ac:dyDescent="0.25">
      <c r="A59" s="30" t="s">
        <v>104</v>
      </c>
      <c r="B59" s="28" cm="1">
        <f t="array" ref="B59:Y59">_xlfn.XLOOKUP(A59,'PR Trending Data'!A60:A125,'PR Trending Data'!B60:Y125)</f>
        <v>7758</v>
      </c>
      <c r="C59" s="48">
        <v>3.02</v>
      </c>
      <c r="D59" s="28">
        <v>1974</v>
      </c>
      <c r="E59" s="48">
        <v>0.82</v>
      </c>
      <c r="F59" s="28">
        <v>3687</v>
      </c>
      <c r="G59" s="48">
        <v>1.42</v>
      </c>
      <c r="H59" s="28">
        <v>0</v>
      </c>
      <c r="I59" s="48">
        <v>0</v>
      </c>
      <c r="J59" s="28">
        <v>1264</v>
      </c>
      <c r="K59" s="48">
        <v>0.51</v>
      </c>
      <c r="L59" s="28">
        <v>193</v>
      </c>
      <c r="M59" s="48">
        <v>0.08</v>
      </c>
      <c r="N59" s="28">
        <v>882</v>
      </c>
      <c r="O59" s="48">
        <v>0.37</v>
      </c>
      <c r="P59" s="28">
        <v>0</v>
      </c>
      <c r="Q59" s="48">
        <v>0</v>
      </c>
      <c r="R59" s="28">
        <v>0</v>
      </c>
      <c r="S59" s="48">
        <v>0</v>
      </c>
      <c r="T59" s="28">
        <v>260</v>
      </c>
      <c r="U59" s="48">
        <v>0.11</v>
      </c>
      <c r="V59" s="28">
        <v>0</v>
      </c>
      <c r="W59" s="48">
        <v>0</v>
      </c>
      <c r="X59" s="28">
        <v>2399</v>
      </c>
      <c r="Y59" s="48">
        <v>0.98</v>
      </c>
      <c r="Z59" s="112">
        <f t="shared" si="51"/>
        <v>18417</v>
      </c>
      <c r="AA59" s="105">
        <f t="shared" si="51"/>
        <v>7.3100000000000005</v>
      </c>
    </row>
    <row r="60" spans="1:27" x14ac:dyDescent="0.25">
      <c r="A60" s="29" t="s">
        <v>105</v>
      </c>
      <c r="B60" s="27" cm="1">
        <f t="array" ref="B60:Y60">_xlfn.XLOOKUP(A60,'PR Trending Data'!A61:A126,'PR Trending Data'!B61:Y126)</f>
        <v>0</v>
      </c>
      <c r="C60" s="47">
        <v>0</v>
      </c>
      <c r="D60" s="27">
        <v>0</v>
      </c>
      <c r="E60" s="47">
        <v>0</v>
      </c>
      <c r="F60" s="27">
        <v>0</v>
      </c>
      <c r="G60" s="47">
        <v>0</v>
      </c>
      <c r="H60" s="27">
        <v>0</v>
      </c>
      <c r="I60" s="47">
        <v>0</v>
      </c>
      <c r="J60" s="27">
        <v>0</v>
      </c>
      <c r="K60" s="47">
        <v>0</v>
      </c>
      <c r="L60" s="27">
        <v>0</v>
      </c>
      <c r="M60" s="47">
        <v>0</v>
      </c>
      <c r="N60" s="27">
        <v>0</v>
      </c>
      <c r="O60" s="47">
        <v>0</v>
      </c>
      <c r="P60" s="27">
        <v>0</v>
      </c>
      <c r="Q60" s="47">
        <v>0</v>
      </c>
      <c r="R60" s="27">
        <v>0</v>
      </c>
      <c r="S60" s="47">
        <v>0</v>
      </c>
      <c r="T60" s="27">
        <v>0</v>
      </c>
      <c r="U60" s="47">
        <v>0</v>
      </c>
      <c r="V60" s="27">
        <v>0</v>
      </c>
      <c r="W60" s="47">
        <v>0</v>
      </c>
      <c r="X60" s="27">
        <v>0</v>
      </c>
      <c r="Y60" s="47">
        <v>0</v>
      </c>
      <c r="Z60" s="109">
        <f t="shared" si="51"/>
        <v>0</v>
      </c>
      <c r="AA60" s="104">
        <f t="shared" si="51"/>
        <v>0</v>
      </c>
    </row>
    <row r="61" spans="1:27" x14ac:dyDescent="0.25">
      <c r="A61" s="30" t="s">
        <v>106</v>
      </c>
      <c r="B61" s="28" cm="1">
        <f t="array" ref="B61:Y61">_xlfn.XLOOKUP(A61,'PR Trending Data'!A62:A127,'PR Trending Data'!B62:Y127)</f>
        <v>17063</v>
      </c>
      <c r="C61" s="48">
        <v>6.65</v>
      </c>
      <c r="D61" s="28">
        <v>18864</v>
      </c>
      <c r="E61" s="48">
        <v>7.86</v>
      </c>
      <c r="F61" s="28">
        <v>32475</v>
      </c>
      <c r="G61" s="48">
        <v>12.52</v>
      </c>
      <c r="H61" s="28">
        <v>10108</v>
      </c>
      <c r="I61" s="48">
        <v>4.49</v>
      </c>
      <c r="J61" s="28">
        <v>9671</v>
      </c>
      <c r="K61" s="48">
        <v>3.92</v>
      </c>
      <c r="L61" s="28">
        <v>7191</v>
      </c>
      <c r="M61" s="48">
        <v>3.11</v>
      </c>
      <c r="N61" s="28">
        <v>2546</v>
      </c>
      <c r="O61" s="48">
        <v>1.07</v>
      </c>
      <c r="P61" s="28">
        <v>2770</v>
      </c>
      <c r="Q61" s="48">
        <v>1.19</v>
      </c>
      <c r="R61" s="28">
        <v>21952</v>
      </c>
      <c r="S61" s="48">
        <v>8.92</v>
      </c>
      <c r="T61" s="28">
        <v>11843</v>
      </c>
      <c r="U61" s="48">
        <v>5.22</v>
      </c>
      <c r="V61" s="28">
        <v>2491</v>
      </c>
      <c r="W61" s="48">
        <v>1.1599999999999999</v>
      </c>
      <c r="X61" s="28">
        <v>8728</v>
      </c>
      <c r="Y61" s="48">
        <v>3.56</v>
      </c>
      <c r="Z61" s="112">
        <f>B61+D61+F61+H61+J61+L61+N61+P61+R61+T61+V61+X61</f>
        <v>145702</v>
      </c>
      <c r="AA61" s="105">
        <f t="shared" si="51"/>
        <v>59.67</v>
      </c>
    </row>
    <row r="62" spans="1:27" ht="14.95" thickBot="1" x14ac:dyDescent="0.3">
      <c r="A62" s="29" t="s">
        <v>107</v>
      </c>
      <c r="B62" s="27" cm="1">
        <f t="array" ref="B62:Y62">_xlfn.XLOOKUP(A62,'PR Trending Data'!A63:A128,'PR Trending Data'!B63:Y128)</f>
        <v>504</v>
      </c>
      <c r="C62" s="47">
        <v>0.2</v>
      </c>
      <c r="D62" s="27">
        <v>8450</v>
      </c>
      <c r="E62" s="47">
        <v>3.52</v>
      </c>
      <c r="F62" s="27">
        <v>0</v>
      </c>
      <c r="G62" s="47">
        <v>0</v>
      </c>
      <c r="H62" s="27">
        <v>0</v>
      </c>
      <c r="I62" s="47">
        <v>0</v>
      </c>
      <c r="J62" s="27">
        <v>0</v>
      </c>
      <c r="K62" s="47">
        <v>0</v>
      </c>
      <c r="L62" s="27">
        <v>0</v>
      </c>
      <c r="M62" s="47">
        <v>0</v>
      </c>
      <c r="N62" s="27">
        <v>0</v>
      </c>
      <c r="O62" s="47">
        <v>0</v>
      </c>
      <c r="P62" s="27">
        <v>0</v>
      </c>
      <c r="Q62" s="47">
        <v>0</v>
      </c>
      <c r="R62" s="27">
        <v>0</v>
      </c>
      <c r="S62" s="47">
        <v>0</v>
      </c>
      <c r="T62" s="27">
        <v>0</v>
      </c>
      <c r="U62" s="47">
        <v>0</v>
      </c>
      <c r="V62" s="27">
        <v>0</v>
      </c>
      <c r="W62" s="47">
        <v>0</v>
      </c>
      <c r="X62" s="27">
        <v>0</v>
      </c>
      <c r="Y62" s="47">
        <v>0</v>
      </c>
      <c r="Z62" s="113">
        <f>B62+D62+F62+H62+J62+L62+N62+P62+R62+T62+V62+X62</f>
        <v>8954</v>
      </c>
      <c r="AA62" s="114">
        <f t="shared" si="51"/>
        <v>3.72</v>
      </c>
    </row>
    <row r="63" spans="1:27" x14ac:dyDescent="0.25">
      <c r="A63" s="14" t="s">
        <v>47</v>
      </c>
      <c r="B63" s="4" cm="1">
        <f t="array" ref="B63:Y63">_xlfn.XLOOKUP(A63,'PR Trending Data'!A64:A129,'PR Trending Data'!B64:Y129)</f>
        <v>43008</v>
      </c>
      <c r="C63" s="8">
        <v>16.760000000000002</v>
      </c>
      <c r="D63" s="4">
        <v>34044</v>
      </c>
      <c r="E63" s="8">
        <v>14.18</v>
      </c>
      <c r="F63" s="4">
        <v>41815</v>
      </c>
      <c r="G63" s="8">
        <v>16.13</v>
      </c>
      <c r="H63" s="4">
        <v>12536</v>
      </c>
      <c r="I63" s="8">
        <v>5.56</v>
      </c>
      <c r="J63" s="4">
        <v>19596</v>
      </c>
      <c r="K63" s="8">
        <v>7.95</v>
      </c>
      <c r="L63" s="4">
        <v>11068</v>
      </c>
      <c r="M63" s="8">
        <v>4.79</v>
      </c>
      <c r="N63" s="4">
        <v>5598</v>
      </c>
      <c r="O63" s="8">
        <v>2.36</v>
      </c>
      <c r="P63" s="4">
        <v>5297</v>
      </c>
      <c r="Q63" s="8">
        <v>2.27</v>
      </c>
      <c r="R63" s="4">
        <v>36004</v>
      </c>
      <c r="S63" s="8">
        <v>14.62</v>
      </c>
      <c r="T63" s="4">
        <v>24402</v>
      </c>
      <c r="U63" s="8">
        <v>10.76</v>
      </c>
      <c r="V63" s="4">
        <v>2491</v>
      </c>
      <c r="W63" s="8">
        <v>1.1599999999999999</v>
      </c>
      <c r="X63" s="4">
        <v>19442</v>
      </c>
      <c r="Y63" s="8">
        <v>7.93</v>
      </c>
      <c r="Z63" s="3">
        <f>SUM(Z57:Z62)</f>
        <v>255300</v>
      </c>
      <c r="AA63" s="24">
        <f>SUM(AA57:AA62)</f>
        <v>104.45000000000002</v>
      </c>
    </row>
    <row r="64" spans="1:27" x14ac:dyDescent="0.25">
      <c r="A64" s="12" t="s">
        <v>53</v>
      </c>
      <c r="B64" s="2" cm="1">
        <f t="array" ref="B64:Y64">_xlfn.XLOOKUP(A64,'PR Trending Data'!A65:A130,'PR Trending Data'!B65:Y130)</f>
        <v>0</v>
      </c>
      <c r="C64" s="46">
        <v>0</v>
      </c>
      <c r="D64" s="2">
        <v>0</v>
      </c>
      <c r="E64" s="46">
        <v>0</v>
      </c>
      <c r="F64" s="2">
        <v>0</v>
      </c>
      <c r="G64" s="46">
        <v>0</v>
      </c>
      <c r="H64" s="2">
        <v>0</v>
      </c>
      <c r="I64" s="46">
        <v>0</v>
      </c>
      <c r="J64" s="2">
        <v>0</v>
      </c>
      <c r="K64" s="46">
        <v>0</v>
      </c>
      <c r="L64" s="2">
        <v>0</v>
      </c>
      <c r="M64" s="46">
        <v>0</v>
      </c>
      <c r="N64" s="2">
        <v>0</v>
      </c>
      <c r="O64" s="46">
        <v>0</v>
      </c>
      <c r="P64" s="2">
        <v>0</v>
      </c>
      <c r="Q64" s="46">
        <v>0</v>
      </c>
      <c r="R64" s="2">
        <v>0</v>
      </c>
      <c r="S64" s="46">
        <v>0</v>
      </c>
      <c r="T64" s="2">
        <v>0</v>
      </c>
      <c r="U64" s="46">
        <v>0</v>
      </c>
      <c r="V64" s="2">
        <v>0</v>
      </c>
      <c r="W64" s="46">
        <v>0</v>
      </c>
      <c r="X64" s="2">
        <v>0</v>
      </c>
      <c r="Y64" s="46">
        <v>0</v>
      </c>
      <c r="Z64" s="2"/>
      <c r="AA64" s="23"/>
    </row>
    <row r="65" spans="1:29" x14ac:dyDescent="0.25">
      <c r="A65" s="30" t="s">
        <v>108</v>
      </c>
      <c r="B65" s="28" cm="1">
        <f t="array" ref="B65:Y65">_xlfn.XLOOKUP(A65,'PR Trending Data'!A66:A131,'PR Trending Data'!B66:Y131)</f>
        <v>7307</v>
      </c>
      <c r="C65" s="48">
        <v>2.85</v>
      </c>
      <c r="D65" s="28">
        <v>5276</v>
      </c>
      <c r="E65" s="48">
        <v>2.2000000000000002</v>
      </c>
      <c r="F65" s="28">
        <v>9591</v>
      </c>
      <c r="G65" s="48">
        <v>3.7</v>
      </c>
      <c r="H65" s="28">
        <v>2102</v>
      </c>
      <c r="I65" s="48">
        <v>0.93</v>
      </c>
      <c r="J65" s="28">
        <v>6920</v>
      </c>
      <c r="K65" s="48">
        <v>2.81</v>
      </c>
      <c r="L65" s="28">
        <v>10029</v>
      </c>
      <c r="M65" s="48">
        <v>4.34</v>
      </c>
      <c r="N65" s="28">
        <v>11586</v>
      </c>
      <c r="O65" s="48">
        <v>4.88</v>
      </c>
      <c r="P65" s="28">
        <v>3266</v>
      </c>
      <c r="Q65" s="48">
        <v>1.4</v>
      </c>
      <c r="R65" s="28">
        <v>12835</v>
      </c>
      <c r="S65" s="48">
        <v>5.21</v>
      </c>
      <c r="T65" s="28">
        <v>0</v>
      </c>
      <c r="U65" s="48">
        <v>0</v>
      </c>
      <c r="V65" s="28">
        <v>8223</v>
      </c>
      <c r="W65" s="48">
        <v>3.83</v>
      </c>
      <c r="X65" s="28">
        <v>18329</v>
      </c>
      <c r="Y65" s="48">
        <v>7.48</v>
      </c>
      <c r="Z65" s="28">
        <f t="shared" ref="Z65:AA67" si="52">B65+D65+F65+H65+J65+L65+N65+P65+R65+T65+V65+X65</f>
        <v>95464</v>
      </c>
      <c r="AA65" s="105">
        <f t="shared" si="52"/>
        <v>39.629999999999995</v>
      </c>
    </row>
    <row r="66" spans="1:29" x14ac:dyDescent="0.25">
      <c r="A66" s="29" t="s">
        <v>109</v>
      </c>
      <c r="B66" s="27" cm="1">
        <f t="array" ref="B66:Y66">_xlfn.XLOOKUP(A66,'PR Trending Data'!A67:A132,'PR Trending Data'!B67:Y132)</f>
        <v>0</v>
      </c>
      <c r="C66" s="47">
        <v>0</v>
      </c>
      <c r="D66" s="27">
        <v>0</v>
      </c>
      <c r="E66" s="47">
        <v>0</v>
      </c>
      <c r="F66" s="27">
        <v>0</v>
      </c>
      <c r="G66" s="47">
        <v>0</v>
      </c>
      <c r="H66" s="27">
        <v>0</v>
      </c>
      <c r="I66" s="47">
        <v>0</v>
      </c>
      <c r="J66" s="27">
        <v>0</v>
      </c>
      <c r="K66" s="47">
        <v>0</v>
      </c>
      <c r="L66" s="27">
        <v>0</v>
      </c>
      <c r="M66" s="47">
        <v>0</v>
      </c>
      <c r="N66" s="27">
        <v>0</v>
      </c>
      <c r="O66" s="47">
        <v>0</v>
      </c>
      <c r="P66" s="27">
        <v>0</v>
      </c>
      <c r="Q66" s="47">
        <v>0</v>
      </c>
      <c r="R66" s="27">
        <v>0</v>
      </c>
      <c r="S66" s="47">
        <v>0</v>
      </c>
      <c r="T66" s="27">
        <v>0</v>
      </c>
      <c r="U66" s="47">
        <v>0</v>
      </c>
      <c r="V66" s="27">
        <v>0</v>
      </c>
      <c r="W66" s="47">
        <v>0</v>
      </c>
      <c r="X66" s="27">
        <v>0</v>
      </c>
      <c r="Y66" s="47">
        <v>0</v>
      </c>
      <c r="Z66" s="27">
        <f t="shared" si="52"/>
        <v>0</v>
      </c>
      <c r="AA66" s="104">
        <f t="shared" si="52"/>
        <v>0</v>
      </c>
    </row>
    <row r="67" spans="1:29" ht="14.95" thickBot="1" x14ac:dyDescent="0.3">
      <c r="A67" s="30" t="s">
        <v>110</v>
      </c>
      <c r="B67" s="28" cm="1">
        <f t="array" ref="B67:Y67">_xlfn.XLOOKUP(A67,'PR Trending Data'!A68:A133,'PR Trending Data'!B68:Y133)</f>
        <v>0</v>
      </c>
      <c r="C67" s="48">
        <v>0</v>
      </c>
      <c r="D67" s="28">
        <v>912</v>
      </c>
      <c r="E67" s="48">
        <v>0.38</v>
      </c>
      <c r="F67" s="28">
        <v>1097</v>
      </c>
      <c r="G67" s="48">
        <v>0.42</v>
      </c>
      <c r="H67" s="28">
        <v>1059</v>
      </c>
      <c r="I67" s="48">
        <v>0.47</v>
      </c>
      <c r="J67" s="28">
        <v>335</v>
      </c>
      <c r="K67" s="48">
        <v>0.14000000000000001</v>
      </c>
      <c r="L67" s="28">
        <v>0</v>
      </c>
      <c r="M67" s="48">
        <v>0</v>
      </c>
      <c r="N67" s="28">
        <v>2224</v>
      </c>
      <c r="O67" s="48">
        <v>0.94</v>
      </c>
      <c r="P67" s="28">
        <v>351</v>
      </c>
      <c r="Q67" s="48">
        <v>0.15</v>
      </c>
      <c r="R67" s="28">
        <v>2633</v>
      </c>
      <c r="S67" s="48">
        <v>1.07</v>
      </c>
      <c r="T67" s="28">
        <v>0</v>
      </c>
      <c r="U67" s="48">
        <v>0</v>
      </c>
      <c r="V67" s="28">
        <v>1464</v>
      </c>
      <c r="W67" s="48">
        <v>0.68</v>
      </c>
      <c r="X67" s="28">
        <v>3137</v>
      </c>
      <c r="Y67" s="48">
        <v>1.28</v>
      </c>
      <c r="Z67" s="28">
        <f>B67+D67+F67+H67+J67+L67+N67+P67+R67+T67+V67+X67</f>
        <v>13212</v>
      </c>
      <c r="AA67" s="105">
        <f t="shared" si="52"/>
        <v>5.53</v>
      </c>
    </row>
    <row r="68" spans="1:29" x14ac:dyDescent="0.25">
      <c r="A68" s="14" t="s">
        <v>54</v>
      </c>
      <c r="B68" s="4" cm="1">
        <f t="array" ref="B68:Y68">_xlfn.XLOOKUP(A68,'PR Trending Data'!A69:A134,'PR Trending Data'!B69:Y134)</f>
        <v>7307</v>
      </c>
      <c r="C68" s="8">
        <v>2.85</v>
      </c>
      <c r="D68" s="4">
        <v>6188</v>
      </c>
      <c r="E68" s="8">
        <v>2.58</v>
      </c>
      <c r="F68" s="4">
        <v>10688</v>
      </c>
      <c r="G68" s="8">
        <v>4.12</v>
      </c>
      <c r="H68" s="4">
        <v>3161</v>
      </c>
      <c r="I68" s="8">
        <v>1.4</v>
      </c>
      <c r="J68" s="4">
        <v>7255</v>
      </c>
      <c r="K68" s="8">
        <v>2.94</v>
      </c>
      <c r="L68" s="4">
        <v>10029</v>
      </c>
      <c r="M68" s="8">
        <v>4.34</v>
      </c>
      <c r="N68" s="4">
        <v>13810</v>
      </c>
      <c r="O68" s="8">
        <v>5.81</v>
      </c>
      <c r="P68" s="4">
        <v>3618</v>
      </c>
      <c r="Q68" s="8">
        <v>1.55</v>
      </c>
      <c r="R68" s="4">
        <v>15468</v>
      </c>
      <c r="S68" s="8">
        <v>6.28</v>
      </c>
      <c r="T68" s="4">
        <v>0</v>
      </c>
      <c r="U68" s="8">
        <v>0</v>
      </c>
      <c r="V68" s="4">
        <v>9687</v>
      </c>
      <c r="W68" s="8">
        <v>4.5199999999999996</v>
      </c>
      <c r="X68" s="4">
        <v>21466</v>
      </c>
      <c r="Y68" s="8">
        <v>8.76</v>
      </c>
      <c r="Z68" s="4">
        <f>SUM(Z65:Z67)</f>
        <v>108676</v>
      </c>
      <c r="AA68" s="106">
        <f>SUM(AA65:AA67)</f>
        <v>45.16</v>
      </c>
    </row>
    <row r="69" spans="1:29" s="128" customFormat="1" x14ac:dyDescent="0.25">
      <c r="A69" s="18" t="s">
        <v>48</v>
      </c>
      <c r="B69" s="125" cm="1">
        <f t="array" ref="B69:Y69">_xlfn.XLOOKUP(A69,'PR Trending Data'!A70:A135,'PR Trending Data'!B70:Y135)</f>
        <v>379332</v>
      </c>
      <c r="C69" s="126">
        <v>147.83000000000001</v>
      </c>
      <c r="D69" s="125">
        <v>332103</v>
      </c>
      <c r="E69" s="126">
        <v>138.32</v>
      </c>
      <c r="F69" s="125">
        <v>390919</v>
      </c>
      <c r="G69" s="126">
        <v>150.76</v>
      </c>
      <c r="H69" s="125">
        <v>373220</v>
      </c>
      <c r="I69" s="126">
        <v>165.65</v>
      </c>
      <c r="J69" s="125">
        <v>401243</v>
      </c>
      <c r="K69" s="126">
        <v>162.71</v>
      </c>
      <c r="L69" s="125">
        <v>412670</v>
      </c>
      <c r="M69" s="126">
        <v>178.65</v>
      </c>
      <c r="N69" s="125">
        <v>386222</v>
      </c>
      <c r="O69" s="126">
        <v>162.62</v>
      </c>
      <c r="P69" s="125">
        <v>365887</v>
      </c>
      <c r="Q69" s="126">
        <v>156.56</v>
      </c>
      <c r="R69" s="125">
        <v>378054</v>
      </c>
      <c r="S69" s="126">
        <v>153.56</v>
      </c>
      <c r="T69" s="125">
        <v>370281</v>
      </c>
      <c r="U69" s="126">
        <v>163.26</v>
      </c>
      <c r="V69" s="125">
        <v>373009</v>
      </c>
      <c r="W69" s="126">
        <v>173.9</v>
      </c>
      <c r="X69" s="125">
        <v>401772</v>
      </c>
      <c r="Y69" s="126">
        <v>163.92</v>
      </c>
      <c r="Z69" s="125">
        <f>B69+D69+F69+H69+J69+L69+N69+P69+R69+T69+V69+X69</f>
        <v>4564712</v>
      </c>
      <c r="AA69" s="127">
        <f>C69+E69+G69+I69+K69+M69+O69+Q69+S69+U69+W69+Y69</f>
        <v>1917.74</v>
      </c>
    </row>
    <row r="70" spans="1:29" s="128" customFormat="1" x14ac:dyDescent="0.25">
      <c r="A70" s="11" t="s">
        <v>55</v>
      </c>
      <c r="B70" s="6" cm="1">
        <f t="array" ref="B70:Y70">_xlfn.XLOOKUP(A70,'PR Trending Data'!A71:A136,'PR Trending Data'!B71:Y136)</f>
        <v>422340</v>
      </c>
      <c r="C70" s="50">
        <v>164.59</v>
      </c>
      <c r="D70" s="6">
        <v>366147</v>
      </c>
      <c r="E70" s="50">
        <v>152.5</v>
      </c>
      <c r="F70" s="6">
        <v>432734</v>
      </c>
      <c r="G70" s="50">
        <v>166.89</v>
      </c>
      <c r="H70" s="6">
        <v>385756</v>
      </c>
      <c r="I70" s="50">
        <v>171.22</v>
      </c>
      <c r="J70" s="6">
        <v>420839</v>
      </c>
      <c r="K70" s="50">
        <v>170.66</v>
      </c>
      <c r="L70" s="6">
        <v>423738</v>
      </c>
      <c r="M70" s="50">
        <v>183.44</v>
      </c>
      <c r="N70" s="6">
        <v>391820</v>
      </c>
      <c r="O70" s="50">
        <v>164.98</v>
      </c>
      <c r="P70" s="6">
        <v>371184</v>
      </c>
      <c r="Q70" s="50">
        <v>158.83000000000001</v>
      </c>
      <c r="R70" s="6">
        <v>414058</v>
      </c>
      <c r="S70" s="50">
        <v>168.18</v>
      </c>
      <c r="T70" s="6">
        <v>394683</v>
      </c>
      <c r="U70" s="50">
        <v>174.02</v>
      </c>
      <c r="V70" s="6">
        <v>375501</v>
      </c>
      <c r="W70" s="50">
        <v>175.06</v>
      </c>
      <c r="X70" s="6">
        <v>421214</v>
      </c>
      <c r="Y70" s="50">
        <v>171.85</v>
      </c>
      <c r="Z70" s="6">
        <f t="shared" ref="Z70:AA71" si="53">B70+D70+F70+H70+J70+L70+N70+P70+R70+T70+V70+X70</f>
        <v>4820014</v>
      </c>
      <c r="AA70" s="25">
        <f t="shared" si="53"/>
        <v>2022.2199999999998</v>
      </c>
      <c r="AB70" s="129"/>
      <c r="AC70" s="130"/>
    </row>
    <row r="71" spans="1:29" s="128" customFormat="1" x14ac:dyDescent="0.25">
      <c r="A71" s="18" t="s">
        <v>56</v>
      </c>
      <c r="B71" s="125" cm="1">
        <f t="array" ref="B71:Y71">_xlfn.XLOOKUP(A71,'PR Trending Data'!A72:A137,'PR Trending Data'!B72:Y137)</f>
        <v>386639</v>
      </c>
      <c r="C71" s="126">
        <v>150.68</v>
      </c>
      <c r="D71" s="125">
        <v>338291</v>
      </c>
      <c r="E71" s="126">
        <v>140.9</v>
      </c>
      <c r="F71" s="125">
        <v>401607</v>
      </c>
      <c r="G71" s="126">
        <v>154.88</v>
      </c>
      <c r="H71" s="125">
        <v>376381</v>
      </c>
      <c r="I71" s="126">
        <v>167.06</v>
      </c>
      <c r="J71" s="125">
        <v>408498</v>
      </c>
      <c r="K71" s="126">
        <v>165.65</v>
      </c>
      <c r="L71" s="125">
        <v>422699</v>
      </c>
      <c r="M71" s="126">
        <v>182.99</v>
      </c>
      <c r="N71" s="125">
        <v>400032</v>
      </c>
      <c r="O71" s="126">
        <v>168.43</v>
      </c>
      <c r="P71" s="125">
        <v>369505</v>
      </c>
      <c r="Q71" s="126">
        <v>158.11000000000001</v>
      </c>
      <c r="R71" s="125">
        <v>393522</v>
      </c>
      <c r="S71" s="126">
        <v>159.84</v>
      </c>
      <c r="T71" s="125">
        <v>370281</v>
      </c>
      <c r="U71" s="126">
        <v>163.26</v>
      </c>
      <c r="V71" s="125">
        <v>382697</v>
      </c>
      <c r="W71" s="126">
        <v>178.41</v>
      </c>
      <c r="X71" s="125">
        <v>423238</v>
      </c>
      <c r="Y71" s="126">
        <v>172.68</v>
      </c>
      <c r="Z71" s="125">
        <f>B71+D71+F71+H71+J71+L71+N71+P71+R71+T71+V71+X71</f>
        <v>4673390</v>
      </c>
      <c r="AA71" s="127">
        <f t="shared" si="53"/>
        <v>1962.8899999999999</v>
      </c>
    </row>
    <row r="72" spans="1:29" s="128" customFormat="1" x14ac:dyDescent="0.25">
      <c r="A72" s="11" t="s">
        <v>111</v>
      </c>
      <c r="B72" s="6" cm="1">
        <f t="array" ref="B72:Y72">_xlfn.XLOOKUP(A72,'PR Trending Data'!A73:A138,'PR Trending Data'!B73:Y138)</f>
        <v>429647</v>
      </c>
      <c r="C72" s="50">
        <v>167.44</v>
      </c>
      <c r="D72" s="6">
        <v>372334</v>
      </c>
      <c r="E72" s="50">
        <v>155.07</v>
      </c>
      <c r="F72" s="6">
        <v>443422</v>
      </c>
      <c r="G72" s="50">
        <v>171.01</v>
      </c>
      <c r="H72" s="6">
        <v>388917</v>
      </c>
      <c r="I72" s="50">
        <v>172.62</v>
      </c>
      <c r="J72" s="6">
        <v>428094</v>
      </c>
      <c r="K72" s="50">
        <v>173.6</v>
      </c>
      <c r="L72" s="6">
        <v>433767</v>
      </c>
      <c r="M72" s="50">
        <v>187.78</v>
      </c>
      <c r="N72" s="6">
        <v>405630</v>
      </c>
      <c r="O72" s="50">
        <v>170.79</v>
      </c>
      <c r="P72" s="6">
        <v>374802</v>
      </c>
      <c r="Q72" s="50">
        <v>160.38</v>
      </c>
      <c r="R72" s="6">
        <v>429527</v>
      </c>
      <c r="S72" s="50">
        <v>174.46</v>
      </c>
      <c r="T72" s="6">
        <v>394683</v>
      </c>
      <c r="U72" s="50">
        <v>174.02</v>
      </c>
      <c r="V72" s="6">
        <v>385188</v>
      </c>
      <c r="W72" s="50">
        <v>179.57</v>
      </c>
      <c r="X72" s="6">
        <v>442680</v>
      </c>
      <c r="Y72" s="50">
        <v>180.61</v>
      </c>
      <c r="Z72" s="6">
        <f>B72+D72+F72+H72+J72+L72+N72+P72+R72+T72+V72+X72</f>
        <v>4928691</v>
      </c>
      <c r="AA72" s="25">
        <f>C72+E72+G72+I72+K72+M72+O72+Q72+S72+U72+W72+Y72</f>
        <v>2067.35</v>
      </c>
      <c r="AB72" s="129"/>
      <c r="AC72" s="130"/>
    </row>
    <row r="73" spans="1:29" ht="14.95" thickBot="1" x14ac:dyDescent="0.3">
      <c r="A73" s="100" t="s">
        <v>112</v>
      </c>
      <c r="B73" s="101" cm="1">
        <f t="array" ref="B73:Y73">_xlfn.XLOOKUP(A73,'PR Trending Data'!A74:A139,'PR Trending Data'!B74:Y139)</f>
        <v>473308</v>
      </c>
      <c r="C73" s="102">
        <v>184.45</v>
      </c>
      <c r="D73" s="101">
        <v>408103</v>
      </c>
      <c r="E73" s="102">
        <v>169.97</v>
      </c>
      <c r="F73" s="101">
        <v>480384</v>
      </c>
      <c r="G73" s="102">
        <v>185.26</v>
      </c>
      <c r="H73" s="101">
        <v>423046</v>
      </c>
      <c r="I73" s="102">
        <v>187.77</v>
      </c>
      <c r="J73" s="101">
        <v>463715</v>
      </c>
      <c r="K73" s="102">
        <v>188.04</v>
      </c>
      <c r="L73" s="101">
        <v>467115</v>
      </c>
      <c r="M73" s="102">
        <v>202.21</v>
      </c>
      <c r="N73" s="101">
        <v>437162</v>
      </c>
      <c r="O73" s="102">
        <v>184.07</v>
      </c>
      <c r="P73" s="101">
        <v>404362</v>
      </c>
      <c r="Q73" s="102">
        <v>173.03</v>
      </c>
      <c r="R73" s="101">
        <v>459264</v>
      </c>
      <c r="S73" s="102">
        <v>186.54</v>
      </c>
      <c r="T73" s="101">
        <v>419712</v>
      </c>
      <c r="U73" s="102">
        <v>185.06</v>
      </c>
      <c r="V73" s="101">
        <v>414316</v>
      </c>
      <c r="W73" s="102">
        <v>193.15</v>
      </c>
      <c r="X73" s="101">
        <v>474863</v>
      </c>
      <c r="Y73" s="102">
        <v>193.74</v>
      </c>
      <c r="Z73" s="101">
        <f>B73+D73+F73+H73+J73+L73+N73+P73+R73+T73+V73+X73</f>
        <v>5325350</v>
      </c>
      <c r="AA73" s="107">
        <f t="shared" ref="AA73" si="54">C73+E73+G73+I73+K73+M73+O73+Q73+S73+U73+W73+Y73</f>
        <v>2233.29</v>
      </c>
    </row>
  </sheetData>
  <mergeCells count="3">
    <mergeCell ref="A1:AA1"/>
    <mergeCell ref="A2:AA2"/>
    <mergeCell ref="A3:AA3"/>
  </mergeCells>
  <printOptions horizontalCentered="1" verticalCentered="1"/>
  <pageMargins left="0" right="0" top="0.5" bottom="0.5" header="0" footer="0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57CC-BB75-49E7-992B-4741B173CFD5}">
  <dimension ref="A1:P48"/>
  <sheetViews>
    <sheetView workbookViewId="0">
      <selection sqref="A1:E1048576"/>
    </sheetView>
  </sheetViews>
  <sheetFormatPr defaultRowHeight="14.3" x14ac:dyDescent="0.25"/>
  <cols>
    <col min="9" max="9" width="26.125" bestFit="1" customWidth="1"/>
  </cols>
  <sheetData>
    <row r="1" spans="1:16" x14ac:dyDescent="0.25">
      <c r="A1" t="s">
        <v>307</v>
      </c>
      <c r="B1" t="s">
        <v>308</v>
      </c>
      <c r="C1" t="s">
        <v>309</v>
      </c>
      <c r="D1" t="s">
        <v>310</v>
      </c>
    </row>
    <row r="2" spans="1:16" x14ac:dyDescent="0.25">
      <c r="A2" t="s">
        <v>311</v>
      </c>
      <c r="B2" t="s">
        <v>0</v>
      </c>
    </row>
    <row r="3" spans="1:16" x14ac:dyDescent="0.25">
      <c r="A3" t="s">
        <v>312</v>
      </c>
      <c r="B3" t="s">
        <v>313</v>
      </c>
    </row>
    <row r="5" spans="1:16" x14ac:dyDescent="0.25">
      <c r="A5" t="s">
        <v>314</v>
      </c>
      <c r="B5" t="s">
        <v>315</v>
      </c>
    </row>
    <row r="7" spans="1:16" x14ac:dyDescent="0.25">
      <c r="B7" t="s">
        <v>316</v>
      </c>
    </row>
    <row r="8" spans="1:16" x14ac:dyDescent="0.25">
      <c r="A8" t="s">
        <v>3</v>
      </c>
    </row>
    <row r="9" spans="1:16" x14ac:dyDescent="0.25">
      <c r="A9" t="s">
        <v>225</v>
      </c>
      <c r="B9" s="44">
        <v>22699</v>
      </c>
    </row>
    <row r="10" spans="1:16" x14ac:dyDescent="0.25">
      <c r="A10" t="s">
        <v>226</v>
      </c>
      <c r="B10" s="44">
        <v>1715902</v>
      </c>
    </row>
    <row r="11" spans="1:16" x14ac:dyDescent="0.25">
      <c r="A11" t="s">
        <v>227</v>
      </c>
      <c r="B11" s="44">
        <v>-50489</v>
      </c>
      <c r="O11" s="133"/>
      <c r="P11" s="134"/>
    </row>
    <row r="12" spans="1:16" x14ac:dyDescent="0.25">
      <c r="A12" t="s">
        <v>229</v>
      </c>
      <c r="B12" s="44">
        <v>156097</v>
      </c>
      <c r="O12" s="133"/>
    </row>
    <row r="13" spans="1:16" x14ac:dyDescent="0.25">
      <c r="A13" t="s">
        <v>231</v>
      </c>
      <c r="B13" s="44">
        <v>-611166</v>
      </c>
      <c r="O13" s="133"/>
    </row>
    <row r="14" spans="1:16" x14ac:dyDescent="0.25">
      <c r="A14" t="s">
        <v>233</v>
      </c>
      <c r="B14" s="44">
        <v>1783</v>
      </c>
      <c r="O14" s="133"/>
    </row>
    <row r="15" spans="1:16" x14ac:dyDescent="0.25">
      <c r="A15" t="s">
        <v>4</v>
      </c>
      <c r="B15" s="44">
        <v>1234827</v>
      </c>
      <c r="O15" s="133"/>
    </row>
    <row r="16" spans="1:16" x14ac:dyDescent="0.25">
      <c r="A16" t="s">
        <v>5</v>
      </c>
      <c r="O16" s="133"/>
    </row>
    <row r="17" spans="1:15" x14ac:dyDescent="0.25">
      <c r="A17" t="s">
        <v>237</v>
      </c>
      <c r="B17" s="44">
        <v>3416</v>
      </c>
      <c r="O17" s="133"/>
    </row>
    <row r="18" spans="1:15" x14ac:dyDescent="0.25">
      <c r="A18" t="s">
        <v>239</v>
      </c>
      <c r="B18" s="44">
        <v>131927</v>
      </c>
      <c r="O18" s="133"/>
    </row>
    <row r="19" spans="1:15" x14ac:dyDescent="0.25">
      <c r="A19" t="s">
        <v>241</v>
      </c>
      <c r="B19" s="44">
        <v>4749</v>
      </c>
      <c r="O19" s="133"/>
    </row>
    <row r="20" spans="1:15" x14ac:dyDescent="0.25">
      <c r="A20" t="s">
        <v>243</v>
      </c>
      <c r="B20" s="44">
        <v>685794</v>
      </c>
      <c r="O20" s="133"/>
    </row>
    <row r="21" spans="1:15" x14ac:dyDescent="0.25">
      <c r="A21" t="s">
        <v>245</v>
      </c>
      <c r="B21">
        <v>0</v>
      </c>
      <c r="O21" s="133"/>
    </row>
    <row r="22" spans="1:15" x14ac:dyDescent="0.25">
      <c r="A22" t="s">
        <v>247</v>
      </c>
      <c r="B22" s="44">
        <v>1099</v>
      </c>
      <c r="O22" s="133"/>
    </row>
    <row r="23" spans="1:15" x14ac:dyDescent="0.25">
      <c r="A23" t="s">
        <v>249</v>
      </c>
      <c r="B23" s="44">
        <v>23124</v>
      </c>
      <c r="O23" s="133"/>
    </row>
    <row r="24" spans="1:15" x14ac:dyDescent="0.25">
      <c r="A24" t="s">
        <v>251</v>
      </c>
      <c r="B24">
        <v>0</v>
      </c>
      <c r="O24" s="133"/>
    </row>
    <row r="25" spans="1:15" x14ac:dyDescent="0.25">
      <c r="A25" t="s">
        <v>253</v>
      </c>
      <c r="B25" s="44">
        <v>-180889</v>
      </c>
      <c r="O25" s="133"/>
    </row>
    <row r="26" spans="1:15" x14ac:dyDescent="0.25">
      <c r="A26" t="s">
        <v>255</v>
      </c>
      <c r="B26" s="44">
        <v>31590</v>
      </c>
      <c r="O26" s="133"/>
    </row>
    <row r="27" spans="1:15" x14ac:dyDescent="0.25">
      <c r="A27" t="s">
        <v>6</v>
      </c>
      <c r="B27" s="44">
        <v>700810</v>
      </c>
      <c r="O27" s="133"/>
    </row>
    <row r="28" spans="1:15" x14ac:dyDescent="0.25">
      <c r="A28" t="s">
        <v>7</v>
      </c>
      <c r="B28" s="44">
        <v>1935637</v>
      </c>
    </row>
    <row r="29" spans="1:15" x14ac:dyDescent="0.25">
      <c r="A29" t="s">
        <v>8</v>
      </c>
    </row>
    <row r="30" spans="1:15" x14ac:dyDescent="0.25">
      <c r="A30" t="s">
        <v>260</v>
      </c>
      <c r="B30" s="44">
        <v>782460</v>
      </c>
    </row>
    <row r="31" spans="1:15" x14ac:dyDescent="0.25">
      <c r="A31" t="s">
        <v>262</v>
      </c>
      <c r="B31">
        <v>0</v>
      </c>
    </row>
    <row r="32" spans="1:15" x14ac:dyDescent="0.25">
      <c r="A32" t="s">
        <v>264</v>
      </c>
      <c r="B32" s="44">
        <v>231834</v>
      </c>
    </row>
    <row r="33" spans="1:2" x14ac:dyDescent="0.25">
      <c r="A33" t="s">
        <v>317</v>
      </c>
      <c r="B33" s="44">
        <v>116658</v>
      </c>
    </row>
    <row r="34" spans="1:2" x14ac:dyDescent="0.25">
      <c r="A34" t="s">
        <v>318</v>
      </c>
      <c r="B34">
        <v>0</v>
      </c>
    </row>
    <row r="35" spans="1:2" x14ac:dyDescent="0.25">
      <c r="A35" t="s">
        <v>319</v>
      </c>
      <c r="B35">
        <v>0</v>
      </c>
    </row>
    <row r="36" spans="1:2" x14ac:dyDescent="0.25">
      <c r="A36" t="s">
        <v>269</v>
      </c>
      <c r="B36" s="44">
        <v>850000</v>
      </c>
    </row>
    <row r="37" spans="1:2" x14ac:dyDescent="0.25">
      <c r="A37" t="s">
        <v>271</v>
      </c>
      <c r="B37" s="44">
        <v>1446</v>
      </c>
    </row>
    <row r="38" spans="1:2" x14ac:dyDescent="0.25">
      <c r="A38" t="s">
        <v>273</v>
      </c>
      <c r="B38">
        <v>0</v>
      </c>
    </row>
    <row r="39" spans="1:2" x14ac:dyDescent="0.25">
      <c r="A39" t="s">
        <v>9</v>
      </c>
      <c r="B39" s="44">
        <v>1982397</v>
      </c>
    </row>
    <row r="40" spans="1:2" x14ac:dyDescent="0.25">
      <c r="A40" t="s">
        <v>10</v>
      </c>
      <c r="B40">
        <v>0</v>
      </c>
    </row>
    <row r="41" spans="1:2" x14ac:dyDescent="0.25">
      <c r="A41" t="s">
        <v>11</v>
      </c>
      <c r="B41" s="44">
        <v>1982397</v>
      </c>
    </row>
    <row r="42" spans="1:2" x14ac:dyDescent="0.25">
      <c r="A42" t="s">
        <v>12</v>
      </c>
    </row>
    <row r="43" spans="1:2" x14ac:dyDescent="0.25">
      <c r="A43" t="s">
        <v>278</v>
      </c>
      <c r="B43" s="44">
        <v>759644</v>
      </c>
    </row>
    <row r="44" spans="1:2" x14ac:dyDescent="0.25">
      <c r="A44" t="s">
        <v>280</v>
      </c>
      <c r="B44" s="44">
        <v>-1145000</v>
      </c>
    </row>
    <row r="45" spans="1:2" x14ac:dyDescent="0.25">
      <c r="A45" t="s">
        <v>320</v>
      </c>
      <c r="B45" s="44">
        <v>338596</v>
      </c>
    </row>
    <row r="46" spans="1:2" x14ac:dyDescent="0.25">
      <c r="A46" t="s">
        <v>283</v>
      </c>
      <c r="B46" s="44">
        <v>338596</v>
      </c>
    </row>
    <row r="47" spans="1:2" x14ac:dyDescent="0.25">
      <c r="A47" t="s">
        <v>13</v>
      </c>
      <c r="B47" s="44">
        <v>-46760</v>
      </c>
    </row>
    <row r="48" spans="1:2" x14ac:dyDescent="0.25">
      <c r="A48" t="s">
        <v>14</v>
      </c>
      <c r="B48" s="44">
        <v>1935637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F9B2-047D-478C-9CEB-1178DA73BC20}">
  <dimension ref="A1:E150"/>
  <sheetViews>
    <sheetView workbookViewId="0">
      <selection sqref="A1:E1048576"/>
    </sheetView>
  </sheetViews>
  <sheetFormatPr defaultRowHeight="14.3" x14ac:dyDescent="0.25"/>
  <sheetData>
    <row r="1" spans="1:5" x14ac:dyDescent="0.25">
      <c r="A1" t="s">
        <v>307</v>
      </c>
      <c r="B1" t="s">
        <v>308</v>
      </c>
      <c r="C1" t="s">
        <v>309</v>
      </c>
      <c r="D1" t="s">
        <v>310</v>
      </c>
    </row>
    <row r="2" spans="1:5" x14ac:dyDescent="0.25">
      <c r="A2" t="s">
        <v>329</v>
      </c>
      <c r="B2" t="s">
        <v>49</v>
      </c>
    </row>
    <row r="3" spans="1:5" x14ac:dyDescent="0.25">
      <c r="A3" t="s">
        <v>312</v>
      </c>
      <c r="B3" t="s">
        <v>330</v>
      </c>
    </row>
    <row r="5" spans="1:5" x14ac:dyDescent="0.25">
      <c r="A5" t="s">
        <v>314</v>
      </c>
      <c r="B5" t="s">
        <v>315</v>
      </c>
    </row>
    <row r="7" spans="1:5" x14ac:dyDescent="0.25">
      <c r="B7" t="s">
        <v>316</v>
      </c>
      <c r="C7" t="s">
        <v>331</v>
      </c>
      <c r="D7" t="s">
        <v>332</v>
      </c>
      <c r="E7" t="s">
        <v>333</v>
      </c>
    </row>
    <row r="8" spans="1:5" x14ac:dyDescent="0.25">
      <c r="A8" t="s">
        <v>17</v>
      </c>
    </row>
    <row r="9" spans="1:5" x14ac:dyDescent="0.25">
      <c r="A9" t="s">
        <v>113</v>
      </c>
      <c r="B9" s="44">
        <v>4650290</v>
      </c>
      <c r="C9">
        <v>279.75</v>
      </c>
      <c r="D9" s="44">
        <v>4650290</v>
      </c>
      <c r="E9">
        <v>279.75</v>
      </c>
    </row>
    <row r="10" spans="1:5" x14ac:dyDescent="0.25">
      <c r="A10" t="s">
        <v>114</v>
      </c>
      <c r="B10" s="44">
        <v>404354</v>
      </c>
      <c r="C10">
        <v>278.29000000000002</v>
      </c>
      <c r="D10" s="44">
        <v>404354</v>
      </c>
      <c r="E10">
        <v>278.29000000000002</v>
      </c>
    </row>
    <row r="11" spans="1:5" x14ac:dyDescent="0.25">
      <c r="A11" t="s">
        <v>115</v>
      </c>
      <c r="B11" s="44">
        <v>2480638</v>
      </c>
      <c r="C11">
        <v>682.43</v>
      </c>
      <c r="D11" s="44">
        <v>2480638</v>
      </c>
      <c r="E11">
        <v>682.43</v>
      </c>
    </row>
    <row r="12" spans="1:5" x14ac:dyDescent="0.25">
      <c r="A12" t="s">
        <v>116</v>
      </c>
      <c r="B12" s="44">
        <v>924175</v>
      </c>
      <c r="C12">
        <v>458.65</v>
      </c>
      <c r="D12" s="44">
        <v>924175</v>
      </c>
      <c r="E12">
        <v>458.65</v>
      </c>
    </row>
    <row r="13" spans="1:5" x14ac:dyDescent="0.25">
      <c r="A13" t="s">
        <v>117</v>
      </c>
      <c r="B13" s="44">
        <v>1446974</v>
      </c>
      <c r="C13">
        <v>295.24</v>
      </c>
      <c r="D13" s="44">
        <v>1446974</v>
      </c>
      <c r="E13">
        <v>295.24</v>
      </c>
    </row>
    <row r="14" spans="1:5" x14ac:dyDescent="0.25">
      <c r="A14" t="s">
        <v>118</v>
      </c>
      <c r="B14">
        <v>0</v>
      </c>
      <c r="D14">
        <v>0</v>
      </c>
    </row>
    <row r="15" spans="1:5" x14ac:dyDescent="0.25">
      <c r="A15" t="s">
        <v>119</v>
      </c>
      <c r="B15" s="44">
        <v>297113</v>
      </c>
      <c r="D15" s="44">
        <v>297113</v>
      </c>
    </row>
    <row r="16" spans="1:5" x14ac:dyDescent="0.25">
      <c r="A16" t="s">
        <v>120</v>
      </c>
      <c r="B16">
        <v>0</v>
      </c>
      <c r="D16">
        <v>0</v>
      </c>
    </row>
    <row r="17" spans="1:5" x14ac:dyDescent="0.25">
      <c r="A17" t="s">
        <v>121</v>
      </c>
      <c r="B17">
        <v>0</v>
      </c>
      <c r="D17">
        <v>0</v>
      </c>
    </row>
    <row r="18" spans="1:5" x14ac:dyDescent="0.25">
      <c r="A18" t="s">
        <v>122</v>
      </c>
      <c r="B18">
        <v>0</v>
      </c>
      <c r="D18">
        <v>0</v>
      </c>
    </row>
    <row r="19" spans="1:5" x14ac:dyDescent="0.25">
      <c r="A19" t="s">
        <v>123</v>
      </c>
      <c r="B19" s="44">
        <v>5276</v>
      </c>
      <c r="D19" s="44">
        <v>5276</v>
      </c>
    </row>
    <row r="20" spans="1:5" x14ac:dyDescent="0.25">
      <c r="A20" t="s">
        <v>124</v>
      </c>
      <c r="B20">
        <v>0</v>
      </c>
      <c r="D20">
        <v>0</v>
      </c>
    </row>
    <row r="21" spans="1:5" x14ac:dyDescent="0.25">
      <c r="A21" t="s">
        <v>125</v>
      </c>
      <c r="B21" s="44">
        <v>215428</v>
      </c>
      <c r="C21">
        <v>7.53</v>
      </c>
      <c r="D21" s="44">
        <v>215428</v>
      </c>
      <c r="E21">
        <v>7.53</v>
      </c>
    </row>
    <row r="22" spans="1:5" x14ac:dyDescent="0.25">
      <c r="A22" t="s">
        <v>19</v>
      </c>
      <c r="B22" s="44">
        <v>10424247</v>
      </c>
      <c r="C22">
        <v>364.14</v>
      </c>
      <c r="D22" s="44">
        <v>10424247</v>
      </c>
      <c r="E22">
        <v>364.14</v>
      </c>
    </row>
    <row r="23" spans="1:5" x14ac:dyDescent="0.25">
      <c r="A23" t="s">
        <v>20</v>
      </c>
    </row>
    <row r="24" spans="1:5" x14ac:dyDescent="0.25">
      <c r="A24" t="s">
        <v>113</v>
      </c>
      <c r="B24" s="44">
        <v>16663</v>
      </c>
      <c r="D24" s="44">
        <v>16663</v>
      </c>
    </row>
    <row r="25" spans="1:5" x14ac:dyDescent="0.25">
      <c r="A25" t="s">
        <v>114</v>
      </c>
      <c r="B25" s="44">
        <v>1453</v>
      </c>
      <c r="D25" s="44">
        <v>1453</v>
      </c>
    </row>
    <row r="26" spans="1:5" x14ac:dyDescent="0.25">
      <c r="A26" t="s">
        <v>115</v>
      </c>
      <c r="B26" s="44">
        <v>3635</v>
      </c>
      <c r="D26" s="44">
        <v>3635</v>
      </c>
    </row>
    <row r="27" spans="1:5" x14ac:dyDescent="0.25">
      <c r="A27" t="s">
        <v>116</v>
      </c>
      <c r="B27" s="44">
        <v>2015</v>
      </c>
      <c r="D27" s="44">
        <v>2015</v>
      </c>
    </row>
    <row r="28" spans="1:5" x14ac:dyDescent="0.25">
      <c r="A28" t="s">
        <v>117</v>
      </c>
      <c r="B28" s="44">
        <v>4894</v>
      </c>
      <c r="D28" s="44">
        <v>4894</v>
      </c>
    </row>
    <row r="29" spans="1:5" x14ac:dyDescent="0.25">
      <c r="A29" t="s">
        <v>118</v>
      </c>
      <c r="B29">
        <v>0</v>
      </c>
      <c r="D29">
        <v>0</v>
      </c>
    </row>
    <row r="30" spans="1:5" x14ac:dyDescent="0.25">
      <c r="A30" t="s">
        <v>126</v>
      </c>
      <c r="B30">
        <v>0</v>
      </c>
      <c r="D30">
        <v>0</v>
      </c>
    </row>
    <row r="31" spans="1:5" x14ac:dyDescent="0.25">
      <c r="A31" t="s">
        <v>21</v>
      </c>
      <c r="B31" s="44">
        <v>28660</v>
      </c>
      <c r="D31" s="44">
        <v>28660</v>
      </c>
    </row>
    <row r="32" spans="1:5" x14ac:dyDescent="0.25">
      <c r="B32">
        <v>0</v>
      </c>
      <c r="D32">
        <v>0</v>
      </c>
    </row>
    <row r="33" spans="1:5" x14ac:dyDescent="0.25">
      <c r="A33" t="s">
        <v>22</v>
      </c>
    </row>
    <row r="34" spans="1:5" x14ac:dyDescent="0.25">
      <c r="A34" t="s">
        <v>127</v>
      </c>
      <c r="B34" s="44">
        <v>105946</v>
      </c>
      <c r="C34">
        <v>3.7</v>
      </c>
      <c r="D34" s="44">
        <v>105946</v>
      </c>
      <c r="E34">
        <v>3.7</v>
      </c>
    </row>
    <row r="35" spans="1:5" x14ac:dyDescent="0.25">
      <c r="A35" t="s">
        <v>128</v>
      </c>
      <c r="B35" s="44">
        <v>85613</v>
      </c>
      <c r="C35">
        <v>2.99</v>
      </c>
      <c r="D35" s="44">
        <v>85613</v>
      </c>
      <c r="E35">
        <v>2.99</v>
      </c>
    </row>
    <row r="36" spans="1:5" x14ac:dyDescent="0.25">
      <c r="A36" t="s">
        <v>129</v>
      </c>
      <c r="B36" s="44">
        <v>800771</v>
      </c>
      <c r="C36">
        <v>27.97</v>
      </c>
      <c r="D36" s="44">
        <v>800771</v>
      </c>
      <c r="E36">
        <v>27.97</v>
      </c>
    </row>
    <row r="37" spans="1:5" x14ac:dyDescent="0.25">
      <c r="A37" t="s">
        <v>130</v>
      </c>
      <c r="B37" s="44">
        <v>442824</v>
      </c>
      <c r="C37">
        <v>15.47</v>
      </c>
      <c r="D37" s="44">
        <v>442824</v>
      </c>
      <c r="E37">
        <v>15.47</v>
      </c>
    </row>
    <row r="38" spans="1:5" x14ac:dyDescent="0.25">
      <c r="A38" t="s">
        <v>131</v>
      </c>
      <c r="B38" s="44">
        <v>1861774</v>
      </c>
      <c r="C38">
        <v>65.040000000000006</v>
      </c>
      <c r="D38" s="44">
        <v>1861774</v>
      </c>
      <c r="E38">
        <v>65.040000000000006</v>
      </c>
    </row>
    <row r="39" spans="1:5" x14ac:dyDescent="0.25">
      <c r="A39" t="s">
        <v>132</v>
      </c>
      <c r="B39" s="44">
        <v>92496</v>
      </c>
      <c r="C39">
        <v>3.23</v>
      </c>
      <c r="D39" s="44">
        <v>92496</v>
      </c>
      <c r="E39">
        <v>3.23</v>
      </c>
    </row>
    <row r="40" spans="1:5" x14ac:dyDescent="0.25">
      <c r="A40" t="s">
        <v>133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134</v>
      </c>
      <c r="B41" s="44">
        <v>177691</v>
      </c>
      <c r="C41">
        <v>6.21</v>
      </c>
      <c r="D41" s="44">
        <v>177691</v>
      </c>
      <c r="E41">
        <v>6.21</v>
      </c>
    </row>
    <row r="42" spans="1:5" x14ac:dyDescent="0.25">
      <c r="A42" t="s">
        <v>135</v>
      </c>
      <c r="B42" s="44">
        <v>18418</v>
      </c>
      <c r="C42">
        <v>0.64</v>
      </c>
      <c r="D42" s="44">
        <v>18418</v>
      </c>
      <c r="E42">
        <v>0.64</v>
      </c>
    </row>
    <row r="43" spans="1:5" x14ac:dyDescent="0.25">
      <c r="A43" t="s">
        <v>136</v>
      </c>
      <c r="B43" s="44">
        <v>167869</v>
      </c>
      <c r="C43">
        <v>5.86</v>
      </c>
      <c r="D43" s="44">
        <v>167869</v>
      </c>
      <c r="E43">
        <v>5.86</v>
      </c>
    </row>
    <row r="44" spans="1:5" x14ac:dyDescent="0.25">
      <c r="A44" t="s">
        <v>137</v>
      </c>
      <c r="B44" s="44">
        <v>107643</v>
      </c>
      <c r="C44">
        <v>3.76</v>
      </c>
      <c r="D44" s="44">
        <v>107643</v>
      </c>
      <c r="E44">
        <v>3.76</v>
      </c>
    </row>
    <row r="45" spans="1:5" x14ac:dyDescent="0.25">
      <c r="A45" t="s">
        <v>138</v>
      </c>
      <c r="B45" s="44">
        <v>8298</v>
      </c>
      <c r="C45">
        <v>0.28999999999999998</v>
      </c>
      <c r="D45" s="44">
        <v>8298</v>
      </c>
      <c r="E45">
        <v>0.28999999999999998</v>
      </c>
    </row>
    <row r="46" spans="1:5" x14ac:dyDescent="0.25">
      <c r="A46" t="s">
        <v>139</v>
      </c>
      <c r="B46" s="44">
        <v>122655</v>
      </c>
      <c r="C46">
        <v>4.28</v>
      </c>
      <c r="D46" s="44">
        <v>122655</v>
      </c>
      <c r="E46">
        <v>4.28</v>
      </c>
    </row>
    <row r="47" spans="1:5" x14ac:dyDescent="0.25">
      <c r="A47" t="s">
        <v>140</v>
      </c>
      <c r="B47" s="44">
        <v>30100</v>
      </c>
      <c r="C47">
        <v>1.05</v>
      </c>
      <c r="D47" s="44">
        <v>30100</v>
      </c>
      <c r="E47">
        <v>1.05</v>
      </c>
    </row>
    <row r="48" spans="1:5" x14ac:dyDescent="0.25">
      <c r="A48" t="s">
        <v>141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142</v>
      </c>
      <c r="B49" s="44">
        <v>22880</v>
      </c>
      <c r="C49">
        <v>0.8</v>
      </c>
      <c r="D49" s="44">
        <v>22880</v>
      </c>
      <c r="E49">
        <v>0.8</v>
      </c>
    </row>
    <row r="50" spans="1:5" x14ac:dyDescent="0.25">
      <c r="A50" t="s">
        <v>143</v>
      </c>
      <c r="B50" s="44">
        <v>13128</v>
      </c>
      <c r="C50">
        <v>0.46</v>
      </c>
      <c r="D50" s="44">
        <v>13128</v>
      </c>
      <c r="E50">
        <v>0.46</v>
      </c>
    </row>
    <row r="51" spans="1:5" x14ac:dyDescent="0.25">
      <c r="A51" t="s">
        <v>144</v>
      </c>
      <c r="B51" s="44">
        <v>26613</v>
      </c>
      <c r="C51">
        <v>0.93</v>
      </c>
      <c r="D51" s="44">
        <v>26613</v>
      </c>
      <c r="E51">
        <v>0.93</v>
      </c>
    </row>
    <row r="52" spans="1:5" x14ac:dyDescent="0.25">
      <c r="A52" t="s">
        <v>145</v>
      </c>
      <c r="B52" s="44">
        <v>12011</v>
      </c>
      <c r="C52">
        <v>0.42</v>
      </c>
      <c r="D52" s="44">
        <v>12011</v>
      </c>
      <c r="E52">
        <v>0.42</v>
      </c>
    </row>
    <row r="53" spans="1:5" x14ac:dyDescent="0.25">
      <c r="A53" t="s">
        <v>146</v>
      </c>
      <c r="B53" s="44">
        <v>10845</v>
      </c>
      <c r="C53">
        <v>0.38</v>
      </c>
      <c r="D53" s="44">
        <v>10845</v>
      </c>
      <c r="E53">
        <v>0.38</v>
      </c>
    </row>
    <row r="54" spans="1:5" x14ac:dyDescent="0.25">
      <c r="A54" t="s">
        <v>147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23</v>
      </c>
      <c r="B55" s="44">
        <v>4107575</v>
      </c>
      <c r="C55">
        <v>143.49</v>
      </c>
      <c r="D55" s="44">
        <v>4107575</v>
      </c>
      <c r="E55">
        <v>143.49</v>
      </c>
    </row>
    <row r="56" spans="1:5" x14ac:dyDescent="0.25">
      <c r="A56" t="s">
        <v>24</v>
      </c>
    </row>
    <row r="57" spans="1:5" x14ac:dyDescent="0.25">
      <c r="A57" t="s">
        <v>148</v>
      </c>
      <c r="B57" s="44">
        <v>273865</v>
      </c>
      <c r="C57">
        <v>9.57</v>
      </c>
      <c r="D57" s="44">
        <v>273865</v>
      </c>
      <c r="E57">
        <v>9.57</v>
      </c>
    </row>
    <row r="58" spans="1:5" x14ac:dyDescent="0.25">
      <c r="A58" t="s">
        <v>149</v>
      </c>
      <c r="B58" s="44">
        <v>240239</v>
      </c>
      <c r="C58">
        <v>8.39</v>
      </c>
      <c r="D58" s="44">
        <v>240239</v>
      </c>
      <c r="E58">
        <v>8.39</v>
      </c>
    </row>
    <row r="59" spans="1:5" x14ac:dyDescent="0.25">
      <c r="A59" t="s">
        <v>150</v>
      </c>
      <c r="B59" s="44">
        <v>33775</v>
      </c>
      <c r="C59">
        <v>1.18</v>
      </c>
      <c r="D59" s="44">
        <v>33775</v>
      </c>
      <c r="E59">
        <v>1.18</v>
      </c>
    </row>
    <row r="60" spans="1:5" x14ac:dyDescent="0.25">
      <c r="A60" t="s">
        <v>151</v>
      </c>
      <c r="B60" s="44">
        <v>14341</v>
      </c>
      <c r="C60">
        <v>0.5</v>
      </c>
      <c r="D60" s="44">
        <v>14341</v>
      </c>
      <c r="E60">
        <v>0.5</v>
      </c>
    </row>
    <row r="61" spans="1:5" x14ac:dyDescent="0.25">
      <c r="A61" t="s">
        <v>152</v>
      </c>
      <c r="B61" s="44">
        <v>71025</v>
      </c>
      <c r="C61">
        <v>2.48</v>
      </c>
      <c r="D61" s="44">
        <v>71025</v>
      </c>
      <c r="E61">
        <v>2.48</v>
      </c>
    </row>
    <row r="62" spans="1:5" x14ac:dyDescent="0.25">
      <c r="A62" t="s">
        <v>153</v>
      </c>
      <c r="B62" s="44">
        <v>38945</v>
      </c>
      <c r="C62">
        <v>1.36</v>
      </c>
      <c r="D62" s="44">
        <v>38945</v>
      </c>
      <c r="E62">
        <v>1.36</v>
      </c>
    </row>
    <row r="63" spans="1:5" x14ac:dyDescent="0.25">
      <c r="A63" t="s">
        <v>154</v>
      </c>
      <c r="B63">
        <v>0</v>
      </c>
      <c r="D63">
        <v>0</v>
      </c>
    </row>
    <row r="64" spans="1:5" x14ac:dyDescent="0.25">
      <c r="A64" t="s">
        <v>155</v>
      </c>
      <c r="B64" s="44">
        <v>5946</v>
      </c>
      <c r="C64">
        <v>0.21</v>
      </c>
      <c r="D64" s="44">
        <v>5946</v>
      </c>
      <c r="E64">
        <v>0.21</v>
      </c>
    </row>
    <row r="65" spans="1:5" x14ac:dyDescent="0.25">
      <c r="A65" t="s">
        <v>156</v>
      </c>
      <c r="B65" s="44">
        <v>17083</v>
      </c>
      <c r="C65">
        <v>0.6</v>
      </c>
      <c r="D65" s="44">
        <v>17083</v>
      </c>
      <c r="E65">
        <v>0.6</v>
      </c>
    </row>
    <row r="66" spans="1:5" x14ac:dyDescent="0.25">
      <c r="A66" t="s">
        <v>25</v>
      </c>
      <c r="B66" s="44">
        <v>695220</v>
      </c>
      <c r="C66">
        <v>24.29</v>
      </c>
      <c r="D66" s="44">
        <v>695220</v>
      </c>
      <c r="E66">
        <v>24.29</v>
      </c>
    </row>
    <row r="67" spans="1:5" x14ac:dyDescent="0.25">
      <c r="A67" t="s">
        <v>26</v>
      </c>
    </row>
    <row r="68" spans="1:5" x14ac:dyDescent="0.25">
      <c r="A68" t="s">
        <v>157</v>
      </c>
      <c r="B68" s="44">
        <v>69813</v>
      </c>
      <c r="C68">
        <v>2.44</v>
      </c>
      <c r="D68" s="44">
        <v>69813</v>
      </c>
      <c r="E68">
        <v>2.44</v>
      </c>
    </row>
    <row r="69" spans="1:5" x14ac:dyDescent="0.25">
      <c r="A69" t="s">
        <v>158</v>
      </c>
      <c r="B69" s="44">
        <v>39025</v>
      </c>
      <c r="C69">
        <v>1.36</v>
      </c>
      <c r="D69" s="44">
        <v>39025</v>
      </c>
      <c r="E69">
        <v>1.36</v>
      </c>
    </row>
    <row r="70" spans="1:5" x14ac:dyDescent="0.25">
      <c r="A70" t="s">
        <v>159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t="s">
        <v>160</v>
      </c>
      <c r="B71" s="44">
        <v>5565</v>
      </c>
      <c r="C71">
        <v>0.19</v>
      </c>
      <c r="D71" s="44">
        <v>5565</v>
      </c>
      <c r="E71">
        <v>0.19</v>
      </c>
    </row>
    <row r="72" spans="1:5" x14ac:dyDescent="0.25">
      <c r="A72" t="s">
        <v>27</v>
      </c>
      <c r="B72" s="44">
        <v>114403</v>
      </c>
      <c r="C72">
        <v>4</v>
      </c>
      <c r="D72" s="44">
        <v>114403</v>
      </c>
      <c r="E72">
        <v>4</v>
      </c>
    </row>
    <row r="73" spans="1:5" x14ac:dyDescent="0.25">
      <c r="B73">
        <v>0</v>
      </c>
      <c r="D73">
        <v>0</v>
      </c>
    </row>
    <row r="74" spans="1:5" x14ac:dyDescent="0.25">
      <c r="A74" t="s">
        <v>28</v>
      </c>
    </row>
    <row r="75" spans="1:5" x14ac:dyDescent="0.25">
      <c r="A75" t="s">
        <v>161</v>
      </c>
      <c r="B75" s="44">
        <v>142657</v>
      </c>
      <c r="C75">
        <v>4.9800000000000004</v>
      </c>
      <c r="D75" s="44">
        <v>142657</v>
      </c>
      <c r="E75">
        <v>4.9800000000000004</v>
      </c>
    </row>
    <row r="76" spans="1:5" x14ac:dyDescent="0.25">
      <c r="A76" t="s">
        <v>162</v>
      </c>
      <c r="B76" s="44">
        <v>19289</v>
      </c>
      <c r="C76">
        <v>0.67</v>
      </c>
      <c r="D76" s="44">
        <v>19289</v>
      </c>
      <c r="E76">
        <v>0.67</v>
      </c>
    </row>
    <row r="77" spans="1:5" x14ac:dyDescent="0.25">
      <c r="A77" t="s">
        <v>29</v>
      </c>
      <c r="B77" s="44">
        <v>161946</v>
      </c>
      <c r="C77">
        <v>5.66</v>
      </c>
      <c r="D77" s="44">
        <v>161946</v>
      </c>
      <c r="E77">
        <v>5.66</v>
      </c>
    </row>
    <row r="78" spans="1:5" x14ac:dyDescent="0.25">
      <c r="A78" t="s">
        <v>30</v>
      </c>
    </row>
    <row r="79" spans="1:5" x14ac:dyDescent="0.25">
      <c r="A79" t="s">
        <v>163</v>
      </c>
      <c r="B79" s="44">
        <v>133497</v>
      </c>
      <c r="C79">
        <v>4.66</v>
      </c>
      <c r="D79" s="44">
        <v>133497</v>
      </c>
      <c r="E79">
        <v>4.66</v>
      </c>
    </row>
    <row r="80" spans="1:5" x14ac:dyDescent="0.25">
      <c r="A80" t="s">
        <v>164</v>
      </c>
      <c r="B80" s="44">
        <v>70169</v>
      </c>
      <c r="C80">
        <v>2.4500000000000002</v>
      </c>
      <c r="D80" s="44">
        <v>70169</v>
      </c>
      <c r="E80">
        <v>2.4500000000000002</v>
      </c>
    </row>
    <row r="81" spans="1:5" x14ac:dyDescent="0.25">
      <c r="A81" t="s">
        <v>165</v>
      </c>
      <c r="B81" s="44">
        <v>143776</v>
      </c>
      <c r="C81">
        <v>5.0199999999999996</v>
      </c>
      <c r="D81" s="44">
        <v>143776</v>
      </c>
      <c r="E81">
        <v>5.0199999999999996</v>
      </c>
    </row>
    <row r="82" spans="1:5" x14ac:dyDescent="0.25">
      <c r="A82" t="s">
        <v>166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167</v>
      </c>
      <c r="B83" s="44">
        <v>20397</v>
      </c>
      <c r="C83">
        <v>0.71</v>
      </c>
      <c r="D83" s="44">
        <v>20397</v>
      </c>
      <c r="E83">
        <v>0.71</v>
      </c>
    </row>
    <row r="84" spans="1:5" x14ac:dyDescent="0.25">
      <c r="A84" t="s">
        <v>168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169</v>
      </c>
      <c r="B85" s="44">
        <v>4667</v>
      </c>
      <c r="C85">
        <v>0.16</v>
      </c>
      <c r="D85" s="44">
        <v>4667</v>
      </c>
      <c r="E85">
        <v>0.16</v>
      </c>
    </row>
    <row r="86" spans="1:5" x14ac:dyDescent="0.25">
      <c r="A86" t="s">
        <v>170</v>
      </c>
      <c r="B86" s="44">
        <v>8525</v>
      </c>
      <c r="C86">
        <v>0.3</v>
      </c>
      <c r="D86" s="44">
        <v>8525</v>
      </c>
      <c r="E86">
        <v>0.3</v>
      </c>
    </row>
    <row r="87" spans="1:5" x14ac:dyDescent="0.25">
      <c r="A87" t="s">
        <v>171</v>
      </c>
      <c r="B87" s="44">
        <v>30250</v>
      </c>
      <c r="C87">
        <v>1.06</v>
      </c>
      <c r="D87" s="44">
        <v>30250</v>
      </c>
      <c r="E87">
        <v>1.06</v>
      </c>
    </row>
    <row r="88" spans="1:5" x14ac:dyDescent="0.25">
      <c r="A88" t="s">
        <v>172</v>
      </c>
      <c r="B88" s="44">
        <v>207209</v>
      </c>
      <c r="C88">
        <v>7.24</v>
      </c>
      <c r="D88" s="44">
        <v>207209</v>
      </c>
      <c r="E88">
        <v>7.24</v>
      </c>
    </row>
    <row r="89" spans="1:5" x14ac:dyDescent="0.25">
      <c r="A89" t="s">
        <v>173</v>
      </c>
      <c r="B89" s="44">
        <v>8600</v>
      </c>
      <c r="C89">
        <v>0.3</v>
      </c>
      <c r="D89" s="44">
        <v>8600</v>
      </c>
      <c r="E89">
        <v>0.3</v>
      </c>
    </row>
    <row r="90" spans="1:5" x14ac:dyDescent="0.25">
      <c r="A90" t="s">
        <v>174</v>
      </c>
      <c r="B90" s="44">
        <v>16218</v>
      </c>
      <c r="C90">
        <v>0.56999999999999995</v>
      </c>
      <c r="D90" s="44">
        <v>16218</v>
      </c>
      <c r="E90">
        <v>0.56999999999999995</v>
      </c>
    </row>
    <row r="91" spans="1:5" x14ac:dyDescent="0.25">
      <c r="A91" t="s">
        <v>175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t="s">
        <v>176</v>
      </c>
      <c r="B92" s="44">
        <v>59187</v>
      </c>
      <c r="C92">
        <v>2.0699999999999998</v>
      </c>
      <c r="D92" s="44">
        <v>59187</v>
      </c>
      <c r="E92">
        <v>2.0699999999999998</v>
      </c>
    </row>
    <row r="93" spans="1:5" x14ac:dyDescent="0.25">
      <c r="A93" t="s">
        <v>177</v>
      </c>
      <c r="B93" s="44">
        <v>31357</v>
      </c>
      <c r="C93">
        <v>1.1000000000000001</v>
      </c>
      <c r="D93" s="44">
        <v>31357</v>
      </c>
      <c r="E93">
        <v>1.1000000000000001</v>
      </c>
    </row>
    <row r="94" spans="1:5" x14ac:dyDescent="0.25">
      <c r="A94" t="s">
        <v>31</v>
      </c>
      <c r="B94" s="44">
        <v>733852</v>
      </c>
      <c r="C94">
        <v>25.63</v>
      </c>
      <c r="D94" s="44">
        <v>733852</v>
      </c>
      <c r="E94">
        <v>25.63</v>
      </c>
    </row>
    <row r="95" spans="1:5" x14ac:dyDescent="0.25">
      <c r="A95" t="s">
        <v>32</v>
      </c>
    </row>
    <row r="96" spans="1:5" x14ac:dyDescent="0.25">
      <c r="A96" t="s">
        <v>178</v>
      </c>
      <c r="B96" s="44">
        <v>336433</v>
      </c>
      <c r="C96">
        <v>11.75</v>
      </c>
      <c r="D96" s="44">
        <v>336433</v>
      </c>
      <c r="E96">
        <v>11.75</v>
      </c>
    </row>
    <row r="97" spans="1:5" x14ac:dyDescent="0.25">
      <c r="A97" t="s">
        <v>179</v>
      </c>
      <c r="B97" s="44">
        <v>229970</v>
      </c>
      <c r="C97">
        <v>8.0299999999999994</v>
      </c>
      <c r="D97" s="44">
        <v>229970</v>
      </c>
      <c r="E97">
        <v>8.0299999999999994</v>
      </c>
    </row>
    <row r="98" spans="1:5" x14ac:dyDescent="0.25">
      <c r="A98" t="s">
        <v>180</v>
      </c>
      <c r="B98" s="44">
        <v>16972</v>
      </c>
      <c r="C98">
        <v>0.59</v>
      </c>
      <c r="D98" s="44">
        <v>16972</v>
      </c>
      <c r="E98">
        <v>0.59</v>
      </c>
    </row>
    <row r="99" spans="1:5" x14ac:dyDescent="0.25">
      <c r="A99" t="s">
        <v>181</v>
      </c>
      <c r="B99" s="44">
        <v>27844</v>
      </c>
      <c r="C99">
        <v>0.97</v>
      </c>
      <c r="D99" s="44">
        <v>27844</v>
      </c>
      <c r="E99">
        <v>0.97</v>
      </c>
    </row>
    <row r="100" spans="1:5" x14ac:dyDescent="0.25">
      <c r="A100" t="s">
        <v>182</v>
      </c>
      <c r="B100">
        <v>0</v>
      </c>
      <c r="C100">
        <v>0</v>
      </c>
      <c r="D100">
        <v>0</v>
      </c>
      <c r="E100">
        <v>0</v>
      </c>
    </row>
    <row r="101" spans="1:5" x14ac:dyDescent="0.25">
      <c r="A101" t="s">
        <v>183</v>
      </c>
      <c r="B101">
        <v>760</v>
      </c>
      <c r="C101">
        <v>0.03</v>
      </c>
      <c r="D101">
        <v>760</v>
      </c>
      <c r="E101">
        <v>0.03</v>
      </c>
    </row>
    <row r="102" spans="1:5" x14ac:dyDescent="0.25">
      <c r="A102" t="s">
        <v>33</v>
      </c>
      <c r="B102" s="44">
        <v>611979</v>
      </c>
      <c r="C102">
        <v>21.38</v>
      </c>
      <c r="D102" s="44">
        <v>611979</v>
      </c>
      <c r="E102">
        <v>21.38</v>
      </c>
    </row>
    <row r="103" spans="1:5" x14ac:dyDescent="0.25">
      <c r="A103" t="s">
        <v>34</v>
      </c>
    </row>
    <row r="104" spans="1:5" x14ac:dyDescent="0.25">
      <c r="A104" t="s">
        <v>184</v>
      </c>
      <c r="B104" s="44">
        <v>396658</v>
      </c>
      <c r="C104">
        <v>13.86</v>
      </c>
      <c r="D104" s="44">
        <v>396658</v>
      </c>
      <c r="E104">
        <v>13.86</v>
      </c>
    </row>
    <row r="105" spans="1:5" x14ac:dyDescent="0.25">
      <c r="A105" t="s">
        <v>185</v>
      </c>
      <c r="B105" s="44">
        <v>37669</v>
      </c>
      <c r="C105">
        <v>1.32</v>
      </c>
      <c r="D105" s="44">
        <v>37669</v>
      </c>
      <c r="E105">
        <v>1.32</v>
      </c>
    </row>
    <row r="106" spans="1:5" x14ac:dyDescent="0.25">
      <c r="A106" t="s">
        <v>186</v>
      </c>
      <c r="B106" s="44">
        <v>18006</v>
      </c>
      <c r="C106">
        <v>0.63</v>
      </c>
      <c r="D106" s="44">
        <v>18006</v>
      </c>
      <c r="E106">
        <v>0.63</v>
      </c>
    </row>
    <row r="107" spans="1:5" x14ac:dyDescent="0.25">
      <c r="A107" t="s">
        <v>187</v>
      </c>
      <c r="B107" s="44">
        <v>119935</v>
      </c>
      <c r="C107">
        <v>4.1900000000000004</v>
      </c>
      <c r="D107" s="44">
        <v>119935</v>
      </c>
      <c r="E107">
        <v>4.1900000000000004</v>
      </c>
    </row>
    <row r="108" spans="1:5" x14ac:dyDescent="0.25">
      <c r="A108" t="s">
        <v>188</v>
      </c>
      <c r="B108" s="44">
        <v>6635</v>
      </c>
      <c r="C108">
        <v>0.23</v>
      </c>
      <c r="D108" s="44">
        <v>6635</v>
      </c>
      <c r="E108">
        <v>0.23</v>
      </c>
    </row>
    <row r="109" spans="1:5" x14ac:dyDescent="0.25">
      <c r="A109" t="s">
        <v>189</v>
      </c>
      <c r="B109" s="44">
        <v>32297</v>
      </c>
      <c r="C109">
        <v>1.1299999999999999</v>
      </c>
      <c r="D109" s="44">
        <v>32297</v>
      </c>
      <c r="E109">
        <v>1.1299999999999999</v>
      </c>
    </row>
    <row r="110" spans="1:5" x14ac:dyDescent="0.25">
      <c r="A110" t="s">
        <v>35</v>
      </c>
      <c r="B110" s="44">
        <v>611200</v>
      </c>
      <c r="C110">
        <v>21.35</v>
      </c>
      <c r="D110" s="44">
        <v>611200</v>
      </c>
      <c r="E110">
        <v>21.35</v>
      </c>
    </row>
    <row r="111" spans="1:5" x14ac:dyDescent="0.25">
      <c r="A111" t="s">
        <v>36</v>
      </c>
    </row>
    <row r="112" spans="1:5" x14ac:dyDescent="0.25">
      <c r="A112" t="s">
        <v>190</v>
      </c>
      <c r="B112" s="44">
        <v>150615</v>
      </c>
      <c r="C112">
        <v>5.26</v>
      </c>
      <c r="D112" s="44">
        <v>150615</v>
      </c>
      <c r="E112">
        <v>5.26</v>
      </c>
    </row>
    <row r="113" spans="1:5" x14ac:dyDescent="0.25">
      <c r="A113" t="s">
        <v>191</v>
      </c>
      <c r="B113" s="44">
        <v>101094</v>
      </c>
      <c r="C113">
        <v>3.53</v>
      </c>
      <c r="D113" s="44">
        <v>101094</v>
      </c>
      <c r="E113">
        <v>3.53</v>
      </c>
    </row>
    <row r="114" spans="1:5" x14ac:dyDescent="0.25">
      <c r="A114" t="s">
        <v>192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t="s">
        <v>193</v>
      </c>
      <c r="B115" s="44">
        <v>11292</v>
      </c>
      <c r="C115">
        <v>0.39</v>
      </c>
      <c r="D115" s="44">
        <v>11292</v>
      </c>
      <c r="E115">
        <v>0.39</v>
      </c>
    </row>
    <row r="116" spans="1:5" x14ac:dyDescent="0.25">
      <c r="A116" t="s">
        <v>194</v>
      </c>
      <c r="B116" s="44">
        <v>68480</v>
      </c>
      <c r="C116">
        <v>2.39</v>
      </c>
      <c r="D116" s="44">
        <v>68480</v>
      </c>
      <c r="E116">
        <v>2.39</v>
      </c>
    </row>
    <row r="117" spans="1:5" x14ac:dyDescent="0.25">
      <c r="A117" t="s">
        <v>195</v>
      </c>
      <c r="B117" s="44">
        <v>11708</v>
      </c>
      <c r="C117">
        <v>0.41</v>
      </c>
      <c r="D117" s="44">
        <v>11708</v>
      </c>
      <c r="E117">
        <v>0.41</v>
      </c>
    </row>
    <row r="118" spans="1:5" x14ac:dyDescent="0.25">
      <c r="A118" t="s">
        <v>196</v>
      </c>
      <c r="B118" s="44">
        <v>29720</v>
      </c>
      <c r="C118">
        <v>1.04</v>
      </c>
      <c r="D118" s="44">
        <v>29720</v>
      </c>
      <c r="E118">
        <v>1.04</v>
      </c>
    </row>
    <row r="119" spans="1:5" x14ac:dyDescent="0.25">
      <c r="A119" t="s">
        <v>197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t="s">
        <v>198</v>
      </c>
      <c r="B120">
        <v>731</v>
      </c>
      <c r="C120">
        <v>0.03</v>
      </c>
      <c r="D120">
        <v>731</v>
      </c>
      <c r="E120">
        <v>0.03</v>
      </c>
    </row>
    <row r="121" spans="1:5" x14ac:dyDescent="0.25">
      <c r="A121" t="s">
        <v>199</v>
      </c>
      <c r="B121" s="44">
        <v>26134</v>
      </c>
      <c r="C121">
        <v>0.91</v>
      </c>
      <c r="D121" s="44">
        <v>26134</v>
      </c>
      <c r="E121">
        <v>0.91</v>
      </c>
    </row>
    <row r="122" spans="1:5" x14ac:dyDescent="0.25">
      <c r="A122" t="s">
        <v>200</v>
      </c>
      <c r="B122" s="44">
        <v>32420</v>
      </c>
      <c r="C122">
        <v>1.1299999999999999</v>
      </c>
      <c r="D122" s="44">
        <v>32420</v>
      </c>
      <c r="E122">
        <v>1.1299999999999999</v>
      </c>
    </row>
    <row r="123" spans="1:5" x14ac:dyDescent="0.25">
      <c r="A123" t="s">
        <v>201</v>
      </c>
      <c r="B123" s="44">
        <v>16311</v>
      </c>
      <c r="C123">
        <v>0.56999999999999995</v>
      </c>
      <c r="D123" s="44">
        <v>16311</v>
      </c>
      <c r="E123">
        <v>0.56999999999999995</v>
      </c>
    </row>
    <row r="124" spans="1:5" x14ac:dyDescent="0.25">
      <c r="A124" t="s">
        <v>202</v>
      </c>
      <c r="B124" s="44">
        <v>17106</v>
      </c>
      <c r="C124">
        <v>0.6</v>
      </c>
      <c r="D124" s="44">
        <v>17106</v>
      </c>
      <c r="E124">
        <v>0.6</v>
      </c>
    </row>
    <row r="125" spans="1:5" x14ac:dyDescent="0.25">
      <c r="A125" t="s">
        <v>203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204</v>
      </c>
      <c r="B126" s="44">
        <v>6563</v>
      </c>
      <c r="C126">
        <v>0.23</v>
      </c>
      <c r="D126" s="44">
        <v>6563</v>
      </c>
      <c r="E126">
        <v>0.23</v>
      </c>
    </row>
    <row r="127" spans="1:5" x14ac:dyDescent="0.25">
      <c r="A127" t="s">
        <v>205</v>
      </c>
      <c r="B127" s="44">
        <v>518437</v>
      </c>
      <c r="C127">
        <v>18.11</v>
      </c>
      <c r="D127" s="44">
        <v>518437</v>
      </c>
      <c r="E127">
        <v>18.11</v>
      </c>
    </row>
    <row r="128" spans="1:5" x14ac:dyDescent="0.25">
      <c r="A128" t="s">
        <v>206</v>
      </c>
      <c r="B128" s="44">
        <v>147928</v>
      </c>
      <c r="C128">
        <v>5.17</v>
      </c>
      <c r="D128" s="44">
        <v>147928</v>
      </c>
      <c r="E128">
        <v>5.17</v>
      </c>
    </row>
    <row r="129" spans="1:5" x14ac:dyDescent="0.25">
      <c r="A129" t="s">
        <v>207</v>
      </c>
      <c r="B129" s="44">
        <v>39364</v>
      </c>
      <c r="C129">
        <v>1.38</v>
      </c>
      <c r="D129" s="44">
        <v>39364</v>
      </c>
      <c r="E129">
        <v>1.38</v>
      </c>
    </row>
    <row r="130" spans="1:5" x14ac:dyDescent="0.25">
      <c r="A130" t="s">
        <v>208</v>
      </c>
      <c r="B130" s="44">
        <v>65284</v>
      </c>
      <c r="C130">
        <v>2.2799999999999998</v>
      </c>
      <c r="D130" s="44">
        <v>65284</v>
      </c>
      <c r="E130">
        <v>2.2799999999999998</v>
      </c>
    </row>
    <row r="131" spans="1:5" x14ac:dyDescent="0.25">
      <c r="A131" t="s">
        <v>209</v>
      </c>
      <c r="B131" s="44">
        <v>119742</v>
      </c>
      <c r="C131">
        <v>4.18</v>
      </c>
      <c r="D131" s="44">
        <v>119742</v>
      </c>
      <c r="E131">
        <v>4.18</v>
      </c>
    </row>
    <row r="132" spans="1:5" x14ac:dyDescent="0.25">
      <c r="A132" t="s">
        <v>210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t="s">
        <v>211</v>
      </c>
      <c r="B133" s="44">
        <v>46467</v>
      </c>
      <c r="C133">
        <v>1.62</v>
      </c>
      <c r="D133" s="44">
        <v>46467</v>
      </c>
      <c r="E133">
        <v>1.62</v>
      </c>
    </row>
    <row r="134" spans="1:5" x14ac:dyDescent="0.25">
      <c r="A134" t="s">
        <v>212</v>
      </c>
      <c r="B134">
        <v>0</v>
      </c>
      <c r="C134">
        <v>0</v>
      </c>
      <c r="D134">
        <v>0</v>
      </c>
      <c r="E134">
        <v>0</v>
      </c>
    </row>
    <row r="135" spans="1:5" x14ac:dyDescent="0.25">
      <c r="A135" t="s">
        <v>213</v>
      </c>
      <c r="B135" s="44">
        <v>469141</v>
      </c>
      <c r="C135">
        <v>16.39</v>
      </c>
      <c r="D135" s="44">
        <v>469141</v>
      </c>
      <c r="E135">
        <v>16.39</v>
      </c>
    </row>
    <row r="136" spans="1:5" x14ac:dyDescent="0.25">
      <c r="A136" t="s">
        <v>214</v>
      </c>
      <c r="B136" s="44">
        <v>203915</v>
      </c>
      <c r="C136">
        <v>7.12</v>
      </c>
      <c r="D136" s="44">
        <v>203915</v>
      </c>
      <c r="E136">
        <v>7.12</v>
      </c>
    </row>
    <row r="137" spans="1:5" x14ac:dyDescent="0.25">
      <c r="A137" t="s">
        <v>37</v>
      </c>
      <c r="B137" s="44">
        <v>2082453</v>
      </c>
      <c r="C137">
        <v>72.739999999999995</v>
      </c>
      <c r="D137" s="44">
        <v>2082453</v>
      </c>
      <c r="E137">
        <v>72.739999999999995</v>
      </c>
    </row>
    <row r="138" spans="1:5" x14ac:dyDescent="0.25">
      <c r="A138" t="s">
        <v>38</v>
      </c>
    </row>
    <row r="139" spans="1:5" x14ac:dyDescent="0.25">
      <c r="A139" t="s">
        <v>215</v>
      </c>
      <c r="B139" s="44">
        <v>704984</v>
      </c>
      <c r="C139">
        <v>24.63</v>
      </c>
      <c r="D139" s="44">
        <v>704984</v>
      </c>
      <c r="E139">
        <v>24.63</v>
      </c>
    </row>
    <row r="140" spans="1:5" x14ac:dyDescent="0.25">
      <c r="A140" t="s">
        <v>216</v>
      </c>
      <c r="B140" s="44">
        <v>53320</v>
      </c>
      <c r="C140">
        <v>1.86</v>
      </c>
      <c r="D140" s="44">
        <v>53320</v>
      </c>
      <c r="E140">
        <v>1.86</v>
      </c>
    </row>
    <row r="141" spans="1:5" x14ac:dyDescent="0.25">
      <c r="A141" t="s">
        <v>217</v>
      </c>
      <c r="B141" s="44">
        <v>37111</v>
      </c>
      <c r="C141">
        <v>1.3</v>
      </c>
      <c r="D141" s="44">
        <v>37111</v>
      </c>
      <c r="E141">
        <v>1.3</v>
      </c>
    </row>
    <row r="142" spans="1:5" x14ac:dyDescent="0.25">
      <c r="A142" t="s">
        <v>218</v>
      </c>
      <c r="B142" s="44">
        <v>40256</v>
      </c>
      <c r="C142">
        <v>1.41</v>
      </c>
      <c r="D142" s="44">
        <v>40256</v>
      </c>
      <c r="E142">
        <v>1.41</v>
      </c>
    </row>
    <row r="143" spans="1:5" x14ac:dyDescent="0.25">
      <c r="A143" t="s">
        <v>219</v>
      </c>
      <c r="B143" s="44">
        <v>54382</v>
      </c>
      <c r="C143">
        <v>1.9</v>
      </c>
      <c r="D143" s="44">
        <v>54382</v>
      </c>
      <c r="E143">
        <v>1.9</v>
      </c>
    </row>
    <row r="144" spans="1:5" x14ac:dyDescent="0.25">
      <c r="A144" t="s">
        <v>220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t="s">
        <v>221</v>
      </c>
      <c r="B145" s="44">
        <v>21532</v>
      </c>
      <c r="C145">
        <v>0.75</v>
      </c>
      <c r="D145" s="44">
        <v>21532</v>
      </c>
      <c r="E145">
        <v>0.75</v>
      </c>
    </row>
    <row r="146" spans="1:5" x14ac:dyDescent="0.25">
      <c r="A146" t="s">
        <v>222</v>
      </c>
      <c r="B146" s="44">
        <v>55438</v>
      </c>
      <c r="C146">
        <v>1.94</v>
      </c>
      <c r="D146" s="44">
        <v>55438</v>
      </c>
      <c r="E146">
        <v>1.94</v>
      </c>
    </row>
    <row r="147" spans="1:5" x14ac:dyDescent="0.25">
      <c r="A147" t="s">
        <v>39</v>
      </c>
      <c r="B147" s="44">
        <v>967023</v>
      </c>
      <c r="C147">
        <v>33.78</v>
      </c>
      <c r="D147" s="44">
        <v>967023</v>
      </c>
      <c r="E147">
        <v>33.78</v>
      </c>
    </row>
    <row r="148" spans="1:5" x14ac:dyDescent="0.25">
      <c r="A148" t="s">
        <v>40</v>
      </c>
      <c r="B148" s="44">
        <v>10085651</v>
      </c>
      <c r="C148">
        <v>352.31</v>
      </c>
      <c r="D148" s="44">
        <v>10085651</v>
      </c>
      <c r="E148">
        <v>352.31</v>
      </c>
    </row>
    <row r="150" spans="1:5" x14ac:dyDescent="0.25">
      <c r="A150" t="s">
        <v>41</v>
      </c>
      <c r="B150" s="44">
        <v>338596</v>
      </c>
      <c r="C150">
        <v>11.83</v>
      </c>
      <c r="D150" s="44">
        <v>338596</v>
      </c>
      <c r="E150">
        <v>11.83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F99C-05E6-4A9D-AB56-94800583E500}">
  <dimension ref="A1:AA149"/>
  <sheetViews>
    <sheetView workbookViewId="0">
      <selection sqref="A1:E1048576"/>
    </sheetView>
  </sheetViews>
  <sheetFormatPr defaultRowHeight="14.3" x14ac:dyDescent="0.25"/>
  <sheetData>
    <row r="1" spans="1:27" x14ac:dyDescent="0.25">
      <c r="A1" t="s">
        <v>307</v>
      </c>
      <c r="B1" t="s">
        <v>308</v>
      </c>
      <c r="C1" t="s">
        <v>309</v>
      </c>
      <c r="D1" t="s">
        <v>310</v>
      </c>
    </row>
    <row r="2" spans="1:27" x14ac:dyDescent="0.25">
      <c r="A2" t="s">
        <v>334</v>
      </c>
      <c r="B2" t="s">
        <v>335</v>
      </c>
    </row>
    <row r="3" spans="1:27" x14ac:dyDescent="0.25">
      <c r="A3" t="s">
        <v>312</v>
      </c>
    </row>
    <row r="4" spans="1:27" x14ac:dyDescent="0.25">
      <c r="B4" t="s">
        <v>330</v>
      </c>
    </row>
    <row r="6" spans="1:27" x14ac:dyDescent="0.25">
      <c r="A6" t="s">
        <v>314</v>
      </c>
      <c r="B6" t="s">
        <v>315</v>
      </c>
    </row>
    <row r="8" spans="1:27" x14ac:dyDescent="0.25">
      <c r="B8" t="s">
        <v>336</v>
      </c>
      <c r="C8" t="s">
        <v>337</v>
      </c>
      <c r="D8" t="s">
        <v>338</v>
      </c>
      <c r="E8" t="s">
        <v>339</v>
      </c>
      <c r="F8" t="s">
        <v>340</v>
      </c>
      <c r="G8" t="s">
        <v>341</v>
      </c>
      <c r="H8" t="s">
        <v>342</v>
      </c>
      <c r="I8" t="s">
        <v>343</v>
      </c>
      <c r="J8" t="s">
        <v>344</v>
      </c>
      <c r="K8" t="s">
        <v>345</v>
      </c>
      <c r="L8" t="s">
        <v>346</v>
      </c>
      <c r="M8" t="s">
        <v>347</v>
      </c>
      <c r="N8" t="s">
        <v>348</v>
      </c>
      <c r="O8" t="s">
        <v>349</v>
      </c>
      <c r="P8" t="s">
        <v>350</v>
      </c>
      <c r="Q8" t="s">
        <v>351</v>
      </c>
      <c r="R8" t="s">
        <v>352</v>
      </c>
      <c r="S8" t="s">
        <v>353</v>
      </c>
      <c r="T8" t="s">
        <v>354</v>
      </c>
      <c r="U8" t="s">
        <v>355</v>
      </c>
      <c r="V8" t="s">
        <v>356</v>
      </c>
      <c r="W8" t="s">
        <v>357</v>
      </c>
      <c r="X8" t="s">
        <v>358</v>
      </c>
      <c r="Y8" t="s">
        <v>359</v>
      </c>
      <c r="Z8" t="s">
        <v>360</v>
      </c>
      <c r="AA8" t="s">
        <v>361</v>
      </c>
    </row>
    <row r="9" spans="1:27" x14ac:dyDescent="0.25">
      <c r="A9" t="s">
        <v>17</v>
      </c>
    </row>
    <row r="10" spans="1:27" x14ac:dyDescent="0.25">
      <c r="A10" t="s">
        <v>113</v>
      </c>
      <c r="B10" s="44">
        <v>388276</v>
      </c>
      <c r="C10">
        <v>276.75</v>
      </c>
      <c r="D10" s="44">
        <v>408258</v>
      </c>
      <c r="E10">
        <v>279.82</v>
      </c>
      <c r="F10" s="44">
        <v>406113</v>
      </c>
      <c r="G10">
        <v>278.35000000000002</v>
      </c>
      <c r="H10" s="44">
        <v>370960</v>
      </c>
      <c r="I10">
        <v>282.52999999999997</v>
      </c>
      <c r="J10" s="44">
        <v>371972</v>
      </c>
      <c r="K10">
        <v>282.87</v>
      </c>
      <c r="L10" s="44">
        <v>407087</v>
      </c>
      <c r="M10">
        <v>282.11</v>
      </c>
      <c r="N10" s="44">
        <v>395127</v>
      </c>
      <c r="O10">
        <v>295.98</v>
      </c>
      <c r="P10" s="44">
        <v>413088</v>
      </c>
      <c r="Q10">
        <v>295.7</v>
      </c>
      <c r="R10" s="44">
        <v>410913</v>
      </c>
      <c r="S10">
        <v>296.05</v>
      </c>
      <c r="T10" s="44">
        <v>369135</v>
      </c>
      <c r="U10">
        <v>262.73</v>
      </c>
      <c r="V10" s="44">
        <v>320350</v>
      </c>
      <c r="W10">
        <v>261.3</v>
      </c>
      <c r="X10" s="44">
        <v>389012</v>
      </c>
      <c r="Y10">
        <v>262.85000000000002</v>
      </c>
      <c r="Z10" s="44">
        <v>4650290</v>
      </c>
      <c r="AA10">
        <v>279.75</v>
      </c>
    </row>
    <row r="11" spans="1:27" x14ac:dyDescent="0.25">
      <c r="A11" t="s">
        <v>114</v>
      </c>
      <c r="B11" s="44">
        <v>23801</v>
      </c>
      <c r="C11">
        <v>276.76</v>
      </c>
      <c r="D11" s="44">
        <v>26023</v>
      </c>
      <c r="E11">
        <v>279.82</v>
      </c>
      <c r="F11" s="44">
        <v>33402</v>
      </c>
      <c r="G11">
        <v>278.35000000000002</v>
      </c>
      <c r="H11" s="44">
        <v>32504</v>
      </c>
      <c r="I11">
        <v>282.64</v>
      </c>
      <c r="J11" s="44">
        <v>37308</v>
      </c>
      <c r="K11">
        <v>282.64</v>
      </c>
      <c r="L11" s="44">
        <v>18649</v>
      </c>
      <c r="M11">
        <v>286.91000000000003</v>
      </c>
      <c r="N11" s="44">
        <v>27562</v>
      </c>
      <c r="O11">
        <v>296.37</v>
      </c>
      <c r="P11" s="44">
        <v>41492</v>
      </c>
      <c r="Q11">
        <v>296.37</v>
      </c>
      <c r="R11" s="44">
        <v>42085</v>
      </c>
      <c r="S11">
        <v>296.37</v>
      </c>
      <c r="T11" s="44">
        <v>37000</v>
      </c>
      <c r="U11">
        <v>262.41000000000003</v>
      </c>
      <c r="V11" s="44">
        <v>30470</v>
      </c>
      <c r="W11">
        <v>253.92</v>
      </c>
      <c r="X11" s="44">
        <v>54056</v>
      </c>
      <c r="Y11">
        <v>262.41000000000003</v>
      </c>
      <c r="Z11" s="44">
        <v>404354</v>
      </c>
      <c r="AA11">
        <v>278.29000000000002</v>
      </c>
    </row>
    <row r="12" spans="1:27" x14ac:dyDescent="0.25">
      <c r="A12" t="s">
        <v>115</v>
      </c>
      <c r="B12" s="44">
        <v>276629</v>
      </c>
      <c r="C12">
        <v>726.06</v>
      </c>
      <c r="D12" s="44">
        <v>190410</v>
      </c>
      <c r="E12">
        <v>721.25</v>
      </c>
      <c r="F12" s="44">
        <v>271459</v>
      </c>
      <c r="G12">
        <v>696.05</v>
      </c>
      <c r="H12" s="44">
        <v>231688</v>
      </c>
      <c r="I12">
        <v>675.47</v>
      </c>
      <c r="J12" s="44">
        <v>234861</v>
      </c>
      <c r="K12">
        <v>727.13</v>
      </c>
      <c r="L12" s="44">
        <v>188683</v>
      </c>
      <c r="M12">
        <v>681.16</v>
      </c>
      <c r="N12" s="44">
        <v>195908</v>
      </c>
      <c r="O12">
        <v>653.03</v>
      </c>
      <c r="P12" s="44">
        <v>150286</v>
      </c>
      <c r="Q12">
        <v>615.92999999999995</v>
      </c>
      <c r="R12" s="44">
        <v>180454</v>
      </c>
      <c r="S12">
        <v>649.11</v>
      </c>
      <c r="T12" s="44">
        <v>173470</v>
      </c>
      <c r="U12">
        <v>649.70000000000005</v>
      </c>
      <c r="V12" s="44">
        <v>165678</v>
      </c>
      <c r="W12">
        <v>676.24</v>
      </c>
      <c r="X12" s="44">
        <v>221112</v>
      </c>
      <c r="Y12">
        <v>684.56</v>
      </c>
      <c r="Z12" s="44">
        <v>2480638</v>
      </c>
      <c r="AA12">
        <v>682.43</v>
      </c>
    </row>
    <row r="13" spans="1:27" x14ac:dyDescent="0.25">
      <c r="A13" t="s">
        <v>116</v>
      </c>
      <c r="B13" s="44">
        <v>106231</v>
      </c>
      <c r="C13">
        <v>440.79</v>
      </c>
      <c r="D13" s="44">
        <v>113904</v>
      </c>
      <c r="E13">
        <v>433.09</v>
      </c>
      <c r="F13" s="44">
        <v>112617</v>
      </c>
      <c r="G13">
        <v>415.56</v>
      </c>
      <c r="H13" s="44">
        <v>58193</v>
      </c>
      <c r="I13">
        <v>476.99</v>
      </c>
      <c r="J13" s="44">
        <v>45675</v>
      </c>
      <c r="K13">
        <v>400.66</v>
      </c>
      <c r="L13" s="44">
        <v>43336</v>
      </c>
      <c r="M13">
        <v>577.80999999999995</v>
      </c>
      <c r="N13" s="44">
        <v>52479</v>
      </c>
      <c r="O13">
        <v>460.34</v>
      </c>
      <c r="P13" s="44">
        <v>77254</v>
      </c>
      <c r="Q13">
        <v>508.25</v>
      </c>
      <c r="R13" s="44">
        <v>91873</v>
      </c>
      <c r="S13">
        <v>419.51</v>
      </c>
      <c r="T13" s="44">
        <v>53007</v>
      </c>
      <c r="U13">
        <v>486.3</v>
      </c>
      <c r="V13" s="44">
        <v>50226</v>
      </c>
      <c r="W13">
        <v>469.41</v>
      </c>
      <c r="X13" s="44">
        <v>119379</v>
      </c>
      <c r="Y13">
        <v>523.59</v>
      </c>
      <c r="Z13" s="44">
        <v>924175</v>
      </c>
      <c r="AA13">
        <v>458.65</v>
      </c>
    </row>
    <row r="14" spans="1:27" x14ac:dyDescent="0.25">
      <c r="A14" t="s">
        <v>117</v>
      </c>
      <c r="B14" s="44">
        <v>138594</v>
      </c>
      <c r="C14">
        <v>304.60000000000002</v>
      </c>
      <c r="D14" s="44">
        <v>98035</v>
      </c>
      <c r="E14">
        <v>304.45999999999998</v>
      </c>
      <c r="F14" s="44">
        <v>102135</v>
      </c>
      <c r="G14">
        <v>289.33999999999997</v>
      </c>
      <c r="H14" s="44">
        <v>103587</v>
      </c>
      <c r="I14">
        <v>287.74</v>
      </c>
      <c r="J14" s="44">
        <v>167586</v>
      </c>
      <c r="K14">
        <v>287.95</v>
      </c>
      <c r="L14" s="44">
        <v>140418</v>
      </c>
      <c r="M14">
        <v>312.04000000000002</v>
      </c>
      <c r="N14" s="44">
        <v>155881</v>
      </c>
      <c r="O14">
        <v>292.45999999999998</v>
      </c>
      <c r="P14" s="44">
        <v>123863</v>
      </c>
      <c r="Q14">
        <v>306.58999999999997</v>
      </c>
      <c r="R14" s="44">
        <v>130438</v>
      </c>
      <c r="S14">
        <v>299.86</v>
      </c>
      <c r="T14" s="44">
        <v>104916</v>
      </c>
      <c r="U14">
        <v>303.22000000000003</v>
      </c>
      <c r="V14" s="44">
        <v>120531</v>
      </c>
      <c r="W14">
        <v>269.64</v>
      </c>
      <c r="X14" s="44">
        <v>60990</v>
      </c>
      <c r="Y14">
        <v>285</v>
      </c>
      <c r="Z14" s="44">
        <v>1446974</v>
      </c>
      <c r="AA14">
        <v>295.24</v>
      </c>
    </row>
    <row r="15" spans="1:27" x14ac:dyDescent="0.25">
      <c r="A15" t="s">
        <v>118</v>
      </c>
      <c r="B15">
        <v>0</v>
      </c>
      <c r="D15">
        <v>0</v>
      </c>
      <c r="F15">
        <v>0</v>
      </c>
      <c r="H15">
        <v>0</v>
      </c>
      <c r="J15">
        <v>0</v>
      </c>
      <c r="L15">
        <v>0</v>
      </c>
      <c r="N15">
        <v>0</v>
      </c>
      <c r="P15">
        <v>0</v>
      </c>
      <c r="R15">
        <v>0</v>
      </c>
      <c r="T15">
        <v>0</v>
      </c>
      <c r="V15">
        <v>0</v>
      </c>
      <c r="X15">
        <v>0</v>
      </c>
      <c r="Z15">
        <v>0</v>
      </c>
    </row>
    <row r="16" spans="1:27" x14ac:dyDescent="0.25">
      <c r="A16" t="s">
        <v>119</v>
      </c>
      <c r="B16" s="44">
        <v>22407</v>
      </c>
      <c r="D16" s="44">
        <v>1600</v>
      </c>
      <c r="F16" s="44">
        <v>38819</v>
      </c>
      <c r="H16" s="44">
        <v>21411</v>
      </c>
      <c r="J16" s="44">
        <v>26503</v>
      </c>
      <c r="L16" s="44">
        <v>27290</v>
      </c>
      <c r="N16" s="44">
        <v>31718</v>
      </c>
      <c r="P16" s="44">
        <v>29662</v>
      </c>
      <c r="R16" s="44">
        <v>24022</v>
      </c>
      <c r="T16" s="44">
        <v>32306</v>
      </c>
      <c r="V16" s="44">
        <v>18907</v>
      </c>
      <c r="X16" s="44">
        <v>22468</v>
      </c>
      <c r="Z16" s="44">
        <v>297113</v>
      </c>
    </row>
    <row r="17" spans="1:27" x14ac:dyDescent="0.25">
      <c r="A17" t="s">
        <v>120</v>
      </c>
      <c r="B17">
        <v>0</v>
      </c>
      <c r="D17">
        <v>0</v>
      </c>
      <c r="F17">
        <v>0</v>
      </c>
      <c r="H17">
        <v>0</v>
      </c>
      <c r="J17">
        <v>0</v>
      </c>
      <c r="L17">
        <v>0</v>
      </c>
      <c r="N17">
        <v>0</v>
      </c>
      <c r="P17">
        <v>0</v>
      </c>
      <c r="R17">
        <v>0</v>
      </c>
      <c r="T17">
        <v>0</v>
      </c>
      <c r="V17">
        <v>0</v>
      </c>
      <c r="X17">
        <v>0</v>
      </c>
      <c r="Z17">
        <v>0</v>
      </c>
    </row>
    <row r="18" spans="1:27" x14ac:dyDescent="0.25">
      <c r="A18" t="s">
        <v>121</v>
      </c>
      <c r="B18">
        <v>0</v>
      </c>
      <c r="D18">
        <v>0</v>
      </c>
      <c r="F18">
        <v>0</v>
      </c>
      <c r="H18">
        <v>0</v>
      </c>
      <c r="J18">
        <v>0</v>
      </c>
      <c r="L18">
        <v>0</v>
      </c>
      <c r="N18">
        <v>0</v>
      </c>
      <c r="P18">
        <v>0</v>
      </c>
      <c r="R18">
        <v>0</v>
      </c>
      <c r="T18">
        <v>0</v>
      </c>
      <c r="V18">
        <v>0</v>
      </c>
      <c r="X18">
        <v>0</v>
      </c>
      <c r="Z18">
        <v>0</v>
      </c>
    </row>
    <row r="19" spans="1:27" x14ac:dyDescent="0.25">
      <c r="A19" t="s">
        <v>122</v>
      </c>
      <c r="B19">
        <v>0</v>
      </c>
      <c r="D19">
        <v>0</v>
      </c>
      <c r="F19">
        <v>0</v>
      </c>
      <c r="H19">
        <v>0</v>
      </c>
      <c r="J19">
        <v>0</v>
      </c>
      <c r="L19">
        <v>0</v>
      </c>
      <c r="N19">
        <v>0</v>
      </c>
      <c r="P19">
        <v>0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7" x14ac:dyDescent="0.25">
      <c r="A20" t="s">
        <v>123</v>
      </c>
      <c r="B20">
        <v>313</v>
      </c>
      <c r="D20" s="44">
        <v>1116</v>
      </c>
      <c r="F20">
        <v>84</v>
      </c>
      <c r="H20">
        <v>82</v>
      </c>
      <c r="J20">
        <v>96</v>
      </c>
      <c r="L20">
        <v>114</v>
      </c>
      <c r="N20">
        <v>87</v>
      </c>
      <c r="P20" s="44">
        <v>1923</v>
      </c>
      <c r="R20">
        <v>139</v>
      </c>
      <c r="T20">
        <v>635</v>
      </c>
      <c r="V20">
        <v>578</v>
      </c>
      <c r="X20">
        <v>108</v>
      </c>
      <c r="Z20" s="44">
        <v>5276</v>
      </c>
    </row>
    <row r="21" spans="1:27" x14ac:dyDescent="0.25">
      <c r="A21" t="s">
        <v>124</v>
      </c>
      <c r="B21">
        <v>0</v>
      </c>
      <c r="D21">
        <v>0</v>
      </c>
      <c r="F21">
        <v>0</v>
      </c>
      <c r="H21">
        <v>0</v>
      </c>
      <c r="J21">
        <v>0</v>
      </c>
      <c r="L21">
        <v>0</v>
      </c>
      <c r="N21">
        <v>0</v>
      </c>
      <c r="P21">
        <v>0</v>
      </c>
      <c r="R21">
        <v>0</v>
      </c>
      <c r="T21">
        <v>0</v>
      </c>
      <c r="V21">
        <v>0</v>
      </c>
      <c r="X21">
        <v>0</v>
      </c>
      <c r="Z21">
        <v>0</v>
      </c>
    </row>
    <row r="22" spans="1:27" x14ac:dyDescent="0.25">
      <c r="A22" t="s">
        <v>125</v>
      </c>
      <c r="B22" s="44">
        <v>18506</v>
      </c>
      <c r="C22">
        <v>7.21</v>
      </c>
      <c r="D22" s="44">
        <v>18506</v>
      </c>
      <c r="E22">
        <v>7.71</v>
      </c>
      <c r="F22" s="44">
        <v>18506</v>
      </c>
      <c r="G22">
        <v>7.14</v>
      </c>
      <c r="H22" s="44">
        <v>16901</v>
      </c>
      <c r="I22">
        <v>7.5</v>
      </c>
      <c r="J22" s="44">
        <v>16901</v>
      </c>
      <c r="K22">
        <v>6.85</v>
      </c>
      <c r="L22" s="44">
        <v>16901</v>
      </c>
      <c r="M22">
        <v>7.32</v>
      </c>
      <c r="N22" s="44">
        <v>18546</v>
      </c>
      <c r="O22">
        <v>7.81</v>
      </c>
      <c r="P22" s="44">
        <v>18546</v>
      </c>
      <c r="Q22">
        <v>7.94</v>
      </c>
      <c r="R22" s="44">
        <v>18546</v>
      </c>
      <c r="S22">
        <v>7.53</v>
      </c>
      <c r="T22" s="44">
        <v>18546</v>
      </c>
      <c r="U22">
        <v>8.18</v>
      </c>
      <c r="V22" s="44">
        <v>17166</v>
      </c>
      <c r="W22">
        <v>8</v>
      </c>
      <c r="X22" s="44">
        <v>17856</v>
      </c>
      <c r="Y22">
        <v>7.29</v>
      </c>
      <c r="Z22" s="44">
        <v>215428</v>
      </c>
      <c r="AA22">
        <v>7.53</v>
      </c>
    </row>
    <row r="23" spans="1:27" x14ac:dyDescent="0.25">
      <c r="A23" t="s">
        <v>19</v>
      </c>
      <c r="B23" s="44">
        <v>974758</v>
      </c>
      <c r="C23">
        <v>379.87</v>
      </c>
      <c r="D23" s="44">
        <v>857852</v>
      </c>
      <c r="E23">
        <v>357.29</v>
      </c>
      <c r="F23" s="44">
        <v>983136</v>
      </c>
      <c r="G23">
        <v>379.15</v>
      </c>
      <c r="H23" s="44">
        <v>835326</v>
      </c>
      <c r="I23">
        <v>370.76</v>
      </c>
      <c r="J23" s="44">
        <v>900903</v>
      </c>
      <c r="K23">
        <v>365.33</v>
      </c>
      <c r="L23" s="44">
        <v>842479</v>
      </c>
      <c r="M23">
        <v>364.71</v>
      </c>
      <c r="N23" s="44">
        <v>877308</v>
      </c>
      <c r="O23">
        <v>369.39</v>
      </c>
      <c r="P23" s="44">
        <v>856113</v>
      </c>
      <c r="Q23">
        <v>366.33</v>
      </c>
      <c r="R23" s="44">
        <v>898468</v>
      </c>
      <c r="S23">
        <v>364.93</v>
      </c>
      <c r="T23" s="44">
        <v>789014</v>
      </c>
      <c r="U23">
        <v>347.89</v>
      </c>
      <c r="V23" s="44">
        <v>723906</v>
      </c>
      <c r="W23">
        <v>337.49</v>
      </c>
      <c r="X23" s="44">
        <v>884982</v>
      </c>
      <c r="Y23">
        <v>361.07</v>
      </c>
      <c r="Z23" s="44">
        <v>10424247</v>
      </c>
      <c r="AA23">
        <v>364.14</v>
      </c>
    </row>
    <row r="24" spans="1:27" x14ac:dyDescent="0.25">
      <c r="A24" t="s">
        <v>20</v>
      </c>
    </row>
    <row r="25" spans="1:27" x14ac:dyDescent="0.25">
      <c r="A25" t="s">
        <v>113</v>
      </c>
      <c r="B25" s="44">
        <v>1445</v>
      </c>
      <c r="D25" s="44">
        <v>1459</v>
      </c>
      <c r="F25" s="44">
        <v>1452</v>
      </c>
      <c r="H25" s="44">
        <v>1313</v>
      </c>
      <c r="J25" s="44">
        <v>1315</v>
      </c>
      <c r="L25" s="44">
        <v>1449</v>
      </c>
      <c r="N25" s="44">
        <v>1335</v>
      </c>
      <c r="P25" s="44">
        <v>1397</v>
      </c>
      <c r="R25" s="44">
        <v>1388</v>
      </c>
      <c r="T25" s="44">
        <v>1405</v>
      </c>
      <c r="V25" s="44">
        <v>1225</v>
      </c>
      <c r="X25" s="44">
        <v>1480</v>
      </c>
      <c r="Z25" s="44">
        <v>16663</v>
      </c>
    </row>
    <row r="26" spans="1:27" x14ac:dyDescent="0.25">
      <c r="A26" t="s">
        <v>114</v>
      </c>
      <c r="B26">
        <v>86</v>
      </c>
      <c r="D26">
        <v>93</v>
      </c>
      <c r="F26">
        <v>120</v>
      </c>
      <c r="H26">
        <v>115</v>
      </c>
      <c r="J26">
        <v>132</v>
      </c>
      <c r="L26">
        <v>65</v>
      </c>
      <c r="N26">
        <v>93</v>
      </c>
      <c r="P26">
        <v>140</v>
      </c>
      <c r="R26">
        <v>142</v>
      </c>
      <c r="T26">
        <v>141</v>
      </c>
      <c r="V26">
        <v>120</v>
      </c>
      <c r="X26">
        <v>206</v>
      </c>
      <c r="Z26" s="44">
        <v>1453</v>
      </c>
    </row>
    <row r="27" spans="1:27" x14ac:dyDescent="0.25">
      <c r="A27" t="s">
        <v>115</v>
      </c>
      <c r="B27">
        <v>381</v>
      </c>
      <c r="D27">
        <v>264</v>
      </c>
      <c r="F27">
        <v>390</v>
      </c>
      <c r="H27">
        <v>343</v>
      </c>
      <c r="J27">
        <v>323</v>
      </c>
      <c r="L27">
        <v>277</v>
      </c>
      <c r="N27">
        <v>300</v>
      </c>
      <c r="P27">
        <v>244</v>
      </c>
      <c r="R27">
        <v>278</v>
      </c>
      <c r="T27">
        <v>267</v>
      </c>
      <c r="V27">
        <v>245</v>
      </c>
      <c r="X27">
        <v>323</v>
      </c>
      <c r="Z27" s="44">
        <v>3635</v>
      </c>
    </row>
    <row r="28" spans="1:27" x14ac:dyDescent="0.25">
      <c r="A28" t="s">
        <v>116</v>
      </c>
      <c r="B28">
        <v>241</v>
      </c>
      <c r="D28">
        <v>263</v>
      </c>
      <c r="F28">
        <v>271</v>
      </c>
      <c r="H28">
        <v>122</v>
      </c>
      <c r="J28">
        <v>114</v>
      </c>
      <c r="L28">
        <v>75</v>
      </c>
      <c r="N28">
        <v>114</v>
      </c>
      <c r="P28">
        <v>152</v>
      </c>
      <c r="R28">
        <v>219</v>
      </c>
      <c r="T28">
        <v>109</v>
      </c>
      <c r="V28">
        <v>107</v>
      </c>
      <c r="X28">
        <v>228</v>
      </c>
      <c r="Z28" s="44">
        <v>2015</v>
      </c>
    </row>
    <row r="29" spans="1:27" x14ac:dyDescent="0.25">
      <c r="A29" t="s">
        <v>117</v>
      </c>
      <c r="B29">
        <v>455</v>
      </c>
      <c r="D29">
        <v>322</v>
      </c>
      <c r="F29">
        <v>353</v>
      </c>
      <c r="H29">
        <v>360</v>
      </c>
      <c r="J29">
        <v>582</v>
      </c>
      <c r="L29">
        <v>450</v>
      </c>
      <c r="N29">
        <v>533</v>
      </c>
      <c r="P29">
        <v>404</v>
      </c>
      <c r="R29">
        <v>435</v>
      </c>
      <c r="T29">
        <v>340</v>
      </c>
      <c r="V29">
        <v>442</v>
      </c>
      <c r="X29">
        <v>218</v>
      </c>
      <c r="Z29" s="44">
        <v>4894</v>
      </c>
    </row>
    <row r="30" spans="1:27" x14ac:dyDescent="0.25">
      <c r="A30" t="s">
        <v>118</v>
      </c>
      <c r="B30">
        <v>0</v>
      </c>
      <c r="D30">
        <v>0</v>
      </c>
      <c r="F30">
        <v>0</v>
      </c>
      <c r="H30">
        <v>0</v>
      </c>
      <c r="J30">
        <v>0</v>
      </c>
      <c r="L30">
        <v>0</v>
      </c>
      <c r="N30">
        <v>0</v>
      </c>
      <c r="P30">
        <v>0</v>
      </c>
      <c r="R30">
        <v>0</v>
      </c>
      <c r="T30">
        <v>0</v>
      </c>
      <c r="V30">
        <v>0</v>
      </c>
      <c r="X30">
        <v>0</v>
      </c>
      <c r="Z30">
        <v>0</v>
      </c>
    </row>
    <row r="31" spans="1:27" x14ac:dyDescent="0.25">
      <c r="A31" t="s">
        <v>126</v>
      </c>
      <c r="B31">
        <v>0</v>
      </c>
      <c r="D31">
        <v>0</v>
      </c>
      <c r="F31">
        <v>0</v>
      </c>
      <c r="H31">
        <v>0</v>
      </c>
      <c r="J31">
        <v>0</v>
      </c>
      <c r="L31">
        <v>0</v>
      </c>
      <c r="N31">
        <v>0</v>
      </c>
      <c r="P31">
        <v>0</v>
      </c>
      <c r="R31">
        <v>0</v>
      </c>
      <c r="T31">
        <v>0</v>
      </c>
      <c r="V31">
        <v>0</v>
      </c>
      <c r="X31">
        <v>0</v>
      </c>
      <c r="Z31">
        <v>0</v>
      </c>
    </row>
    <row r="32" spans="1:27" x14ac:dyDescent="0.25">
      <c r="A32" t="s">
        <v>21</v>
      </c>
      <c r="B32" s="44">
        <v>2608</v>
      </c>
      <c r="D32" s="44">
        <v>2401</v>
      </c>
      <c r="F32" s="44">
        <v>2586</v>
      </c>
      <c r="H32" s="44">
        <v>2253</v>
      </c>
      <c r="J32" s="44">
        <v>2466</v>
      </c>
      <c r="L32" s="44">
        <v>2316</v>
      </c>
      <c r="N32" s="44">
        <v>2375</v>
      </c>
      <c r="P32" s="44">
        <v>2337</v>
      </c>
      <c r="R32" s="44">
        <v>2462</v>
      </c>
      <c r="T32" s="44">
        <v>2262</v>
      </c>
      <c r="V32" s="44">
        <v>2139</v>
      </c>
      <c r="X32" s="44">
        <v>2455</v>
      </c>
      <c r="Z32" s="44">
        <v>28660</v>
      </c>
    </row>
    <row r="33" spans="1:27" x14ac:dyDescent="0.25">
      <c r="A33" t="s">
        <v>22</v>
      </c>
    </row>
    <row r="34" spans="1:27" x14ac:dyDescent="0.25">
      <c r="A34" t="s">
        <v>127</v>
      </c>
      <c r="B34" s="44">
        <v>9212</v>
      </c>
      <c r="C34">
        <v>3.59</v>
      </c>
      <c r="D34" s="44">
        <v>7717</v>
      </c>
      <c r="E34">
        <v>3.21</v>
      </c>
      <c r="F34" s="44">
        <v>8952</v>
      </c>
      <c r="G34">
        <v>3.45</v>
      </c>
      <c r="H34" s="44">
        <v>8492</v>
      </c>
      <c r="I34">
        <v>3.77</v>
      </c>
      <c r="J34" s="44">
        <v>8997</v>
      </c>
      <c r="K34">
        <v>3.65</v>
      </c>
      <c r="L34" s="44">
        <v>8509</v>
      </c>
      <c r="M34">
        <v>3.68</v>
      </c>
      <c r="N34" s="44">
        <v>10067</v>
      </c>
      <c r="O34">
        <v>4.24</v>
      </c>
      <c r="P34" s="44">
        <v>8597</v>
      </c>
      <c r="Q34">
        <v>3.68</v>
      </c>
      <c r="R34" s="44">
        <v>8438</v>
      </c>
      <c r="S34">
        <v>3.43</v>
      </c>
      <c r="T34" s="44">
        <v>9040</v>
      </c>
      <c r="U34">
        <v>3.99</v>
      </c>
      <c r="V34" s="44">
        <v>9054</v>
      </c>
      <c r="W34">
        <v>4.22</v>
      </c>
      <c r="X34" s="44">
        <v>8871</v>
      </c>
      <c r="Y34">
        <v>3.62</v>
      </c>
      <c r="Z34" s="44">
        <v>105946</v>
      </c>
      <c r="AA34">
        <v>3.7</v>
      </c>
    </row>
    <row r="35" spans="1:27" x14ac:dyDescent="0.25">
      <c r="A35" t="s">
        <v>128</v>
      </c>
      <c r="B35" s="44">
        <v>7877</v>
      </c>
      <c r="C35">
        <v>3.07</v>
      </c>
      <c r="D35" s="44">
        <v>7354</v>
      </c>
      <c r="E35">
        <v>3.06</v>
      </c>
      <c r="F35" s="44">
        <v>7832</v>
      </c>
      <c r="G35">
        <v>3.02</v>
      </c>
      <c r="H35" s="44">
        <v>7552</v>
      </c>
      <c r="I35">
        <v>3.35</v>
      </c>
      <c r="J35" s="44">
        <v>8298</v>
      </c>
      <c r="K35">
        <v>3.36</v>
      </c>
      <c r="L35" s="44">
        <v>7532</v>
      </c>
      <c r="M35">
        <v>3.26</v>
      </c>
      <c r="N35" s="44">
        <v>7601</v>
      </c>
      <c r="O35">
        <v>3.2</v>
      </c>
      <c r="P35" s="44">
        <v>7638</v>
      </c>
      <c r="Q35">
        <v>3.27</v>
      </c>
      <c r="R35" s="44">
        <v>6659</v>
      </c>
      <c r="S35">
        <v>2.7</v>
      </c>
      <c r="T35" s="44">
        <v>1904</v>
      </c>
      <c r="U35">
        <v>0.84</v>
      </c>
      <c r="V35" s="44">
        <v>6738</v>
      </c>
      <c r="W35">
        <v>3.14</v>
      </c>
      <c r="X35" s="44">
        <v>8630</v>
      </c>
      <c r="Y35">
        <v>3.52</v>
      </c>
      <c r="Z35" s="44">
        <v>85613</v>
      </c>
      <c r="AA35">
        <v>2.99</v>
      </c>
    </row>
    <row r="36" spans="1:27" x14ac:dyDescent="0.25">
      <c r="A36" t="s">
        <v>129</v>
      </c>
      <c r="B36" s="44">
        <v>65236</v>
      </c>
      <c r="C36">
        <v>25.42</v>
      </c>
      <c r="D36" s="44">
        <v>60365</v>
      </c>
      <c r="E36">
        <v>25.14</v>
      </c>
      <c r="F36" s="44">
        <v>68632</v>
      </c>
      <c r="G36">
        <v>26.47</v>
      </c>
      <c r="H36" s="44">
        <v>69671</v>
      </c>
      <c r="I36">
        <v>30.92</v>
      </c>
      <c r="J36" s="44">
        <v>71475</v>
      </c>
      <c r="K36">
        <v>28.98</v>
      </c>
      <c r="L36" s="44">
        <v>69227</v>
      </c>
      <c r="M36">
        <v>29.97</v>
      </c>
      <c r="N36" s="44">
        <v>72869</v>
      </c>
      <c r="O36">
        <v>30.68</v>
      </c>
      <c r="P36" s="44">
        <v>66824</v>
      </c>
      <c r="Q36">
        <v>28.59</v>
      </c>
      <c r="R36" s="44">
        <v>64087</v>
      </c>
      <c r="S36">
        <v>26.03</v>
      </c>
      <c r="T36" s="44">
        <v>66427</v>
      </c>
      <c r="U36">
        <v>29.29</v>
      </c>
      <c r="V36" s="44">
        <v>64275</v>
      </c>
      <c r="W36">
        <v>29.97</v>
      </c>
      <c r="X36" s="44">
        <v>61682</v>
      </c>
      <c r="Y36">
        <v>25.17</v>
      </c>
      <c r="Z36" s="44">
        <v>800771</v>
      </c>
      <c r="AA36">
        <v>27.97</v>
      </c>
    </row>
    <row r="37" spans="1:27" x14ac:dyDescent="0.25">
      <c r="A37" t="s">
        <v>130</v>
      </c>
      <c r="B37" s="44">
        <v>36740</v>
      </c>
      <c r="C37">
        <v>14.32</v>
      </c>
      <c r="D37" s="44">
        <v>36131</v>
      </c>
      <c r="E37">
        <v>15.05</v>
      </c>
      <c r="F37" s="44">
        <v>35983</v>
      </c>
      <c r="G37">
        <v>13.88</v>
      </c>
      <c r="H37" s="44">
        <v>33791</v>
      </c>
      <c r="I37">
        <v>15</v>
      </c>
      <c r="J37" s="44">
        <v>33989</v>
      </c>
      <c r="K37">
        <v>13.78</v>
      </c>
      <c r="L37" s="44">
        <v>40210</v>
      </c>
      <c r="M37">
        <v>17.41</v>
      </c>
      <c r="N37" s="44">
        <v>34691</v>
      </c>
      <c r="O37">
        <v>14.61</v>
      </c>
      <c r="P37" s="44">
        <v>34825</v>
      </c>
      <c r="Q37">
        <v>14.9</v>
      </c>
      <c r="R37" s="44">
        <v>35716</v>
      </c>
      <c r="S37">
        <v>14.51</v>
      </c>
      <c r="T37" s="44">
        <v>40897</v>
      </c>
      <c r="U37">
        <v>18.03</v>
      </c>
      <c r="V37" s="44">
        <v>39372</v>
      </c>
      <c r="W37">
        <v>18.36</v>
      </c>
      <c r="X37" s="44">
        <v>40479</v>
      </c>
      <c r="Y37">
        <v>16.52</v>
      </c>
      <c r="Z37" s="44">
        <v>442824</v>
      </c>
      <c r="AA37">
        <v>15.47</v>
      </c>
    </row>
    <row r="38" spans="1:27" x14ac:dyDescent="0.25">
      <c r="A38" t="s">
        <v>131</v>
      </c>
      <c r="B38" s="44">
        <v>158997</v>
      </c>
      <c r="C38">
        <v>61.96</v>
      </c>
      <c r="D38" s="44">
        <v>131266</v>
      </c>
      <c r="E38">
        <v>54.67</v>
      </c>
      <c r="F38" s="44">
        <v>156709</v>
      </c>
      <c r="G38">
        <v>60.44</v>
      </c>
      <c r="H38" s="44">
        <v>157935</v>
      </c>
      <c r="I38">
        <v>70.099999999999994</v>
      </c>
      <c r="J38" s="44">
        <v>171345</v>
      </c>
      <c r="K38">
        <v>69.48</v>
      </c>
      <c r="L38" s="44">
        <v>162985</v>
      </c>
      <c r="M38">
        <v>70.56</v>
      </c>
      <c r="N38" s="44">
        <v>155904</v>
      </c>
      <c r="O38">
        <v>65.64</v>
      </c>
      <c r="P38" s="44">
        <v>145993</v>
      </c>
      <c r="Q38">
        <v>62.47</v>
      </c>
      <c r="R38" s="44">
        <v>154712</v>
      </c>
      <c r="S38">
        <v>62.84</v>
      </c>
      <c r="T38" s="44">
        <v>142246</v>
      </c>
      <c r="U38">
        <v>62.72</v>
      </c>
      <c r="V38" s="44">
        <v>151314</v>
      </c>
      <c r="W38">
        <v>70.540000000000006</v>
      </c>
      <c r="X38" s="44">
        <v>172369</v>
      </c>
      <c r="Y38">
        <v>70.33</v>
      </c>
      <c r="Z38" s="44">
        <v>1861774</v>
      </c>
      <c r="AA38">
        <v>65.040000000000006</v>
      </c>
    </row>
    <row r="39" spans="1:27" x14ac:dyDescent="0.25">
      <c r="A39" t="s">
        <v>132</v>
      </c>
      <c r="B39" s="44">
        <v>7723</v>
      </c>
      <c r="C39">
        <v>3.01</v>
      </c>
      <c r="D39" s="44">
        <v>7800</v>
      </c>
      <c r="E39">
        <v>3.25</v>
      </c>
      <c r="F39" s="44">
        <v>7670</v>
      </c>
      <c r="G39">
        <v>2.96</v>
      </c>
      <c r="H39" s="44">
        <v>7340</v>
      </c>
      <c r="I39">
        <v>3.26</v>
      </c>
      <c r="J39" s="44">
        <v>8444</v>
      </c>
      <c r="K39">
        <v>3.42</v>
      </c>
      <c r="L39" s="44">
        <v>7123</v>
      </c>
      <c r="M39">
        <v>3.08</v>
      </c>
      <c r="N39" s="44">
        <v>7715</v>
      </c>
      <c r="O39">
        <v>3.25</v>
      </c>
      <c r="P39" s="44">
        <v>7615</v>
      </c>
      <c r="Q39">
        <v>3.26</v>
      </c>
      <c r="R39" s="44">
        <v>7479</v>
      </c>
      <c r="S39">
        <v>3.04</v>
      </c>
      <c r="T39" s="44">
        <v>7624</v>
      </c>
      <c r="U39">
        <v>3.36</v>
      </c>
      <c r="V39" s="44">
        <v>7485</v>
      </c>
      <c r="W39">
        <v>3.49</v>
      </c>
      <c r="X39" s="44">
        <v>8478</v>
      </c>
      <c r="Y39">
        <v>3.46</v>
      </c>
      <c r="Z39" s="44">
        <v>92496</v>
      </c>
      <c r="AA39">
        <v>3.23</v>
      </c>
    </row>
    <row r="40" spans="1:27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134</v>
      </c>
      <c r="B41" s="44">
        <v>24990</v>
      </c>
      <c r="C41">
        <v>9.74</v>
      </c>
      <c r="D41" s="44">
        <v>10031</v>
      </c>
      <c r="E41">
        <v>4.18</v>
      </c>
      <c r="F41" s="44">
        <v>15243</v>
      </c>
      <c r="G41">
        <v>5.88</v>
      </c>
      <c r="H41" s="44">
        <v>4530</v>
      </c>
      <c r="I41">
        <v>2.0099999999999998</v>
      </c>
      <c r="J41" s="44">
        <v>15581</v>
      </c>
      <c r="K41">
        <v>6.32</v>
      </c>
      <c r="L41" s="44">
        <v>13713</v>
      </c>
      <c r="M41">
        <v>5.94</v>
      </c>
      <c r="N41" s="44">
        <v>13755</v>
      </c>
      <c r="O41">
        <v>5.79</v>
      </c>
      <c r="P41" s="44">
        <v>5793</v>
      </c>
      <c r="Q41">
        <v>2.48</v>
      </c>
      <c r="R41" s="44">
        <v>26888</v>
      </c>
      <c r="S41">
        <v>10.92</v>
      </c>
      <c r="T41" s="44">
        <v>12299</v>
      </c>
      <c r="U41">
        <v>5.42</v>
      </c>
      <c r="V41" s="44">
        <v>8223</v>
      </c>
      <c r="W41">
        <v>3.83</v>
      </c>
      <c r="X41" s="44">
        <v>26644</v>
      </c>
      <c r="Y41">
        <v>10.87</v>
      </c>
      <c r="Z41" s="44">
        <v>177691</v>
      </c>
      <c r="AA41">
        <v>6.21</v>
      </c>
    </row>
    <row r="42" spans="1:27" x14ac:dyDescent="0.25">
      <c r="A42" t="s">
        <v>135</v>
      </c>
      <c r="B42" s="44">
        <v>7758</v>
      </c>
      <c r="C42">
        <v>3.02</v>
      </c>
      <c r="D42" s="44">
        <v>1974</v>
      </c>
      <c r="E42">
        <v>0.82</v>
      </c>
      <c r="F42" s="44">
        <v>3687</v>
      </c>
      <c r="G42">
        <v>1.42</v>
      </c>
      <c r="H42">
        <v>0</v>
      </c>
      <c r="I42">
        <v>0</v>
      </c>
      <c r="J42" s="44">
        <v>1264</v>
      </c>
      <c r="K42">
        <v>0.51</v>
      </c>
      <c r="L42">
        <v>193</v>
      </c>
      <c r="M42">
        <v>0.08</v>
      </c>
      <c r="N42">
        <v>882</v>
      </c>
      <c r="O42">
        <v>0.37</v>
      </c>
      <c r="P42">
        <v>0</v>
      </c>
      <c r="Q42">
        <v>0</v>
      </c>
      <c r="R42">
        <v>0</v>
      </c>
      <c r="S42">
        <v>0</v>
      </c>
      <c r="T42">
        <v>260</v>
      </c>
      <c r="U42">
        <v>0.11</v>
      </c>
      <c r="V42">
        <v>0</v>
      </c>
      <c r="W42">
        <v>0</v>
      </c>
      <c r="X42" s="44">
        <v>2399</v>
      </c>
      <c r="Y42">
        <v>0.98</v>
      </c>
      <c r="Z42" s="44">
        <v>18418</v>
      </c>
      <c r="AA42">
        <v>0.64</v>
      </c>
    </row>
    <row r="43" spans="1:27" x14ac:dyDescent="0.25">
      <c r="A43" t="s">
        <v>136</v>
      </c>
      <c r="B43" s="44">
        <v>17567</v>
      </c>
      <c r="C43">
        <v>6.85</v>
      </c>
      <c r="D43" s="44">
        <v>28226</v>
      </c>
      <c r="E43">
        <v>11.76</v>
      </c>
      <c r="F43" s="44">
        <v>33572</v>
      </c>
      <c r="G43">
        <v>12.95</v>
      </c>
      <c r="H43" s="44">
        <v>11167</v>
      </c>
      <c r="I43">
        <v>4.96</v>
      </c>
      <c r="J43" s="44">
        <v>10005</v>
      </c>
      <c r="K43">
        <v>4.0599999999999996</v>
      </c>
      <c r="L43" s="44">
        <v>7191</v>
      </c>
      <c r="M43">
        <v>3.11</v>
      </c>
      <c r="N43" s="44">
        <v>4771</v>
      </c>
      <c r="O43">
        <v>2.0099999999999998</v>
      </c>
      <c r="P43" s="44">
        <v>3121</v>
      </c>
      <c r="Q43">
        <v>1.34</v>
      </c>
      <c r="R43" s="44">
        <v>24585</v>
      </c>
      <c r="S43">
        <v>9.99</v>
      </c>
      <c r="T43" s="44">
        <v>11843</v>
      </c>
      <c r="U43">
        <v>5.22</v>
      </c>
      <c r="V43" s="44">
        <v>3955</v>
      </c>
      <c r="W43">
        <v>1.84</v>
      </c>
      <c r="X43" s="44">
        <v>11865</v>
      </c>
      <c r="Y43">
        <v>4.84</v>
      </c>
      <c r="Z43" s="44">
        <v>167869</v>
      </c>
      <c r="AA43">
        <v>5.86</v>
      </c>
    </row>
    <row r="44" spans="1:27" x14ac:dyDescent="0.25">
      <c r="A44" t="s">
        <v>137</v>
      </c>
      <c r="B44" s="44">
        <v>9096</v>
      </c>
      <c r="C44">
        <v>3.54</v>
      </c>
      <c r="D44" s="44">
        <v>8183</v>
      </c>
      <c r="E44">
        <v>3.41</v>
      </c>
      <c r="F44" s="44">
        <v>11766</v>
      </c>
      <c r="G44">
        <v>4.54</v>
      </c>
      <c r="H44" s="44">
        <v>8005</v>
      </c>
      <c r="I44">
        <v>3.55</v>
      </c>
      <c r="J44" s="44">
        <v>9016</v>
      </c>
      <c r="K44">
        <v>3.66</v>
      </c>
      <c r="L44" s="44">
        <v>7306</v>
      </c>
      <c r="M44">
        <v>3.16</v>
      </c>
      <c r="N44" s="44">
        <v>8808</v>
      </c>
      <c r="O44">
        <v>3.71</v>
      </c>
      <c r="P44" s="44">
        <v>7412</v>
      </c>
      <c r="Q44">
        <v>3.17</v>
      </c>
      <c r="R44" s="44">
        <v>10819</v>
      </c>
      <c r="S44">
        <v>4.3899999999999997</v>
      </c>
      <c r="T44" s="44">
        <v>8067</v>
      </c>
      <c r="U44">
        <v>3.56</v>
      </c>
      <c r="V44" s="44">
        <v>8778</v>
      </c>
      <c r="W44">
        <v>4.09</v>
      </c>
      <c r="X44" s="44">
        <v>10387</v>
      </c>
      <c r="Y44">
        <v>4.24</v>
      </c>
      <c r="Z44" s="44">
        <v>107643</v>
      </c>
      <c r="AA44">
        <v>3.76</v>
      </c>
    </row>
    <row r="45" spans="1:27" x14ac:dyDescent="0.25">
      <c r="A45" t="s">
        <v>138</v>
      </c>
      <c r="B45" s="44">
        <v>1662</v>
      </c>
      <c r="C45">
        <v>0.65</v>
      </c>
      <c r="D45">
        <v>372</v>
      </c>
      <c r="E45">
        <v>0.16</v>
      </c>
      <c r="F45">
        <v>0</v>
      </c>
      <c r="G45">
        <v>0</v>
      </c>
      <c r="H45">
        <v>158</v>
      </c>
      <c r="I45">
        <v>7.0000000000000007E-2</v>
      </c>
      <c r="J45">
        <v>320</v>
      </c>
      <c r="K45">
        <v>0.13</v>
      </c>
      <c r="L45">
        <v>30</v>
      </c>
      <c r="M45">
        <v>0.01</v>
      </c>
      <c r="N45">
        <v>285</v>
      </c>
      <c r="O45">
        <v>0.12</v>
      </c>
      <c r="P45">
        <v>384</v>
      </c>
      <c r="Q45">
        <v>0.16</v>
      </c>
      <c r="R45">
        <v>383</v>
      </c>
      <c r="S45">
        <v>0.16</v>
      </c>
      <c r="T45">
        <v>712</v>
      </c>
      <c r="U45">
        <v>0.31</v>
      </c>
      <c r="V45" s="44">
        <v>2534</v>
      </c>
      <c r="W45">
        <v>1.18</v>
      </c>
      <c r="X45" s="44">
        <v>1459</v>
      </c>
      <c r="Y45">
        <v>0.6</v>
      </c>
      <c r="Z45" s="44">
        <v>8298</v>
      </c>
      <c r="AA45">
        <v>0.28999999999999998</v>
      </c>
    </row>
    <row r="46" spans="1:27" x14ac:dyDescent="0.25">
      <c r="A46" t="s">
        <v>139</v>
      </c>
      <c r="B46" s="44">
        <v>10932</v>
      </c>
      <c r="C46">
        <v>4.26</v>
      </c>
      <c r="D46" s="44">
        <v>11733</v>
      </c>
      <c r="E46">
        <v>4.8899999999999997</v>
      </c>
      <c r="F46" s="44">
        <v>10051</v>
      </c>
      <c r="G46">
        <v>3.88</v>
      </c>
      <c r="H46" s="44">
        <v>10011</v>
      </c>
      <c r="I46">
        <v>4.4400000000000004</v>
      </c>
      <c r="J46" s="44">
        <v>9921</v>
      </c>
      <c r="K46">
        <v>4.0199999999999996</v>
      </c>
      <c r="L46" s="44">
        <v>10041</v>
      </c>
      <c r="M46">
        <v>4.3499999999999996</v>
      </c>
      <c r="N46" s="44">
        <v>10001</v>
      </c>
      <c r="O46">
        <v>4.21</v>
      </c>
      <c r="P46" s="44">
        <v>9971</v>
      </c>
      <c r="Q46">
        <v>4.2699999999999996</v>
      </c>
      <c r="R46" s="44">
        <v>10041</v>
      </c>
      <c r="S46">
        <v>4.08</v>
      </c>
      <c r="T46" s="44">
        <v>10011</v>
      </c>
      <c r="U46">
        <v>4.41</v>
      </c>
      <c r="V46" s="44">
        <v>9951</v>
      </c>
      <c r="W46">
        <v>4.6399999999999997</v>
      </c>
      <c r="X46" s="44">
        <v>9991</v>
      </c>
      <c r="Y46">
        <v>4.08</v>
      </c>
      <c r="Z46" s="44">
        <v>122655</v>
      </c>
      <c r="AA46">
        <v>4.28</v>
      </c>
    </row>
    <row r="47" spans="1:27" x14ac:dyDescent="0.25">
      <c r="A47" t="s">
        <v>140</v>
      </c>
      <c r="B47" s="44">
        <v>6000</v>
      </c>
      <c r="C47">
        <v>2.34</v>
      </c>
      <c r="D47" s="44">
        <v>4100</v>
      </c>
      <c r="E47">
        <v>1.71</v>
      </c>
      <c r="F47" s="44">
        <v>2000</v>
      </c>
      <c r="G47">
        <v>0.77</v>
      </c>
      <c r="H47" s="44">
        <v>-2000</v>
      </c>
      <c r="I47">
        <v>-0.89</v>
      </c>
      <c r="J47">
        <v>0</v>
      </c>
      <c r="K47">
        <v>0</v>
      </c>
      <c r="L47" s="44">
        <v>2000</v>
      </c>
      <c r="M47">
        <v>0.87</v>
      </c>
      <c r="N47" s="44">
        <v>8000</v>
      </c>
      <c r="O47">
        <v>3.37</v>
      </c>
      <c r="P47" s="44">
        <v>4000</v>
      </c>
      <c r="Q47">
        <v>1.71</v>
      </c>
      <c r="R47" s="44">
        <v>2000</v>
      </c>
      <c r="S47">
        <v>0.81</v>
      </c>
      <c r="T47">
        <v>0</v>
      </c>
      <c r="U47">
        <v>0</v>
      </c>
      <c r="V47" s="44">
        <v>2000</v>
      </c>
      <c r="W47">
        <v>0.93</v>
      </c>
      <c r="X47" s="44">
        <v>2000</v>
      </c>
      <c r="Y47">
        <v>0.82</v>
      </c>
      <c r="Z47" s="44">
        <v>30100</v>
      </c>
      <c r="AA47">
        <v>1.05</v>
      </c>
    </row>
    <row r="48" spans="1:27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142</v>
      </c>
      <c r="B49">
        <v>45</v>
      </c>
      <c r="C49">
        <v>0.02</v>
      </c>
      <c r="D49" s="44">
        <v>2753</v>
      </c>
      <c r="E49">
        <v>1.1499999999999999</v>
      </c>
      <c r="F49" s="44">
        <v>2623</v>
      </c>
      <c r="G49">
        <v>1.01</v>
      </c>
      <c r="H49" s="44">
        <v>2160</v>
      </c>
      <c r="I49">
        <v>0.96</v>
      </c>
      <c r="J49" s="44">
        <v>3853</v>
      </c>
      <c r="K49">
        <v>1.56</v>
      </c>
      <c r="L49" s="44">
        <v>1490</v>
      </c>
      <c r="M49">
        <v>0.65</v>
      </c>
      <c r="N49" s="44">
        <v>3153</v>
      </c>
      <c r="O49">
        <v>1.33</v>
      </c>
      <c r="P49" s="44">
        <v>2627</v>
      </c>
      <c r="Q49">
        <v>1.1200000000000001</v>
      </c>
      <c r="R49" s="44">
        <v>1823</v>
      </c>
      <c r="S49">
        <v>0.74</v>
      </c>
      <c r="T49" s="44">
        <v>2354</v>
      </c>
      <c r="U49">
        <v>1.04</v>
      </c>
      <c r="V49">
        <v>0</v>
      </c>
      <c r="W49">
        <v>0</v>
      </c>
      <c r="X49">
        <v>0</v>
      </c>
      <c r="Y49">
        <v>0</v>
      </c>
      <c r="Z49" s="44">
        <v>22880</v>
      </c>
      <c r="AA49">
        <v>0.8</v>
      </c>
    </row>
    <row r="50" spans="1:27" x14ac:dyDescent="0.25">
      <c r="A50" t="s">
        <v>143</v>
      </c>
      <c r="B50">
        <v>0</v>
      </c>
      <c r="C50">
        <v>0</v>
      </c>
      <c r="D50" s="44">
        <v>2423</v>
      </c>
      <c r="E50">
        <v>1.01</v>
      </c>
      <c r="F50" s="44">
        <v>6697</v>
      </c>
      <c r="G50">
        <v>2.58</v>
      </c>
      <c r="H50">
        <v>635</v>
      </c>
      <c r="I50">
        <v>0.28000000000000003</v>
      </c>
      <c r="J50">
        <v>0</v>
      </c>
      <c r="K50">
        <v>0</v>
      </c>
      <c r="L50" s="44">
        <v>1383</v>
      </c>
      <c r="M50">
        <v>0.6</v>
      </c>
      <c r="N50">
        <v>0</v>
      </c>
      <c r="O50">
        <v>0</v>
      </c>
      <c r="P50">
        <v>788</v>
      </c>
      <c r="Q50">
        <v>0.34</v>
      </c>
      <c r="R50" s="44">
        <v>1203</v>
      </c>
      <c r="S50">
        <v>0.49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s="44">
        <v>13128</v>
      </c>
      <c r="AA50">
        <v>0.46</v>
      </c>
    </row>
    <row r="51" spans="1:27" x14ac:dyDescent="0.25">
      <c r="A51" t="s">
        <v>144</v>
      </c>
      <c r="B51">
        <v>-525</v>
      </c>
      <c r="C51">
        <v>-0.2</v>
      </c>
      <c r="D51" s="44">
        <v>1320</v>
      </c>
      <c r="E51">
        <v>0.55000000000000004</v>
      </c>
      <c r="F51" s="44">
        <v>4919</v>
      </c>
      <c r="G51">
        <v>1.9</v>
      </c>
      <c r="H51" s="44">
        <v>1988</v>
      </c>
      <c r="I51">
        <v>0.88</v>
      </c>
      <c r="J51" s="44">
        <v>2175</v>
      </c>
      <c r="K51">
        <v>0.88</v>
      </c>
      <c r="L51" s="44">
        <v>1490</v>
      </c>
      <c r="M51">
        <v>0.65</v>
      </c>
      <c r="N51" s="44">
        <v>6198</v>
      </c>
      <c r="O51">
        <v>2.61</v>
      </c>
      <c r="P51">
        <v>795</v>
      </c>
      <c r="Q51">
        <v>0.34</v>
      </c>
      <c r="R51" s="44">
        <v>3020</v>
      </c>
      <c r="S51">
        <v>1.23</v>
      </c>
      <c r="T51" s="44">
        <v>2461</v>
      </c>
      <c r="U51">
        <v>1.08</v>
      </c>
      <c r="V51" s="44">
        <v>1323</v>
      </c>
      <c r="W51">
        <v>0.62</v>
      </c>
      <c r="X51" s="44">
        <v>1450</v>
      </c>
      <c r="Y51">
        <v>0.59</v>
      </c>
      <c r="Z51" s="44">
        <v>26613</v>
      </c>
      <c r="AA51">
        <v>0.93</v>
      </c>
    </row>
    <row r="52" spans="1:27" x14ac:dyDescent="0.25">
      <c r="A52" t="s">
        <v>145</v>
      </c>
      <c r="B52">
        <v>-800</v>
      </c>
      <c r="C52">
        <v>-0.31</v>
      </c>
      <c r="D52">
        <v>800</v>
      </c>
      <c r="E52">
        <v>0.33</v>
      </c>
      <c r="F52" s="44">
        <v>2935</v>
      </c>
      <c r="G52">
        <v>1.1299999999999999</v>
      </c>
      <c r="H52">
        <v>954</v>
      </c>
      <c r="I52">
        <v>0.42</v>
      </c>
      <c r="J52">
        <v>0</v>
      </c>
      <c r="K52">
        <v>0</v>
      </c>
      <c r="L52">
        <v>0</v>
      </c>
      <c r="M52">
        <v>0</v>
      </c>
      <c r="N52" s="44">
        <v>3513</v>
      </c>
      <c r="O52">
        <v>1.48</v>
      </c>
      <c r="P52">
        <v>0</v>
      </c>
      <c r="Q52">
        <v>0</v>
      </c>
      <c r="R52" s="44">
        <v>1218</v>
      </c>
      <c r="S52">
        <v>0.49</v>
      </c>
      <c r="T52" s="44">
        <v>2026</v>
      </c>
      <c r="U52">
        <v>0.89</v>
      </c>
      <c r="V52">
        <v>401</v>
      </c>
      <c r="W52">
        <v>0.19</v>
      </c>
      <c r="X52">
        <v>966</v>
      </c>
      <c r="Y52">
        <v>0.39</v>
      </c>
      <c r="Z52" s="44">
        <v>12011</v>
      </c>
      <c r="AA52">
        <v>0.42</v>
      </c>
    </row>
    <row r="53" spans="1:27" x14ac:dyDescent="0.25">
      <c r="A53" t="s">
        <v>146</v>
      </c>
      <c r="B53" s="44">
        <v>2714</v>
      </c>
      <c r="C53">
        <v>1.06</v>
      </c>
      <c r="D53" s="44">
        <v>2849</v>
      </c>
      <c r="E53">
        <v>1.19</v>
      </c>
      <c r="F53" s="44">
        <v>1337</v>
      </c>
      <c r="G53">
        <v>0.52</v>
      </c>
      <c r="H53">
        <v>185</v>
      </c>
      <c r="I53">
        <v>0.08</v>
      </c>
      <c r="J53" s="44">
        <v>1106</v>
      </c>
      <c r="K53">
        <v>0.45</v>
      </c>
      <c r="L53">
        <v>501</v>
      </c>
      <c r="M53">
        <v>0.22</v>
      </c>
      <c r="N53">
        <v>106</v>
      </c>
      <c r="O53">
        <v>0.04</v>
      </c>
      <c r="P53" s="44">
        <v>1035</v>
      </c>
      <c r="Q53">
        <v>0.44</v>
      </c>
      <c r="R53">
        <v>30</v>
      </c>
      <c r="S53">
        <v>0.01</v>
      </c>
      <c r="T53">
        <v>664</v>
      </c>
      <c r="U53">
        <v>0.28999999999999998</v>
      </c>
      <c r="V53">
        <v>126</v>
      </c>
      <c r="W53">
        <v>0.06</v>
      </c>
      <c r="X53">
        <v>194</v>
      </c>
      <c r="Y53">
        <v>0.08</v>
      </c>
      <c r="Z53" s="44">
        <v>10845</v>
      </c>
      <c r="AA53">
        <v>0.38</v>
      </c>
    </row>
    <row r="54" spans="1:27" x14ac:dyDescent="0.25">
      <c r="A54" t="s">
        <v>147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23</v>
      </c>
      <c r="B55" s="44">
        <v>365224</v>
      </c>
      <c r="C55">
        <v>142.33000000000001</v>
      </c>
      <c r="D55" s="44">
        <v>325396</v>
      </c>
      <c r="E55">
        <v>135.53</v>
      </c>
      <c r="F55" s="44">
        <v>380608</v>
      </c>
      <c r="G55">
        <v>146.78</v>
      </c>
      <c r="H55" s="44">
        <v>322574</v>
      </c>
      <c r="I55">
        <v>143.18</v>
      </c>
      <c r="J55" s="44">
        <v>355789</v>
      </c>
      <c r="K55">
        <v>144.28</v>
      </c>
      <c r="L55" s="44">
        <v>340922</v>
      </c>
      <c r="M55">
        <v>147.59</v>
      </c>
      <c r="N55" s="44">
        <v>348318</v>
      </c>
      <c r="O55">
        <v>146.66</v>
      </c>
      <c r="P55" s="44">
        <v>307417</v>
      </c>
      <c r="Q55">
        <v>131.54</v>
      </c>
      <c r="R55" s="44">
        <v>359100</v>
      </c>
      <c r="S55">
        <v>145.86000000000001</v>
      </c>
      <c r="T55" s="44">
        <v>318835</v>
      </c>
      <c r="U55">
        <v>140.58000000000001</v>
      </c>
      <c r="V55" s="44">
        <v>315529</v>
      </c>
      <c r="W55">
        <v>147.1</v>
      </c>
      <c r="X55" s="44">
        <v>367862</v>
      </c>
      <c r="Y55">
        <v>150.09</v>
      </c>
      <c r="Z55" s="44">
        <v>4107575</v>
      </c>
      <c r="AA55">
        <v>143.49</v>
      </c>
    </row>
    <row r="56" spans="1:27" x14ac:dyDescent="0.25">
      <c r="A56" t="s">
        <v>24</v>
      </c>
    </row>
    <row r="57" spans="1:27" x14ac:dyDescent="0.25">
      <c r="A57" t="s">
        <v>148</v>
      </c>
      <c r="B57" s="44">
        <v>28242</v>
      </c>
      <c r="C57">
        <v>11.01</v>
      </c>
      <c r="D57" s="44">
        <v>23273</v>
      </c>
      <c r="E57">
        <v>9.69</v>
      </c>
      <c r="F57" s="44">
        <v>25243</v>
      </c>
      <c r="G57">
        <v>9.74</v>
      </c>
      <c r="H57" s="44">
        <v>20942</v>
      </c>
      <c r="I57">
        <v>9.2899999999999991</v>
      </c>
      <c r="J57" s="44">
        <v>21526</v>
      </c>
      <c r="K57">
        <v>8.73</v>
      </c>
      <c r="L57" s="44">
        <v>19019</v>
      </c>
      <c r="M57">
        <v>8.23</v>
      </c>
      <c r="N57" s="44">
        <v>22612</v>
      </c>
      <c r="O57">
        <v>9.52</v>
      </c>
      <c r="P57" s="44">
        <v>22122</v>
      </c>
      <c r="Q57">
        <v>9.4700000000000006</v>
      </c>
      <c r="R57" s="44">
        <v>23626</v>
      </c>
      <c r="S57">
        <v>9.6</v>
      </c>
      <c r="T57" s="44">
        <v>22170</v>
      </c>
      <c r="U57">
        <v>9.7799999999999994</v>
      </c>
      <c r="V57" s="44">
        <v>20119</v>
      </c>
      <c r="W57">
        <v>9.3800000000000008</v>
      </c>
      <c r="X57" s="44">
        <v>24973</v>
      </c>
      <c r="Y57">
        <v>10.19</v>
      </c>
      <c r="Z57" s="44">
        <v>273865</v>
      </c>
      <c r="AA57">
        <v>9.57</v>
      </c>
    </row>
    <row r="58" spans="1:27" x14ac:dyDescent="0.25">
      <c r="A58" t="s">
        <v>149</v>
      </c>
      <c r="B58" s="44">
        <v>23197</v>
      </c>
      <c r="C58">
        <v>9.0399999999999991</v>
      </c>
      <c r="D58" s="44">
        <v>19030</v>
      </c>
      <c r="E58">
        <v>7.93</v>
      </c>
      <c r="F58" s="44">
        <v>23212</v>
      </c>
      <c r="G58">
        <v>8.9499999999999993</v>
      </c>
      <c r="H58" s="44">
        <v>19320</v>
      </c>
      <c r="I58">
        <v>8.58</v>
      </c>
      <c r="J58" s="44">
        <v>20289</v>
      </c>
      <c r="K58">
        <v>8.23</v>
      </c>
      <c r="L58" s="44">
        <v>17772</v>
      </c>
      <c r="M58">
        <v>7.69</v>
      </c>
      <c r="N58" s="44">
        <v>19961</v>
      </c>
      <c r="O58">
        <v>8.4</v>
      </c>
      <c r="P58" s="44">
        <v>19396</v>
      </c>
      <c r="Q58">
        <v>8.3000000000000007</v>
      </c>
      <c r="R58" s="44">
        <v>19165</v>
      </c>
      <c r="S58">
        <v>7.78</v>
      </c>
      <c r="T58" s="44">
        <v>19990</v>
      </c>
      <c r="U58">
        <v>8.81</v>
      </c>
      <c r="V58" s="44">
        <v>17380</v>
      </c>
      <c r="W58">
        <v>8.1</v>
      </c>
      <c r="X58" s="44">
        <v>21528</v>
      </c>
      <c r="Y58">
        <v>8.7799999999999994</v>
      </c>
      <c r="Z58" s="44">
        <v>240239</v>
      </c>
      <c r="AA58">
        <v>8.39</v>
      </c>
    </row>
    <row r="59" spans="1:27" x14ac:dyDescent="0.25">
      <c r="A59" t="s">
        <v>150</v>
      </c>
      <c r="B59" s="44">
        <v>3409</v>
      </c>
      <c r="C59">
        <v>1.33</v>
      </c>
      <c r="D59" s="44">
        <v>2320</v>
      </c>
      <c r="E59">
        <v>0.97</v>
      </c>
      <c r="F59" s="44">
        <v>3156</v>
      </c>
      <c r="G59">
        <v>1.22</v>
      </c>
      <c r="H59" s="44">
        <v>2119</v>
      </c>
      <c r="I59">
        <v>0.94</v>
      </c>
      <c r="J59" s="44">
        <v>1956</v>
      </c>
      <c r="K59">
        <v>0.79</v>
      </c>
      <c r="L59" s="44">
        <v>2444</v>
      </c>
      <c r="M59">
        <v>1.06</v>
      </c>
      <c r="N59" s="44">
        <v>4217</v>
      </c>
      <c r="O59">
        <v>1.78</v>
      </c>
      <c r="P59" s="44">
        <v>4109</v>
      </c>
      <c r="Q59">
        <v>1.76</v>
      </c>
      <c r="R59" s="44">
        <v>3235</v>
      </c>
      <c r="S59">
        <v>1.31</v>
      </c>
      <c r="T59" s="44">
        <v>3345</v>
      </c>
      <c r="U59">
        <v>1.47</v>
      </c>
      <c r="V59" s="44">
        <v>2008</v>
      </c>
      <c r="W59">
        <v>0.94</v>
      </c>
      <c r="X59" s="44">
        <v>1457</v>
      </c>
      <c r="Y59">
        <v>0.59</v>
      </c>
      <c r="Z59" s="44">
        <v>33775</v>
      </c>
      <c r="AA59">
        <v>1.18</v>
      </c>
    </row>
    <row r="60" spans="1:27" x14ac:dyDescent="0.25">
      <c r="A60" t="s">
        <v>151</v>
      </c>
      <c r="B60">
        <v>700</v>
      </c>
      <c r="C60">
        <v>0.27</v>
      </c>
      <c r="D60" s="44">
        <v>1512</v>
      </c>
      <c r="E60">
        <v>0.63</v>
      </c>
      <c r="F60" s="44">
        <v>1436</v>
      </c>
      <c r="G60">
        <v>0.55000000000000004</v>
      </c>
      <c r="H60" s="44">
        <v>1356</v>
      </c>
      <c r="I60">
        <v>0.6</v>
      </c>
      <c r="J60" s="44">
        <v>1356</v>
      </c>
      <c r="K60">
        <v>0.55000000000000004</v>
      </c>
      <c r="L60" s="44">
        <v>1300</v>
      </c>
      <c r="M60">
        <v>0.56000000000000005</v>
      </c>
      <c r="N60" s="44">
        <v>1265</v>
      </c>
      <c r="O60">
        <v>0.53</v>
      </c>
      <c r="P60" s="44">
        <v>1340</v>
      </c>
      <c r="Q60">
        <v>0.56999999999999995</v>
      </c>
      <c r="R60" s="44">
        <v>1292</v>
      </c>
      <c r="S60">
        <v>0.52</v>
      </c>
      <c r="T60" s="44">
        <v>1384</v>
      </c>
      <c r="U60">
        <v>0.61</v>
      </c>
      <c r="V60">
        <v>700</v>
      </c>
      <c r="W60">
        <v>0.33</v>
      </c>
      <c r="X60">
        <v>700</v>
      </c>
      <c r="Y60">
        <v>0.28999999999999998</v>
      </c>
      <c r="Z60" s="44">
        <v>14341</v>
      </c>
      <c r="AA60">
        <v>0.5</v>
      </c>
    </row>
    <row r="61" spans="1:27" x14ac:dyDescent="0.25">
      <c r="A61" t="s">
        <v>152</v>
      </c>
      <c r="B61" s="44">
        <v>8000</v>
      </c>
      <c r="C61">
        <v>3.12</v>
      </c>
      <c r="D61" s="44">
        <v>8176</v>
      </c>
      <c r="E61">
        <v>3.41</v>
      </c>
      <c r="F61" s="44">
        <v>13497</v>
      </c>
      <c r="G61">
        <v>5.21</v>
      </c>
      <c r="H61" s="44">
        <v>7056</v>
      </c>
      <c r="I61">
        <v>3.13</v>
      </c>
      <c r="J61" s="44">
        <v>12407</v>
      </c>
      <c r="K61">
        <v>5.03</v>
      </c>
      <c r="L61" s="44">
        <v>4554</v>
      </c>
      <c r="M61">
        <v>1.97</v>
      </c>
      <c r="N61" s="44">
        <v>5755</v>
      </c>
      <c r="O61">
        <v>2.42</v>
      </c>
      <c r="P61" s="44">
        <v>5131</v>
      </c>
      <c r="Q61">
        <v>2.2000000000000002</v>
      </c>
      <c r="R61" s="44">
        <v>3564</v>
      </c>
      <c r="S61">
        <v>1.45</v>
      </c>
      <c r="T61" s="44">
        <v>2884</v>
      </c>
      <c r="U61">
        <v>1.27</v>
      </c>
      <c r="V61">
        <v>0</v>
      </c>
      <c r="W61">
        <v>0</v>
      </c>
      <c r="X61">
        <v>0</v>
      </c>
      <c r="Y61">
        <v>0</v>
      </c>
      <c r="Z61" s="44">
        <v>71025</v>
      </c>
      <c r="AA61">
        <v>2.48</v>
      </c>
    </row>
    <row r="62" spans="1:27" x14ac:dyDescent="0.25">
      <c r="A62" t="s">
        <v>153</v>
      </c>
      <c r="B62" s="44">
        <v>4000</v>
      </c>
      <c r="C62">
        <v>1.56</v>
      </c>
      <c r="D62" s="44">
        <v>6518</v>
      </c>
      <c r="E62">
        <v>2.71</v>
      </c>
      <c r="F62" s="44">
        <v>1000</v>
      </c>
      <c r="G62">
        <v>0.39</v>
      </c>
      <c r="H62" s="44">
        <v>2745</v>
      </c>
      <c r="I62">
        <v>1.22</v>
      </c>
      <c r="J62">
        <v>0</v>
      </c>
      <c r="K62">
        <v>0</v>
      </c>
      <c r="L62">
        <v>0</v>
      </c>
      <c r="M62">
        <v>0</v>
      </c>
      <c r="N62" s="44">
        <v>6057</v>
      </c>
      <c r="O62">
        <v>2.5499999999999998</v>
      </c>
      <c r="P62" s="44">
        <v>6843</v>
      </c>
      <c r="Q62">
        <v>2.93</v>
      </c>
      <c r="R62" s="44">
        <v>5215</v>
      </c>
      <c r="S62">
        <v>2.12</v>
      </c>
      <c r="T62" s="44">
        <v>6566</v>
      </c>
      <c r="U62">
        <v>2.9</v>
      </c>
      <c r="V62">
        <v>0</v>
      </c>
      <c r="W62">
        <v>0</v>
      </c>
      <c r="X62">
        <v>0</v>
      </c>
      <c r="Y62">
        <v>0</v>
      </c>
      <c r="Z62" s="44">
        <v>38945</v>
      </c>
      <c r="AA62">
        <v>1.36</v>
      </c>
    </row>
    <row r="63" spans="1:27" x14ac:dyDescent="0.25">
      <c r="A63" t="s">
        <v>154</v>
      </c>
      <c r="B63">
        <v>0</v>
      </c>
      <c r="D63">
        <v>0</v>
      </c>
      <c r="F63">
        <v>0</v>
      </c>
      <c r="H63">
        <v>0</v>
      </c>
      <c r="J63">
        <v>0</v>
      </c>
      <c r="L63">
        <v>0</v>
      </c>
      <c r="N63">
        <v>0</v>
      </c>
      <c r="P63">
        <v>0</v>
      </c>
      <c r="R63">
        <v>0</v>
      </c>
      <c r="T63">
        <v>0</v>
      </c>
      <c r="V63">
        <v>0</v>
      </c>
      <c r="X63">
        <v>0</v>
      </c>
      <c r="Z63">
        <v>0</v>
      </c>
    </row>
    <row r="64" spans="1:27" x14ac:dyDescent="0.25">
      <c r="A64" t="s">
        <v>155</v>
      </c>
      <c r="B64">
        <v>586</v>
      </c>
      <c r="C64">
        <v>0.23</v>
      </c>
      <c r="D64">
        <v>58</v>
      </c>
      <c r="E64">
        <v>0.02</v>
      </c>
      <c r="F64">
        <v>431</v>
      </c>
      <c r="G64">
        <v>0.17</v>
      </c>
      <c r="H64">
        <v>654</v>
      </c>
      <c r="I64">
        <v>0.28999999999999998</v>
      </c>
      <c r="J64">
        <v>543</v>
      </c>
      <c r="K64">
        <v>0.22</v>
      </c>
      <c r="L64">
        <v>762</v>
      </c>
      <c r="M64">
        <v>0.33</v>
      </c>
      <c r="N64">
        <v>216</v>
      </c>
      <c r="O64">
        <v>0.09</v>
      </c>
      <c r="P64">
        <v>433</v>
      </c>
      <c r="Q64">
        <v>0.19</v>
      </c>
      <c r="R64">
        <v>760</v>
      </c>
      <c r="S64">
        <v>0.31</v>
      </c>
      <c r="T64">
        <v>378</v>
      </c>
      <c r="U64">
        <v>0.17</v>
      </c>
      <c r="V64">
        <v>245</v>
      </c>
      <c r="W64">
        <v>0.11</v>
      </c>
      <c r="X64">
        <v>880</v>
      </c>
      <c r="Y64">
        <v>0.36</v>
      </c>
      <c r="Z64" s="44">
        <v>5946</v>
      </c>
      <c r="AA64">
        <v>0.21</v>
      </c>
    </row>
    <row r="65" spans="1:27" x14ac:dyDescent="0.25">
      <c r="A65" t="s">
        <v>156</v>
      </c>
      <c r="B65">
        <v>774</v>
      </c>
      <c r="C65">
        <v>0.3</v>
      </c>
      <c r="D65" s="44">
        <v>4102</v>
      </c>
      <c r="E65">
        <v>1.71</v>
      </c>
      <c r="F65" s="44">
        <v>2142</v>
      </c>
      <c r="G65">
        <v>0.83</v>
      </c>
      <c r="H65">
        <v>685</v>
      </c>
      <c r="I65">
        <v>0.3</v>
      </c>
      <c r="J65" s="44">
        <v>1258</v>
      </c>
      <c r="K65">
        <v>0.51</v>
      </c>
      <c r="L65" s="44">
        <v>2600</v>
      </c>
      <c r="M65">
        <v>1.1299999999999999</v>
      </c>
      <c r="N65">
        <v>47</v>
      </c>
      <c r="O65">
        <v>0.02</v>
      </c>
      <c r="P65" s="44">
        <v>1753</v>
      </c>
      <c r="Q65">
        <v>0.75</v>
      </c>
      <c r="R65" s="44">
        <v>1624</v>
      </c>
      <c r="S65">
        <v>0.66</v>
      </c>
      <c r="T65" s="44">
        <v>1454</v>
      </c>
      <c r="U65">
        <v>0.64</v>
      </c>
      <c r="V65">
        <v>605</v>
      </c>
      <c r="W65">
        <v>0.28000000000000003</v>
      </c>
      <c r="X65">
        <v>40</v>
      </c>
      <c r="Y65">
        <v>0.02</v>
      </c>
      <c r="Z65" s="44">
        <v>17083</v>
      </c>
      <c r="AA65">
        <v>0.6</v>
      </c>
    </row>
    <row r="66" spans="1:27" x14ac:dyDescent="0.25">
      <c r="A66" t="s">
        <v>25</v>
      </c>
      <c r="B66" s="44">
        <v>68908</v>
      </c>
      <c r="C66">
        <v>26.85</v>
      </c>
      <c r="D66" s="44">
        <v>64989</v>
      </c>
      <c r="E66">
        <v>27.07</v>
      </c>
      <c r="F66" s="44">
        <v>70117</v>
      </c>
      <c r="G66">
        <v>27.04</v>
      </c>
      <c r="H66" s="44">
        <v>54877</v>
      </c>
      <c r="I66">
        <v>24.36</v>
      </c>
      <c r="J66" s="44">
        <v>59335</v>
      </c>
      <c r="K66">
        <v>24.06</v>
      </c>
      <c r="L66" s="44">
        <v>48450</v>
      </c>
      <c r="M66">
        <v>20.97</v>
      </c>
      <c r="N66" s="44">
        <v>60131</v>
      </c>
      <c r="O66">
        <v>25.32</v>
      </c>
      <c r="P66" s="44">
        <v>61126</v>
      </c>
      <c r="Q66">
        <v>26.16</v>
      </c>
      <c r="R66" s="44">
        <v>58481</v>
      </c>
      <c r="S66">
        <v>23.75</v>
      </c>
      <c r="T66" s="44">
        <v>58173</v>
      </c>
      <c r="U66">
        <v>25.65</v>
      </c>
      <c r="V66" s="44">
        <v>41056</v>
      </c>
      <c r="W66">
        <v>19.14</v>
      </c>
      <c r="X66" s="44">
        <v>49577</v>
      </c>
      <c r="Y66">
        <v>20.23</v>
      </c>
      <c r="Z66" s="44">
        <v>695220</v>
      </c>
      <c r="AA66">
        <v>24.29</v>
      </c>
    </row>
    <row r="67" spans="1:27" x14ac:dyDescent="0.25">
      <c r="A67" t="s">
        <v>26</v>
      </c>
    </row>
    <row r="68" spans="1:27" x14ac:dyDescent="0.25">
      <c r="A68" t="s">
        <v>157</v>
      </c>
      <c r="B68" s="44">
        <v>5958</v>
      </c>
      <c r="C68">
        <v>2.3199999999999998</v>
      </c>
      <c r="D68" s="44">
        <v>5176</v>
      </c>
      <c r="E68">
        <v>2.16</v>
      </c>
      <c r="F68" s="44">
        <v>5881</v>
      </c>
      <c r="G68">
        <v>2.27</v>
      </c>
      <c r="H68" s="44">
        <v>5760</v>
      </c>
      <c r="I68">
        <v>2.56</v>
      </c>
      <c r="J68" s="44">
        <v>5854</v>
      </c>
      <c r="K68">
        <v>2.37</v>
      </c>
      <c r="L68" s="44">
        <v>5563</v>
      </c>
      <c r="M68">
        <v>2.41</v>
      </c>
      <c r="N68" s="44">
        <v>5970</v>
      </c>
      <c r="O68">
        <v>2.5099999999999998</v>
      </c>
      <c r="P68" s="44">
        <v>5762</v>
      </c>
      <c r="Q68">
        <v>2.4700000000000002</v>
      </c>
      <c r="R68" s="44">
        <v>6067</v>
      </c>
      <c r="S68">
        <v>2.46</v>
      </c>
      <c r="T68" s="44">
        <v>6109</v>
      </c>
      <c r="U68">
        <v>2.69</v>
      </c>
      <c r="V68" s="44">
        <v>5845</v>
      </c>
      <c r="W68">
        <v>2.73</v>
      </c>
      <c r="X68" s="44">
        <v>5870</v>
      </c>
      <c r="Y68">
        <v>2.39</v>
      </c>
      <c r="Z68" s="44">
        <v>69813</v>
      </c>
      <c r="AA68">
        <v>2.44</v>
      </c>
    </row>
    <row r="69" spans="1:27" x14ac:dyDescent="0.25">
      <c r="A69" t="s">
        <v>158</v>
      </c>
      <c r="B69">
        <v>0</v>
      </c>
      <c r="C69">
        <v>0</v>
      </c>
      <c r="D69">
        <v>0</v>
      </c>
      <c r="E69">
        <v>0</v>
      </c>
      <c r="F69" s="44">
        <v>5007</v>
      </c>
      <c r="G69">
        <v>1.93</v>
      </c>
      <c r="H69">
        <v>0</v>
      </c>
      <c r="I69">
        <v>0</v>
      </c>
      <c r="J69">
        <v>0</v>
      </c>
      <c r="K69">
        <v>0</v>
      </c>
      <c r="L69">
        <v>865</v>
      </c>
      <c r="M69">
        <v>0.37</v>
      </c>
      <c r="N69">
        <v>0</v>
      </c>
      <c r="O69">
        <v>0</v>
      </c>
      <c r="P69" s="44">
        <v>10570</v>
      </c>
      <c r="Q69">
        <v>4.5199999999999996</v>
      </c>
      <c r="R69" s="44">
        <v>4636</v>
      </c>
      <c r="S69">
        <v>1.88</v>
      </c>
      <c r="T69" s="44">
        <v>5935</v>
      </c>
      <c r="U69">
        <v>2.62</v>
      </c>
      <c r="V69" s="44">
        <v>5935</v>
      </c>
      <c r="W69">
        <v>2.77</v>
      </c>
      <c r="X69" s="44">
        <v>6078</v>
      </c>
      <c r="Y69">
        <v>2.48</v>
      </c>
      <c r="Z69" s="44">
        <v>39025</v>
      </c>
      <c r="AA69">
        <v>1.36</v>
      </c>
    </row>
    <row r="70" spans="1:27" x14ac:dyDescent="0.25">
      <c r="A70" t="s">
        <v>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160</v>
      </c>
      <c r="B71">
        <v>735</v>
      </c>
      <c r="C71">
        <v>0.28999999999999998</v>
      </c>
      <c r="D71">
        <v>490</v>
      </c>
      <c r="E71">
        <v>0.2</v>
      </c>
      <c r="F71">
        <v>245</v>
      </c>
      <c r="G71">
        <v>0.09</v>
      </c>
      <c r="H71">
        <v>140</v>
      </c>
      <c r="I71">
        <v>0.06</v>
      </c>
      <c r="J71">
        <v>0</v>
      </c>
      <c r="K71">
        <v>0</v>
      </c>
      <c r="L71">
        <v>490</v>
      </c>
      <c r="M71">
        <v>0.21</v>
      </c>
      <c r="N71">
        <v>770</v>
      </c>
      <c r="O71">
        <v>0.32</v>
      </c>
      <c r="P71">
        <v>0</v>
      </c>
      <c r="Q71">
        <v>0</v>
      </c>
      <c r="R71">
        <v>770</v>
      </c>
      <c r="S71">
        <v>0.31</v>
      </c>
      <c r="T71">
        <v>840</v>
      </c>
      <c r="U71">
        <v>0.37</v>
      </c>
      <c r="V71">
        <v>0</v>
      </c>
      <c r="W71">
        <v>0</v>
      </c>
      <c r="X71" s="44">
        <v>1085</v>
      </c>
      <c r="Y71">
        <v>0.44</v>
      </c>
      <c r="Z71" s="44">
        <v>5565</v>
      </c>
      <c r="AA71">
        <v>0.19</v>
      </c>
    </row>
    <row r="72" spans="1:27" x14ac:dyDescent="0.25">
      <c r="A72" t="s">
        <v>27</v>
      </c>
      <c r="B72" s="44">
        <v>6693</v>
      </c>
      <c r="C72">
        <v>2.61</v>
      </c>
      <c r="D72" s="44">
        <v>5666</v>
      </c>
      <c r="E72">
        <v>2.36</v>
      </c>
      <c r="F72" s="44">
        <v>11133</v>
      </c>
      <c r="G72">
        <v>4.29</v>
      </c>
      <c r="H72" s="44">
        <v>5900</v>
      </c>
      <c r="I72">
        <v>2.62</v>
      </c>
      <c r="J72" s="44">
        <v>5854</v>
      </c>
      <c r="K72">
        <v>2.37</v>
      </c>
      <c r="L72" s="44">
        <v>6918</v>
      </c>
      <c r="M72">
        <v>2.99</v>
      </c>
      <c r="N72" s="44">
        <v>6740</v>
      </c>
      <c r="O72">
        <v>2.84</v>
      </c>
      <c r="P72" s="44">
        <v>16332</v>
      </c>
      <c r="Q72">
        <v>6.99</v>
      </c>
      <c r="R72" s="44">
        <v>11472</v>
      </c>
      <c r="S72">
        <v>4.66</v>
      </c>
      <c r="T72" s="44">
        <v>12884</v>
      </c>
      <c r="U72">
        <v>5.68</v>
      </c>
      <c r="V72" s="44">
        <v>11780</v>
      </c>
      <c r="W72">
        <v>5.49</v>
      </c>
      <c r="X72" s="44">
        <v>13033</v>
      </c>
      <c r="Y72">
        <v>5.32</v>
      </c>
      <c r="Z72" s="44">
        <v>114403</v>
      </c>
      <c r="AA72">
        <v>4</v>
      </c>
    </row>
    <row r="73" spans="1:27" x14ac:dyDescent="0.25">
      <c r="A73" t="s">
        <v>28</v>
      </c>
    </row>
    <row r="74" spans="1:27" x14ac:dyDescent="0.25">
      <c r="A74" t="s">
        <v>161</v>
      </c>
      <c r="B74" s="44">
        <v>11503</v>
      </c>
      <c r="C74">
        <v>4.4800000000000004</v>
      </c>
      <c r="D74" s="44">
        <v>10884</v>
      </c>
      <c r="E74">
        <v>4.53</v>
      </c>
      <c r="F74" s="44">
        <v>11803</v>
      </c>
      <c r="G74">
        <v>4.55</v>
      </c>
      <c r="H74" s="44">
        <v>12040</v>
      </c>
      <c r="I74">
        <v>5.34</v>
      </c>
      <c r="J74" s="44">
        <v>12039</v>
      </c>
      <c r="K74">
        <v>4.88</v>
      </c>
      <c r="L74" s="44">
        <v>11998</v>
      </c>
      <c r="M74">
        <v>5.19</v>
      </c>
      <c r="N74" s="44">
        <v>12085</v>
      </c>
      <c r="O74">
        <v>5.09</v>
      </c>
      <c r="P74" s="44">
        <v>12009</v>
      </c>
      <c r="Q74">
        <v>5.14</v>
      </c>
      <c r="R74" s="44">
        <v>11764</v>
      </c>
      <c r="S74">
        <v>4.78</v>
      </c>
      <c r="T74" s="44">
        <v>11970</v>
      </c>
      <c r="U74">
        <v>5.28</v>
      </c>
      <c r="V74" s="44">
        <v>11860</v>
      </c>
      <c r="W74">
        <v>5.53</v>
      </c>
      <c r="X74" s="44">
        <v>12702</v>
      </c>
      <c r="Y74">
        <v>5.18</v>
      </c>
      <c r="Z74" s="44">
        <v>142657</v>
      </c>
      <c r="AA74">
        <v>4.9800000000000004</v>
      </c>
    </row>
    <row r="75" spans="1:27" x14ac:dyDescent="0.25">
      <c r="A75" t="s">
        <v>162</v>
      </c>
      <c r="B75" s="44">
        <v>1008</v>
      </c>
      <c r="C75">
        <v>0.39</v>
      </c>
      <c r="D75" s="44">
        <v>1436</v>
      </c>
      <c r="E75">
        <v>0.6</v>
      </c>
      <c r="F75" s="44">
        <v>2736</v>
      </c>
      <c r="G75">
        <v>1.06</v>
      </c>
      <c r="H75">
        <v>946</v>
      </c>
      <c r="I75">
        <v>0.42</v>
      </c>
      <c r="J75" s="44">
        <v>1770</v>
      </c>
      <c r="K75">
        <v>0.72</v>
      </c>
      <c r="L75" s="44">
        <v>2096</v>
      </c>
      <c r="M75">
        <v>0.91</v>
      </c>
      <c r="N75">
        <v>936</v>
      </c>
      <c r="O75">
        <v>0.39</v>
      </c>
      <c r="P75" s="44">
        <v>1814</v>
      </c>
      <c r="Q75">
        <v>0.78</v>
      </c>
      <c r="R75" s="44">
        <v>1211</v>
      </c>
      <c r="S75">
        <v>0.49</v>
      </c>
      <c r="T75" s="44">
        <v>1291</v>
      </c>
      <c r="U75">
        <v>0.56999999999999995</v>
      </c>
      <c r="V75" s="44">
        <v>1284</v>
      </c>
      <c r="W75">
        <v>0.6</v>
      </c>
      <c r="X75" s="44">
        <v>2760</v>
      </c>
      <c r="Y75">
        <v>1.1299999999999999</v>
      </c>
      <c r="Z75" s="44">
        <v>19289</v>
      </c>
      <c r="AA75">
        <v>0.67</v>
      </c>
    </row>
    <row r="76" spans="1:27" x14ac:dyDescent="0.25">
      <c r="A76" t="s">
        <v>29</v>
      </c>
      <c r="B76" s="44">
        <v>12511</v>
      </c>
      <c r="C76">
        <v>4.88</v>
      </c>
      <c r="D76" s="44">
        <v>12320</v>
      </c>
      <c r="E76">
        <v>5.13</v>
      </c>
      <c r="F76" s="44">
        <v>14540</v>
      </c>
      <c r="G76">
        <v>5.61</v>
      </c>
      <c r="H76" s="44">
        <v>12986</v>
      </c>
      <c r="I76">
        <v>5.76</v>
      </c>
      <c r="J76" s="44">
        <v>13810</v>
      </c>
      <c r="K76">
        <v>5.6</v>
      </c>
      <c r="L76" s="44">
        <v>14094</v>
      </c>
      <c r="M76">
        <v>6.1</v>
      </c>
      <c r="N76" s="44">
        <v>13021</v>
      </c>
      <c r="O76">
        <v>5.48</v>
      </c>
      <c r="P76" s="44">
        <v>13823</v>
      </c>
      <c r="Q76">
        <v>5.91</v>
      </c>
      <c r="R76" s="44">
        <v>12975</v>
      </c>
      <c r="S76">
        <v>5.27</v>
      </c>
      <c r="T76" s="44">
        <v>13261</v>
      </c>
      <c r="U76">
        <v>5.85</v>
      </c>
      <c r="V76" s="44">
        <v>13144</v>
      </c>
      <c r="W76">
        <v>6.13</v>
      </c>
      <c r="X76" s="44">
        <v>15462</v>
      </c>
      <c r="Y76">
        <v>6.31</v>
      </c>
      <c r="Z76" s="44">
        <v>161946</v>
      </c>
      <c r="AA76">
        <v>5.66</v>
      </c>
    </row>
    <row r="77" spans="1:27" x14ac:dyDescent="0.25">
      <c r="A77" t="s">
        <v>30</v>
      </c>
    </row>
    <row r="78" spans="1:27" x14ac:dyDescent="0.25">
      <c r="A78" t="s">
        <v>163</v>
      </c>
      <c r="B78" s="44">
        <v>10125</v>
      </c>
      <c r="C78">
        <v>3.95</v>
      </c>
      <c r="D78" s="44">
        <v>7116</v>
      </c>
      <c r="E78">
        <v>2.96</v>
      </c>
      <c r="F78" s="44">
        <v>7596</v>
      </c>
      <c r="G78">
        <v>2.93</v>
      </c>
      <c r="H78" s="44">
        <v>7423</v>
      </c>
      <c r="I78">
        <v>3.29</v>
      </c>
      <c r="J78" s="44">
        <v>10263</v>
      </c>
      <c r="K78">
        <v>4.16</v>
      </c>
      <c r="L78" s="44">
        <v>11343</v>
      </c>
      <c r="M78">
        <v>4.91</v>
      </c>
      <c r="N78" s="44">
        <v>11976</v>
      </c>
      <c r="O78">
        <v>5.04</v>
      </c>
      <c r="P78" s="44">
        <v>12031</v>
      </c>
      <c r="Q78">
        <v>5.15</v>
      </c>
      <c r="R78" s="44">
        <v>10548</v>
      </c>
      <c r="S78">
        <v>4.28</v>
      </c>
      <c r="T78" s="44">
        <v>13059</v>
      </c>
      <c r="U78">
        <v>5.76</v>
      </c>
      <c r="V78" s="44">
        <v>15390</v>
      </c>
      <c r="W78">
        <v>7.17</v>
      </c>
      <c r="X78" s="44">
        <v>16629</v>
      </c>
      <c r="Y78">
        <v>6.78</v>
      </c>
      <c r="Z78" s="44">
        <v>133497</v>
      </c>
      <c r="AA78">
        <v>4.66</v>
      </c>
    </row>
    <row r="79" spans="1:27" x14ac:dyDescent="0.25">
      <c r="A79" t="s">
        <v>164</v>
      </c>
      <c r="B79" s="44">
        <v>6134</v>
      </c>
      <c r="C79">
        <v>2.39</v>
      </c>
      <c r="D79" s="44">
        <v>5539</v>
      </c>
      <c r="E79">
        <v>2.31</v>
      </c>
      <c r="F79" s="44">
        <v>7460</v>
      </c>
      <c r="G79">
        <v>2.88</v>
      </c>
      <c r="H79" s="44">
        <v>5610</v>
      </c>
      <c r="I79">
        <v>2.4900000000000002</v>
      </c>
      <c r="J79" s="44">
        <v>5575</v>
      </c>
      <c r="K79">
        <v>2.2599999999999998</v>
      </c>
      <c r="L79" s="44">
        <v>5347</v>
      </c>
      <c r="M79">
        <v>2.31</v>
      </c>
      <c r="N79" s="44">
        <v>5608</v>
      </c>
      <c r="O79">
        <v>2.36</v>
      </c>
      <c r="P79" s="44">
        <v>5467</v>
      </c>
      <c r="Q79">
        <v>2.34</v>
      </c>
      <c r="R79" s="44">
        <v>6371</v>
      </c>
      <c r="S79">
        <v>2.59</v>
      </c>
      <c r="T79" s="44">
        <v>5931</v>
      </c>
      <c r="U79">
        <v>2.62</v>
      </c>
      <c r="V79" s="44">
        <v>5481</v>
      </c>
      <c r="W79">
        <v>2.56</v>
      </c>
      <c r="X79" s="44">
        <v>5645</v>
      </c>
      <c r="Y79">
        <v>2.2999999999999998</v>
      </c>
      <c r="Z79" s="44">
        <v>70169</v>
      </c>
      <c r="AA79">
        <v>2.4500000000000002</v>
      </c>
    </row>
    <row r="80" spans="1:27" x14ac:dyDescent="0.25">
      <c r="A80" t="s">
        <v>165</v>
      </c>
      <c r="B80" s="44">
        <v>10874</v>
      </c>
      <c r="C80">
        <v>4.24</v>
      </c>
      <c r="D80" s="44">
        <v>7612</v>
      </c>
      <c r="E80">
        <v>3.17</v>
      </c>
      <c r="F80" s="44">
        <v>19147</v>
      </c>
      <c r="G80">
        <v>7.38</v>
      </c>
      <c r="H80" s="44">
        <v>9814</v>
      </c>
      <c r="I80">
        <v>4.3600000000000003</v>
      </c>
      <c r="J80" s="44">
        <v>13985</v>
      </c>
      <c r="K80">
        <v>5.67</v>
      </c>
      <c r="L80" s="44">
        <v>25889</v>
      </c>
      <c r="M80">
        <v>11.21</v>
      </c>
      <c r="N80" s="44">
        <v>16046</v>
      </c>
      <c r="O80">
        <v>6.76</v>
      </c>
      <c r="P80" s="44">
        <v>-1433</v>
      </c>
      <c r="Q80">
        <v>-0.61</v>
      </c>
      <c r="R80" s="44">
        <v>14114</v>
      </c>
      <c r="S80">
        <v>5.73</v>
      </c>
      <c r="T80" s="44">
        <v>11113</v>
      </c>
      <c r="U80">
        <v>4.9000000000000004</v>
      </c>
      <c r="V80" s="44">
        <v>7486</v>
      </c>
      <c r="W80">
        <v>3.49</v>
      </c>
      <c r="X80" s="44">
        <v>9129</v>
      </c>
      <c r="Y80">
        <v>3.72</v>
      </c>
      <c r="Z80" s="44">
        <v>143776</v>
      </c>
      <c r="AA80">
        <v>5.0199999999999996</v>
      </c>
    </row>
    <row r="81" spans="1:27" x14ac:dyDescent="0.25">
      <c r="A81" t="s">
        <v>166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167</v>
      </c>
      <c r="B82" s="44">
        <v>2074</v>
      </c>
      <c r="C82">
        <v>0.81</v>
      </c>
      <c r="D82" s="44">
        <v>1885</v>
      </c>
      <c r="E82">
        <v>0.78</v>
      </c>
      <c r="F82" s="44">
        <v>1324</v>
      </c>
      <c r="G82">
        <v>0.51</v>
      </c>
      <c r="H82" s="44">
        <v>1679</v>
      </c>
      <c r="I82">
        <v>0.75</v>
      </c>
      <c r="J82" s="44">
        <v>1929</v>
      </c>
      <c r="K82">
        <v>0.78</v>
      </c>
      <c r="L82" s="44">
        <v>1259</v>
      </c>
      <c r="M82">
        <v>0.54</v>
      </c>
      <c r="N82" s="44">
        <v>1315</v>
      </c>
      <c r="O82">
        <v>0.55000000000000004</v>
      </c>
      <c r="P82" s="44">
        <v>2583</v>
      </c>
      <c r="Q82">
        <v>1.1100000000000001</v>
      </c>
      <c r="R82" s="44">
        <v>1501</v>
      </c>
      <c r="S82">
        <v>0.61</v>
      </c>
      <c r="T82" s="44">
        <v>1516</v>
      </c>
      <c r="U82">
        <v>0.67</v>
      </c>
      <c r="V82" s="44">
        <v>1519</v>
      </c>
      <c r="W82">
        <v>0.71</v>
      </c>
      <c r="X82" s="44">
        <v>1815</v>
      </c>
      <c r="Y82">
        <v>0.74</v>
      </c>
      <c r="Z82" s="44">
        <v>20397</v>
      </c>
      <c r="AA82">
        <v>0.71</v>
      </c>
    </row>
    <row r="83" spans="1:27" x14ac:dyDescent="0.25">
      <c r="A83" t="s">
        <v>168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169</v>
      </c>
      <c r="B84">
        <v>767</v>
      </c>
      <c r="C84">
        <v>0.3</v>
      </c>
      <c r="D84">
        <v>360</v>
      </c>
      <c r="E84">
        <v>0.15</v>
      </c>
      <c r="F84">
        <v>373</v>
      </c>
      <c r="G84">
        <v>0.14000000000000001</v>
      </c>
      <c r="H84">
        <v>338</v>
      </c>
      <c r="I84">
        <v>0.15</v>
      </c>
      <c r="J84">
        <v>370</v>
      </c>
      <c r="K84">
        <v>0.15</v>
      </c>
      <c r="L84">
        <v>348</v>
      </c>
      <c r="M84">
        <v>0.15</v>
      </c>
      <c r="N84">
        <v>356</v>
      </c>
      <c r="O84">
        <v>0.15</v>
      </c>
      <c r="P84">
        <v>608</v>
      </c>
      <c r="Q84">
        <v>0.26</v>
      </c>
      <c r="R84">
        <v>457</v>
      </c>
      <c r="S84">
        <v>0.19</v>
      </c>
      <c r="T84">
        <v>0</v>
      </c>
      <c r="U84">
        <v>0</v>
      </c>
      <c r="V84">
        <v>321</v>
      </c>
      <c r="W84">
        <v>0.15</v>
      </c>
      <c r="X84">
        <v>368</v>
      </c>
      <c r="Y84">
        <v>0.15</v>
      </c>
      <c r="Z84" s="44">
        <v>4667</v>
      </c>
      <c r="AA84">
        <v>0.16</v>
      </c>
    </row>
    <row r="85" spans="1:27" x14ac:dyDescent="0.25">
      <c r="A85" t="s">
        <v>170</v>
      </c>
      <c r="B85" s="44">
        <v>1386</v>
      </c>
      <c r="C85">
        <v>0.54</v>
      </c>
      <c r="D85">
        <v>480</v>
      </c>
      <c r="E85">
        <v>0.2</v>
      </c>
      <c r="F85">
        <v>175</v>
      </c>
      <c r="G85">
        <v>7.0000000000000007E-2</v>
      </c>
      <c r="H85" s="44">
        <v>1139</v>
      </c>
      <c r="I85">
        <v>0.51</v>
      </c>
      <c r="J85">
        <v>783</v>
      </c>
      <c r="K85">
        <v>0.32</v>
      </c>
      <c r="L85">
        <v>506</v>
      </c>
      <c r="M85">
        <v>0.22</v>
      </c>
      <c r="N85">
        <v>464</v>
      </c>
      <c r="O85">
        <v>0.2</v>
      </c>
      <c r="P85">
        <v>156</v>
      </c>
      <c r="Q85">
        <v>7.0000000000000007E-2</v>
      </c>
      <c r="R85" s="44">
        <v>1237</v>
      </c>
      <c r="S85">
        <v>0.5</v>
      </c>
      <c r="T85">
        <v>275</v>
      </c>
      <c r="U85">
        <v>0.12</v>
      </c>
      <c r="V85" s="44">
        <v>1028</v>
      </c>
      <c r="W85">
        <v>0.48</v>
      </c>
      <c r="X85">
        <v>896</v>
      </c>
      <c r="Y85">
        <v>0.37</v>
      </c>
      <c r="Z85" s="44">
        <v>8525</v>
      </c>
      <c r="AA85">
        <v>0.3</v>
      </c>
    </row>
    <row r="86" spans="1:27" x14ac:dyDescent="0.25">
      <c r="A86" t="s">
        <v>171</v>
      </c>
      <c r="B86" s="44">
        <v>4214</v>
      </c>
      <c r="C86">
        <v>1.64</v>
      </c>
      <c r="D86">
        <v>857</v>
      </c>
      <c r="E86">
        <v>0.36</v>
      </c>
      <c r="F86" s="44">
        <v>1519</v>
      </c>
      <c r="G86">
        <v>0.59</v>
      </c>
      <c r="H86" s="44">
        <v>1930</v>
      </c>
      <c r="I86">
        <v>0.86</v>
      </c>
      <c r="J86" s="44">
        <v>2080</v>
      </c>
      <c r="K86">
        <v>0.84</v>
      </c>
      <c r="L86" s="44">
        <v>6002</v>
      </c>
      <c r="M86">
        <v>2.6</v>
      </c>
      <c r="N86" s="44">
        <v>2199</v>
      </c>
      <c r="O86">
        <v>0.93</v>
      </c>
      <c r="P86" s="44">
        <v>2526</v>
      </c>
      <c r="Q86">
        <v>1.08</v>
      </c>
      <c r="R86" s="44">
        <v>1924</v>
      </c>
      <c r="S86">
        <v>0.78</v>
      </c>
      <c r="T86" s="44">
        <v>3238</v>
      </c>
      <c r="U86">
        <v>1.43</v>
      </c>
      <c r="V86" s="44">
        <v>2338</v>
      </c>
      <c r="W86">
        <v>1.0900000000000001</v>
      </c>
      <c r="X86" s="44">
        <v>1423</v>
      </c>
      <c r="Y86">
        <v>0.57999999999999996</v>
      </c>
      <c r="Z86" s="44">
        <v>30250</v>
      </c>
      <c r="AA86">
        <v>1.06</v>
      </c>
    </row>
    <row r="87" spans="1:27" x14ac:dyDescent="0.25">
      <c r="A87" t="s">
        <v>172</v>
      </c>
      <c r="B87" s="44">
        <v>4664</v>
      </c>
      <c r="C87">
        <v>1.82</v>
      </c>
      <c r="D87" s="44">
        <v>9838</v>
      </c>
      <c r="E87">
        <v>4.0999999999999996</v>
      </c>
      <c r="F87" s="44">
        <v>8537</v>
      </c>
      <c r="G87">
        <v>3.29</v>
      </c>
      <c r="H87" s="44">
        <v>3775</v>
      </c>
      <c r="I87">
        <v>1.68</v>
      </c>
      <c r="J87" s="44">
        <v>5261</v>
      </c>
      <c r="K87">
        <v>2.13</v>
      </c>
      <c r="L87" s="44">
        <v>9813</v>
      </c>
      <c r="M87">
        <v>4.25</v>
      </c>
      <c r="N87" s="44">
        <v>7832</v>
      </c>
      <c r="O87">
        <v>3.3</v>
      </c>
      <c r="P87" s="44">
        <v>12358</v>
      </c>
      <c r="Q87">
        <v>5.29</v>
      </c>
      <c r="R87" s="44">
        <v>11690</v>
      </c>
      <c r="S87">
        <v>4.75</v>
      </c>
      <c r="T87" s="44">
        <v>14930</v>
      </c>
      <c r="U87">
        <v>6.58</v>
      </c>
      <c r="V87" s="44">
        <v>2820</v>
      </c>
      <c r="W87">
        <v>1.31</v>
      </c>
      <c r="X87" s="44">
        <v>115691</v>
      </c>
      <c r="Y87">
        <v>47.2</v>
      </c>
      <c r="Z87" s="44">
        <v>207209</v>
      </c>
      <c r="AA87">
        <v>7.24</v>
      </c>
    </row>
    <row r="88" spans="1:27" x14ac:dyDescent="0.25">
      <c r="A88" t="s">
        <v>173</v>
      </c>
      <c r="B88">
        <v>0</v>
      </c>
      <c r="C88">
        <v>0</v>
      </c>
      <c r="D88">
        <v>0</v>
      </c>
      <c r="E88">
        <v>0</v>
      </c>
      <c r="F88" s="44">
        <v>1350</v>
      </c>
      <c r="G88">
        <v>0.52</v>
      </c>
      <c r="H88">
        <v>320</v>
      </c>
      <c r="I88">
        <v>0.14000000000000001</v>
      </c>
      <c r="J88">
        <v>0</v>
      </c>
      <c r="K88">
        <v>0</v>
      </c>
      <c r="L88">
        <v>400</v>
      </c>
      <c r="M88">
        <v>0.17</v>
      </c>
      <c r="N88">
        <v>0</v>
      </c>
      <c r="O88">
        <v>0</v>
      </c>
      <c r="P88" s="44">
        <v>2320</v>
      </c>
      <c r="Q88">
        <v>0.99</v>
      </c>
      <c r="R88">
        <v>400</v>
      </c>
      <c r="S88">
        <v>0.16</v>
      </c>
      <c r="T88">
        <v>240</v>
      </c>
      <c r="U88">
        <v>0.11</v>
      </c>
      <c r="V88">
        <v>0</v>
      </c>
      <c r="W88">
        <v>0</v>
      </c>
      <c r="X88" s="44">
        <v>3570</v>
      </c>
      <c r="Y88">
        <v>1.46</v>
      </c>
      <c r="Z88" s="44">
        <v>8600</v>
      </c>
      <c r="AA88">
        <v>0.3</v>
      </c>
    </row>
    <row r="89" spans="1:27" x14ac:dyDescent="0.25">
      <c r="A89" t="s">
        <v>174</v>
      </c>
      <c r="B89">
        <v>949</v>
      </c>
      <c r="C89">
        <v>0.37</v>
      </c>
      <c r="D89">
        <v>665</v>
      </c>
      <c r="E89">
        <v>0.28000000000000003</v>
      </c>
      <c r="F89" s="44">
        <v>1933</v>
      </c>
      <c r="G89">
        <v>0.75</v>
      </c>
      <c r="H89" s="44">
        <v>1146</v>
      </c>
      <c r="I89">
        <v>0.51</v>
      </c>
      <c r="J89" s="44">
        <v>1021</v>
      </c>
      <c r="K89">
        <v>0.41</v>
      </c>
      <c r="L89">
        <v>989</v>
      </c>
      <c r="M89">
        <v>0.43</v>
      </c>
      <c r="N89">
        <v>565</v>
      </c>
      <c r="O89">
        <v>0.24</v>
      </c>
      <c r="P89" s="44">
        <v>2716</v>
      </c>
      <c r="Q89">
        <v>1.1599999999999999</v>
      </c>
      <c r="R89" s="44">
        <v>1265</v>
      </c>
      <c r="S89">
        <v>0.51</v>
      </c>
      <c r="T89" s="44">
        <v>2419</v>
      </c>
      <c r="U89">
        <v>1.07</v>
      </c>
      <c r="V89" s="44">
        <v>1545</v>
      </c>
      <c r="W89">
        <v>0.72</v>
      </c>
      <c r="X89" s="44">
        <v>1005</v>
      </c>
      <c r="Y89">
        <v>0.41</v>
      </c>
      <c r="Z89" s="44">
        <v>16218</v>
      </c>
      <c r="AA89">
        <v>0.56999999999999995</v>
      </c>
    </row>
    <row r="90" spans="1:27" x14ac:dyDescent="0.25">
      <c r="A90" t="s">
        <v>175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176</v>
      </c>
      <c r="B91" s="44">
        <v>7971</v>
      </c>
      <c r="C91">
        <v>3.11</v>
      </c>
      <c r="D91" s="44">
        <v>-2353</v>
      </c>
      <c r="E91">
        <v>-0.98</v>
      </c>
      <c r="F91">
        <v>302</v>
      </c>
      <c r="G91">
        <v>0.12</v>
      </c>
      <c r="H91" s="44">
        <v>5681</v>
      </c>
      <c r="I91">
        <v>2.52</v>
      </c>
      <c r="J91" s="44">
        <v>11601</v>
      </c>
      <c r="K91">
        <v>4.7</v>
      </c>
      <c r="L91" s="44">
        <v>3558</v>
      </c>
      <c r="M91">
        <v>1.54</v>
      </c>
      <c r="N91" s="44">
        <v>3497</v>
      </c>
      <c r="O91">
        <v>1.47</v>
      </c>
      <c r="P91" s="44">
        <v>4167</v>
      </c>
      <c r="Q91">
        <v>1.78</v>
      </c>
      <c r="R91" s="44">
        <v>8260</v>
      </c>
      <c r="S91">
        <v>3.35</v>
      </c>
      <c r="T91" s="44">
        <v>6255</v>
      </c>
      <c r="U91">
        <v>2.76</v>
      </c>
      <c r="V91" s="44">
        <v>3454</v>
      </c>
      <c r="W91">
        <v>1.61</v>
      </c>
      <c r="X91" s="44">
        <v>6796</v>
      </c>
      <c r="Y91">
        <v>2.77</v>
      </c>
      <c r="Z91" s="44">
        <v>59187</v>
      </c>
      <c r="AA91">
        <v>2.0699999999999998</v>
      </c>
    </row>
    <row r="92" spans="1:27" x14ac:dyDescent="0.25">
      <c r="A92" t="s">
        <v>177</v>
      </c>
      <c r="B92" s="44">
        <v>3000</v>
      </c>
      <c r="C92">
        <v>1.17</v>
      </c>
      <c r="D92" s="44">
        <v>6719</v>
      </c>
      <c r="E92">
        <v>2.8</v>
      </c>
      <c r="F92" s="44">
        <v>5962</v>
      </c>
      <c r="G92">
        <v>2.2999999999999998</v>
      </c>
      <c r="H92">
        <v>0</v>
      </c>
      <c r="I92">
        <v>0</v>
      </c>
      <c r="J92">
        <v>0</v>
      </c>
      <c r="K92">
        <v>0</v>
      </c>
      <c r="L92" s="44">
        <v>1893</v>
      </c>
      <c r="M92">
        <v>0.82</v>
      </c>
      <c r="N92" s="44">
        <v>2737</v>
      </c>
      <c r="O92">
        <v>1.1499999999999999</v>
      </c>
      <c r="P92" s="44">
        <v>5531</v>
      </c>
      <c r="Q92">
        <v>2.37</v>
      </c>
      <c r="R92">
        <v>0</v>
      </c>
      <c r="S92">
        <v>0</v>
      </c>
      <c r="T92">
        <v>0</v>
      </c>
      <c r="U92">
        <v>0</v>
      </c>
      <c r="V92" s="44">
        <v>3543</v>
      </c>
      <c r="W92">
        <v>1.65</v>
      </c>
      <c r="X92" s="44">
        <v>1973</v>
      </c>
      <c r="Y92">
        <v>0.8</v>
      </c>
      <c r="Z92" s="44">
        <v>31357</v>
      </c>
      <c r="AA92">
        <v>1.1000000000000001</v>
      </c>
    </row>
    <row r="93" spans="1:27" x14ac:dyDescent="0.25">
      <c r="A93" t="s">
        <v>31</v>
      </c>
      <c r="B93" s="44">
        <v>52158</v>
      </c>
      <c r="C93">
        <v>20.329999999999998</v>
      </c>
      <c r="D93" s="44">
        <v>38718</v>
      </c>
      <c r="E93">
        <v>16.13</v>
      </c>
      <c r="F93" s="44">
        <v>55679</v>
      </c>
      <c r="G93">
        <v>21.47</v>
      </c>
      <c r="H93" s="44">
        <v>38854</v>
      </c>
      <c r="I93">
        <v>17.25</v>
      </c>
      <c r="J93" s="44">
        <v>52868</v>
      </c>
      <c r="K93">
        <v>21.44</v>
      </c>
      <c r="L93" s="44">
        <v>67346</v>
      </c>
      <c r="M93">
        <v>29.15</v>
      </c>
      <c r="N93" s="44">
        <v>52594</v>
      </c>
      <c r="O93">
        <v>22.14</v>
      </c>
      <c r="P93" s="44">
        <v>49029</v>
      </c>
      <c r="Q93">
        <v>20.98</v>
      </c>
      <c r="R93" s="44">
        <v>57766</v>
      </c>
      <c r="S93">
        <v>23.46</v>
      </c>
      <c r="T93" s="44">
        <v>58976</v>
      </c>
      <c r="U93">
        <v>26</v>
      </c>
      <c r="V93" s="44">
        <v>44924</v>
      </c>
      <c r="W93">
        <v>20.94</v>
      </c>
      <c r="X93" s="44">
        <v>164941</v>
      </c>
      <c r="Y93">
        <v>67.3</v>
      </c>
      <c r="Z93" s="44">
        <v>733852</v>
      </c>
      <c r="AA93">
        <v>25.63</v>
      </c>
    </row>
    <row r="94" spans="1:27" x14ac:dyDescent="0.25">
      <c r="A94" t="s">
        <v>32</v>
      </c>
    </row>
    <row r="95" spans="1:27" x14ac:dyDescent="0.25">
      <c r="A95" t="s">
        <v>178</v>
      </c>
      <c r="B95" s="44">
        <v>30789</v>
      </c>
      <c r="C95">
        <v>12</v>
      </c>
      <c r="D95" s="44">
        <v>27795</v>
      </c>
      <c r="E95">
        <v>11.58</v>
      </c>
      <c r="F95" s="44">
        <v>28398</v>
      </c>
      <c r="G95">
        <v>10.95</v>
      </c>
      <c r="H95" s="44">
        <v>27975</v>
      </c>
      <c r="I95">
        <v>12.42</v>
      </c>
      <c r="J95" s="44">
        <v>30931</v>
      </c>
      <c r="K95">
        <v>12.54</v>
      </c>
      <c r="L95" s="44">
        <v>32852</v>
      </c>
      <c r="M95">
        <v>14.22</v>
      </c>
      <c r="N95" s="44">
        <v>27171</v>
      </c>
      <c r="O95">
        <v>11.44</v>
      </c>
      <c r="P95" s="44">
        <v>28137</v>
      </c>
      <c r="Q95">
        <v>12.04</v>
      </c>
      <c r="R95" s="44">
        <v>27808</v>
      </c>
      <c r="S95">
        <v>11.29</v>
      </c>
      <c r="T95" s="44">
        <v>26559</v>
      </c>
      <c r="U95">
        <v>11.71</v>
      </c>
      <c r="V95" s="44">
        <v>23191</v>
      </c>
      <c r="W95">
        <v>10.81</v>
      </c>
      <c r="X95" s="44">
        <v>24827</v>
      </c>
      <c r="Y95">
        <v>10.130000000000001</v>
      </c>
      <c r="Z95" s="44">
        <v>336433</v>
      </c>
      <c r="AA95">
        <v>11.75</v>
      </c>
    </row>
    <row r="96" spans="1:27" x14ac:dyDescent="0.25">
      <c r="A96" t="s">
        <v>179</v>
      </c>
      <c r="B96" s="44">
        <v>20999</v>
      </c>
      <c r="C96">
        <v>8.18</v>
      </c>
      <c r="D96" s="44">
        <v>17824</v>
      </c>
      <c r="E96">
        <v>7.42</v>
      </c>
      <c r="F96" s="44">
        <v>17292</v>
      </c>
      <c r="G96">
        <v>6.67</v>
      </c>
      <c r="H96" s="44">
        <v>18014</v>
      </c>
      <c r="I96">
        <v>8</v>
      </c>
      <c r="J96" s="44">
        <v>20361</v>
      </c>
      <c r="K96">
        <v>8.26</v>
      </c>
      <c r="L96" s="44">
        <v>18023</v>
      </c>
      <c r="M96">
        <v>7.8</v>
      </c>
      <c r="N96" s="44">
        <v>17811</v>
      </c>
      <c r="O96">
        <v>7.5</v>
      </c>
      <c r="P96" s="44">
        <v>27496</v>
      </c>
      <c r="Q96">
        <v>11.77</v>
      </c>
      <c r="R96" s="44">
        <v>16725</v>
      </c>
      <c r="S96">
        <v>6.79</v>
      </c>
      <c r="T96" s="44">
        <v>19302</v>
      </c>
      <c r="U96">
        <v>8.51</v>
      </c>
      <c r="V96" s="44">
        <v>18234</v>
      </c>
      <c r="W96">
        <v>8.5</v>
      </c>
      <c r="X96" s="44">
        <v>17889</v>
      </c>
      <c r="Y96">
        <v>7.3</v>
      </c>
      <c r="Z96" s="44">
        <v>229970</v>
      </c>
      <c r="AA96">
        <v>8.0299999999999994</v>
      </c>
    </row>
    <row r="97" spans="1:27" x14ac:dyDescent="0.25">
      <c r="A97" t="s">
        <v>180</v>
      </c>
      <c r="B97" s="44">
        <v>1328</v>
      </c>
      <c r="C97">
        <v>0.52</v>
      </c>
      <c r="D97">
        <v>600</v>
      </c>
      <c r="E97">
        <v>0.25</v>
      </c>
      <c r="F97" s="44">
        <v>1386</v>
      </c>
      <c r="G97">
        <v>0.53</v>
      </c>
      <c r="H97" s="44">
        <v>1457</v>
      </c>
      <c r="I97">
        <v>0.65</v>
      </c>
      <c r="J97" s="44">
        <v>1933</v>
      </c>
      <c r="K97">
        <v>0.78</v>
      </c>
      <c r="L97" s="44">
        <v>1093</v>
      </c>
      <c r="M97">
        <v>0.47</v>
      </c>
      <c r="N97" s="44">
        <v>1749</v>
      </c>
      <c r="O97">
        <v>0.74</v>
      </c>
      <c r="P97" s="44">
        <v>1258</v>
      </c>
      <c r="Q97">
        <v>0.54</v>
      </c>
      <c r="R97" s="44">
        <v>1558</v>
      </c>
      <c r="S97">
        <v>0.63</v>
      </c>
      <c r="T97" s="44">
        <v>1554</v>
      </c>
      <c r="U97">
        <v>0.69</v>
      </c>
      <c r="V97" s="44">
        <v>1811</v>
      </c>
      <c r="W97">
        <v>0.84</v>
      </c>
      <c r="X97" s="44">
        <v>1243</v>
      </c>
      <c r="Y97">
        <v>0.51</v>
      </c>
      <c r="Z97" s="44">
        <v>16972</v>
      </c>
      <c r="AA97">
        <v>0.59</v>
      </c>
    </row>
    <row r="98" spans="1:27" x14ac:dyDescent="0.25">
      <c r="A98" t="s">
        <v>181</v>
      </c>
      <c r="B98" s="44">
        <v>1982</v>
      </c>
      <c r="C98">
        <v>0.77</v>
      </c>
      <c r="D98" s="44">
        <v>2310</v>
      </c>
      <c r="E98">
        <v>0.96</v>
      </c>
      <c r="F98" s="44">
        <v>2253</v>
      </c>
      <c r="G98">
        <v>0.87</v>
      </c>
      <c r="H98" s="44">
        <v>1398</v>
      </c>
      <c r="I98">
        <v>0.62</v>
      </c>
      <c r="J98" s="44">
        <v>1914</v>
      </c>
      <c r="K98">
        <v>0.78</v>
      </c>
      <c r="L98" s="44">
        <v>5400</v>
      </c>
      <c r="M98">
        <v>2.34</v>
      </c>
      <c r="N98" s="44">
        <v>1490</v>
      </c>
      <c r="O98">
        <v>0.63</v>
      </c>
      <c r="P98" s="44">
        <v>1973</v>
      </c>
      <c r="Q98">
        <v>0.84</v>
      </c>
      <c r="R98" s="44">
        <v>2284</v>
      </c>
      <c r="S98">
        <v>0.93</v>
      </c>
      <c r="T98" s="44">
        <v>1537</v>
      </c>
      <c r="U98">
        <v>0.68</v>
      </c>
      <c r="V98" s="44">
        <v>3564</v>
      </c>
      <c r="W98">
        <v>1.66</v>
      </c>
      <c r="X98" s="44">
        <v>1739</v>
      </c>
      <c r="Y98">
        <v>0.71</v>
      </c>
      <c r="Z98" s="44">
        <v>27844</v>
      </c>
      <c r="AA98">
        <v>0.97</v>
      </c>
    </row>
    <row r="99" spans="1:27" x14ac:dyDescent="0.25">
      <c r="A99" t="s">
        <v>182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5">
      <c r="A100" t="s">
        <v>183</v>
      </c>
      <c r="B100">
        <v>-625</v>
      </c>
      <c r="C100">
        <v>-0.24</v>
      </c>
      <c r="D100">
        <v>53</v>
      </c>
      <c r="E100">
        <v>0.02</v>
      </c>
      <c r="F100">
        <v>54</v>
      </c>
      <c r="G100">
        <v>0.02</v>
      </c>
      <c r="H100">
        <v>55</v>
      </c>
      <c r="I100">
        <v>0.02</v>
      </c>
      <c r="J100">
        <v>53</v>
      </c>
      <c r="K100">
        <v>0.02</v>
      </c>
      <c r="L100">
        <v>53</v>
      </c>
      <c r="M100">
        <v>0.02</v>
      </c>
      <c r="N100">
        <v>53</v>
      </c>
      <c r="O100">
        <v>0.02</v>
      </c>
      <c r="P100">
        <v>634</v>
      </c>
      <c r="Q100">
        <v>0.27</v>
      </c>
      <c r="R100">
        <v>53</v>
      </c>
      <c r="S100">
        <v>0.02</v>
      </c>
      <c r="T100">
        <v>126</v>
      </c>
      <c r="U100">
        <v>0.06</v>
      </c>
      <c r="V100">
        <v>126</v>
      </c>
      <c r="W100">
        <v>0.06</v>
      </c>
      <c r="X100">
        <v>127</v>
      </c>
      <c r="Y100">
        <v>0.05</v>
      </c>
      <c r="Z100">
        <v>760</v>
      </c>
      <c r="AA100">
        <v>0.03</v>
      </c>
    </row>
    <row r="101" spans="1:27" x14ac:dyDescent="0.25">
      <c r="A101" t="s">
        <v>33</v>
      </c>
      <c r="B101" s="44">
        <v>54473</v>
      </c>
      <c r="C101">
        <v>21.23</v>
      </c>
      <c r="D101" s="44">
        <v>48582</v>
      </c>
      <c r="E101">
        <v>20.23</v>
      </c>
      <c r="F101" s="44">
        <v>49383</v>
      </c>
      <c r="G101">
        <v>19.04</v>
      </c>
      <c r="H101" s="44">
        <v>48899</v>
      </c>
      <c r="I101">
        <v>21.7</v>
      </c>
      <c r="J101" s="44">
        <v>55191</v>
      </c>
      <c r="K101">
        <v>22.38</v>
      </c>
      <c r="L101" s="44">
        <v>57421</v>
      </c>
      <c r="M101">
        <v>24.86</v>
      </c>
      <c r="N101" s="44">
        <v>48274</v>
      </c>
      <c r="O101">
        <v>20.329999999999998</v>
      </c>
      <c r="P101" s="44">
        <v>59498</v>
      </c>
      <c r="Q101">
        <v>25.46</v>
      </c>
      <c r="R101" s="44">
        <v>48427</v>
      </c>
      <c r="S101">
        <v>19.670000000000002</v>
      </c>
      <c r="T101" s="44">
        <v>49078</v>
      </c>
      <c r="U101">
        <v>21.64</v>
      </c>
      <c r="V101" s="44">
        <v>46926</v>
      </c>
      <c r="W101">
        <v>21.88</v>
      </c>
      <c r="X101" s="44">
        <v>45826</v>
      </c>
      <c r="Y101">
        <v>18.7</v>
      </c>
      <c r="Z101" s="44">
        <v>611979</v>
      </c>
      <c r="AA101">
        <v>21.38</v>
      </c>
    </row>
    <row r="102" spans="1:27" x14ac:dyDescent="0.25">
      <c r="A102" t="s">
        <v>34</v>
      </c>
    </row>
    <row r="103" spans="1:27" x14ac:dyDescent="0.25">
      <c r="A103" t="s">
        <v>184</v>
      </c>
      <c r="B103" s="44">
        <v>43661</v>
      </c>
      <c r="C103">
        <v>17.02</v>
      </c>
      <c r="D103" s="44">
        <v>35768</v>
      </c>
      <c r="E103">
        <v>14.9</v>
      </c>
      <c r="F103" s="44">
        <v>36963</v>
      </c>
      <c r="G103">
        <v>14.25</v>
      </c>
      <c r="H103" s="44">
        <v>34129</v>
      </c>
      <c r="I103">
        <v>15.15</v>
      </c>
      <c r="J103" s="44">
        <v>35621</v>
      </c>
      <c r="K103">
        <v>14.44</v>
      </c>
      <c r="L103" s="44">
        <v>33348</v>
      </c>
      <c r="M103">
        <v>14.44</v>
      </c>
      <c r="N103" s="44">
        <v>31531</v>
      </c>
      <c r="O103">
        <v>13.28</v>
      </c>
      <c r="P103" s="44">
        <v>29560</v>
      </c>
      <c r="Q103">
        <v>12.65</v>
      </c>
      <c r="R103" s="44">
        <v>29738</v>
      </c>
      <c r="S103">
        <v>12.08</v>
      </c>
      <c r="T103" s="44">
        <v>25028</v>
      </c>
      <c r="U103">
        <v>11.04</v>
      </c>
      <c r="V103" s="44">
        <v>29128</v>
      </c>
      <c r="W103">
        <v>13.58</v>
      </c>
      <c r="X103" s="44">
        <v>32183</v>
      </c>
      <c r="Y103">
        <v>13.13</v>
      </c>
      <c r="Z103" s="44">
        <v>396658</v>
      </c>
      <c r="AA103">
        <v>13.86</v>
      </c>
    </row>
    <row r="104" spans="1:27" x14ac:dyDescent="0.25">
      <c r="A104" t="s">
        <v>185</v>
      </c>
      <c r="B104" s="44">
        <v>2748</v>
      </c>
      <c r="C104">
        <v>1.07</v>
      </c>
      <c r="D104" s="44">
        <v>1939</v>
      </c>
      <c r="E104">
        <v>0.81</v>
      </c>
      <c r="F104" s="44">
        <v>2295</v>
      </c>
      <c r="G104">
        <v>0.89</v>
      </c>
      <c r="H104" s="44">
        <v>6660</v>
      </c>
      <c r="I104">
        <v>2.96</v>
      </c>
      <c r="J104" s="44">
        <v>2256</v>
      </c>
      <c r="K104">
        <v>0.91</v>
      </c>
      <c r="L104" s="44">
        <v>4063</v>
      </c>
      <c r="M104">
        <v>1.76</v>
      </c>
      <c r="N104" s="44">
        <v>2009</v>
      </c>
      <c r="O104">
        <v>0.85</v>
      </c>
      <c r="P104" s="44">
        <v>2033</v>
      </c>
      <c r="Q104">
        <v>0.87</v>
      </c>
      <c r="R104" s="44">
        <v>1988</v>
      </c>
      <c r="S104">
        <v>0.81</v>
      </c>
      <c r="T104" s="44">
        <v>2442</v>
      </c>
      <c r="U104">
        <v>1.08</v>
      </c>
      <c r="V104" s="44">
        <v>2490</v>
      </c>
      <c r="W104">
        <v>1.1599999999999999</v>
      </c>
      <c r="X104" s="44">
        <v>6748</v>
      </c>
      <c r="Y104">
        <v>2.75</v>
      </c>
      <c r="Z104" s="44">
        <v>37669</v>
      </c>
      <c r="AA104">
        <v>1.32</v>
      </c>
    </row>
    <row r="105" spans="1:27" x14ac:dyDescent="0.25">
      <c r="A105" t="s">
        <v>186</v>
      </c>
      <c r="B105">
        <v>480</v>
      </c>
      <c r="C105">
        <v>0.19</v>
      </c>
      <c r="D105">
        <v>-833</v>
      </c>
      <c r="E105">
        <v>-0.35</v>
      </c>
      <c r="F105">
        <v>331</v>
      </c>
      <c r="G105">
        <v>0.13</v>
      </c>
      <c r="H105" s="44">
        <v>1663</v>
      </c>
      <c r="I105">
        <v>0.74</v>
      </c>
      <c r="J105" s="44">
        <v>2339</v>
      </c>
      <c r="K105">
        <v>0.95</v>
      </c>
      <c r="L105">
        <v>-871</v>
      </c>
      <c r="M105">
        <v>-0.38</v>
      </c>
      <c r="N105">
        <v>161</v>
      </c>
      <c r="O105">
        <v>7.0000000000000007E-2</v>
      </c>
      <c r="P105">
        <v>695</v>
      </c>
      <c r="Q105">
        <v>0.3</v>
      </c>
      <c r="R105">
        <v>435</v>
      </c>
      <c r="S105">
        <v>0.18</v>
      </c>
      <c r="T105" s="44">
        <v>8143</v>
      </c>
      <c r="U105">
        <v>3.59</v>
      </c>
      <c r="V105" s="44">
        <v>4568</v>
      </c>
      <c r="W105">
        <v>2.13</v>
      </c>
      <c r="X105">
        <v>894</v>
      </c>
      <c r="Y105">
        <v>0.36</v>
      </c>
      <c r="Z105" s="44">
        <v>18006</v>
      </c>
      <c r="AA105">
        <v>0.63</v>
      </c>
    </row>
    <row r="106" spans="1:27" x14ac:dyDescent="0.25">
      <c r="A106" t="s">
        <v>187</v>
      </c>
      <c r="B106" s="44">
        <v>-18713</v>
      </c>
      <c r="C106">
        <v>-7.29</v>
      </c>
      <c r="D106" s="44">
        <v>9590</v>
      </c>
      <c r="E106">
        <v>3.99</v>
      </c>
      <c r="F106" s="44">
        <v>15316</v>
      </c>
      <c r="G106">
        <v>5.91</v>
      </c>
      <c r="H106" s="44">
        <v>7535</v>
      </c>
      <c r="I106">
        <v>3.34</v>
      </c>
      <c r="J106" s="44">
        <v>17326</v>
      </c>
      <c r="K106">
        <v>7.03</v>
      </c>
      <c r="L106" s="44">
        <v>12098</v>
      </c>
      <c r="M106">
        <v>5.24</v>
      </c>
      <c r="N106" s="44">
        <v>13951</v>
      </c>
      <c r="O106">
        <v>5.87</v>
      </c>
      <c r="P106" s="44">
        <v>13405</v>
      </c>
      <c r="Q106">
        <v>5.74</v>
      </c>
      <c r="R106" s="44">
        <v>14323</v>
      </c>
      <c r="S106">
        <v>5.82</v>
      </c>
      <c r="T106" s="44">
        <v>7063</v>
      </c>
      <c r="U106">
        <v>3.11</v>
      </c>
      <c r="V106" s="44">
        <v>12788</v>
      </c>
      <c r="W106">
        <v>5.96</v>
      </c>
      <c r="X106" s="44">
        <v>15253</v>
      </c>
      <c r="Y106">
        <v>6.22</v>
      </c>
      <c r="Z106" s="44">
        <v>119935</v>
      </c>
      <c r="AA106">
        <v>4.1900000000000004</v>
      </c>
    </row>
    <row r="107" spans="1:27" x14ac:dyDescent="0.25">
      <c r="A107" t="s">
        <v>188</v>
      </c>
      <c r="B107">
        <v>545</v>
      </c>
      <c r="C107">
        <v>0.21</v>
      </c>
      <c r="D107">
        <v>0</v>
      </c>
      <c r="E107">
        <v>0</v>
      </c>
      <c r="F107">
        <v>0</v>
      </c>
      <c r="G107">
        <v>0</v>
      </c>
      <c r="H107" s="44">
        <v>1070</v>
      </c>
      <c r="I107">
        <v>0.47</v>
      </c>
      <c r="J107">
        <v>0</v>
      </c>
      <c r="K107">
        <v>0</v>
      </c>
      <c r="L107">
        <v>0</v>
      </c>
      <c r="M107">
        <v>0</v>
      </c>
      <c r="N107" s="44">
        <v>5005</v>
      </c>
      <c r="O107">
        <v>2.11</v>
      </c>
      <c r="P107">
        <v>455</v>
      </c>
      <c r="Q107">
        <v>0.19</v>
      </c>
      <c r="R107">
        <v>-440</v>
      </c>
      <c r="S107">
        <v>-0.18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s="44">
        <v>6635</v>
      </c>
      <c r="AA107">
        <v>0.23</v>
      </c>
    </row>
    <row r="108" spans="1:27" x14ac:dyDescent="0.25">
      <c r="A108" t="s">
        <v>189</v>
      </c>
      <c r="B108" s="44">
        <v>2473</v>
      </c>
      <c r="C108">
        <v>0.96</v>
      </c>
      <c r="D108" s="44">
        <v>4006</v>
      </c>
      <c r="E108">
        <v>1.67</v>
      </c>
      <c r="F108" s="44">
        <v>6772</v>
      </c>
      <c r="G108">
        <v>2.61</v>
      </c>
      <c r="H108">
        <v>-495</v>
      </c>
      <c r="I108">
        <v>-0.22</v>
      </c>
      <c r="J108" s="44">
        <v>1006</v>
      </c>
      <c r="K108">
        <v>0.41</v>
      </c>
      <c r="L108" s="44">
        <v>4932</v>
      </c>
      <c r="M108">
        <v>2.13</v>
      </c>
      <c r="N108" s="44">
        <v>3549</v>
      </c>
      <c r="O108">
        <v>1.49</v>
      </c>
      <c r="P108" s="44">
        <v>3309</v>
      </c>
      <c r="Q108">
        <v>1.42</v>
      </c>
      <c r="R108" s="44">
        <v>3410</v>
      </c>
      <c r="S108">
        <v>1.38</v>
      </c>
      <c r="T108" s="44">
        <v>-1126</v>
      </c>
      <c r="U108">
        <v>-0.5</v>
      </c>
      <c r="V108">
        <v>-307</v>
      </c>
      <c r="W108">
        <v>-0.14000000000000001</v>
      </c>
      <c r="X108" s="44">
        <v>4766</v>
      </c>
      <c r="Y108">
        <v>1.94</v>
      </c>
      <c r="Z108" s="44">
        <v>32297</v>
      </c>
      <c r="AA108">
        <v>1.1299999999999999</v>
      </c>
    </row>
    <row r="109" spans="1:27" x14ac:dyDescent="0.25">
      <c r="A109" t="s">
        <v>35</v>
      </c>
      <c r="B109" s="44">
        <v>31194</v>
      </c>
      <c r="C109">
        <v>12.16</v>
      </c>
      <c r="D109" s="44">
        <v>50470</v>
      </c>
      <c r="E109">
        <v>21.02</v>
      </c>
      <c r="F109" s="44">
        <v>61677</v>
      </c>
      <c r="G109">
        <v>23.79</v>
      </c>
      <c r="H109" s="44">
        <v>50563</v>
      </c>
      <c r="I109">
        <v>22.44</v>
      </c>
      <c r="J109" s="44">
        <v>58548</v>
      </c>
      <c r="K109">
        <v>23.74</v>
      </c>
      <c r="L109" s="44">
        <v>53571</v>
      </c>
      <c r="M109">
        <v>23.19</v>
      </c>
      <c r="N109" s="44">
        <v>56207</v>
      </c>
      <c r="O109">
        <v>23.67</v>
      </c>
      <c r="P109" s="44">
        <v>49458</v>
      </c>
      <c r="Q109">
        <v>21.16</v>
      </c>
      <c r="R109" s="44">
        <v>49454</v>
      </c>
      <c r="S109">
        <v>20.09</v>
      </c>
      <c r="T109" s="44">
        <v>41549</v>
      </c>
      <c r="U109">
        <v>18.32</v>
      </c>
      <c r="V109" s="44">
        <v>48667</v>
      </c>
      <c r="W109">
        <v>22.69</v>
      </c>
      <c r="X109" s="44">
        <v>59844</v>
      </c>
      <c r="Y109">
        <v>24.42</v>
      </c>
      <c r="Z109" s="44">
        <v>611200</v>
      </c>
      <c r="AA109">
        <v>21.35</v>
      </c>
    </row>
    <row r="110" spans="1:27" x14ac:dyDescent="0.25">
      <c r="A110" t="s">
        <v>36</v>
      </c>
    </row>
    <row r="111" spans="1:27" x14ac:dyDescent="0.25">
      <c r="A111" t="s">
        <v>190</v>
      </c>
      <c r="B111" s="44">
        <v>12143</v>
      </c>
      <c r="C111">
        <v>4.7300000000000004</v>
      </c>
      <c r="D111" s="44">
        <v>10719</v>
      </c>
      <c r="E111">
        <v>4.46</v>
      </c>
      <c r="F111" s="44">
        <v>10354</v>
      </c>
      <c r="G111">
        <v>3.99</v>
      </c>
      <c r="H111" s="44">
        <v>12475</v>
      </c>
      <c r="I111">
        <v>5.54</v>
      </c>
      <c r="J111" s="44">
        <v>12135</v>
      </c>
      <c r="K111">
        <v>4.92</v>
      </c>
      <c r="L111" s="44">
        <v>12059</v>
      </c>
      <c r="M111">
        <v>5.22</v>
      </c>
      <c r="N111" s="44">
        <v>11541</v>
      </c>
      <c r="O111">
        <v>4.8600000000000003</v>
      </c>
      <c r="P111" s="44">
        <v>12268</v>
      </c>
      <c r="Q111">
        <v>5.25</v>
      </c>
      <c r="R111" s="44">
        <v>10491</v>
      </c>
      <c r="S111">
        <v>4.26</v>
      </c>
      <c r="T111" s="44">
        <v>12133</v>
      </c>
      <c r="U111">
        <v>5.35</v>
      </c>
      <c r="V111" s="44">
        <v>10847</v>
      </c>
      <c r="W111">
        <v>5.0599999999999996</v>
      </c>
      <c r="X111" s="44">
        <v>23449</v>
      </c>
      <c r="Y111">
        <v>9.57</v>
      </c>
      <c r="Z111" s="44">
        <v>150615</v>
      </c>
      <c r="AA111">
        <v>5.26</v>
      </c>
    </row>
    <row r="112" spans="1:27" x14ac:dyDescent="0.25">
      <c r="A112" t="s">
        <v>191</v>
      </c>
      <c r="B112" s="44">
        <v>6021</v>
      </c>
      <c r="C112">
        <v>2.35</v>
      </c>
      <c r="D112" s="44">
        <v>6629</v>
      </c>
      <c r="E112">
        <v>2.76</v>
      </c>
      <c r="F112" s="44">
        <v>9495</v>
      </c>
      <c r="G112">
        <v>3.66</v>
      </c>
      <c r="H112" s="44">
        <v>7342</v>
      </c>
      <c r="I112">
        <v>3.26</v>
      </c>
      <c r="J112" s="44">
        <v>7915</v>
      </c>
      <c r="K112">
        <v>3.21</v>
      </c>
      <c r="L112" s="44">
        <v>11168</v>
      </c>
      <c r="M112">
        <v>4.83</v>
      </c>
      <c r="N112" s="44">
        <v>6978</v>
      </c>
      <c r="O112">
        <v>2.94</v>
      </c>
      <c r="P112" s="44">
        <v>9585</v>
      </c>
      <c r="Q112">
        <v>4.0999999999999996</v>
      </c>
      <c r="R112" s="44">
        <v>9165</v>
      </c>
      <c r="S112">
        <v>3.72</v>
      </c>
      <c r="T112" s="44">
        <v>9333</v>
      </c>
      <c r="U112">
        <v>4.12</v>
      </c>
      <c r="V112" s="44">
        <v>8737</v>
      </c>
      <c r="W112">
        <v>4.07</v>
      </c>
      <c r="X112" s="44">
        <v>8725</v>
      </c>
      <c r="Y112">
        <v>3.56</v>
      </c>
      <c r="Z112" s="44">
        <v>101094</v>
      </c>
      <c r="AA112">
        <v>3.53</v>
      </c>
    </row>
    <row r="113" spans="1:27" x14ac:dyDescent="0.25">
      <c r="A113" t="s">
        <v>192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193</v>
      </c>
      <c r="B114">
        <v>850</v>
      </c>
      <c r="C114">
        <v>0.33</v>
      </c>
      <c r="D114">
        <v>850</v>
      </c>
      <c r="E114">
        <v>0.35</v>
      </c>
      <c r="F114">
        <v>850</v>
      </c>
      <c r="G114">
        <v>0.33</v>
      </c>
      <c r="H114" s="44">
        <v>1942</v>
      </c>
      <c r="I114">
        <v>0.86</v>
      </c>
      <c r="J114">
        <v>850</v>
      </c>
      <c r="K114">
        <v>0.34</v>
      </c>
      <c r="L114">
        <v>850</v>
      </c>
      <c r="M114">
        <v>0.37</v>
      </c>
      <c r="N114">
        <v>850</v>
      </c>
      <c r="O114">
        <v>0.36</v>
      </c>
      <c r="P114">
        <v>850</v>
      </c>
      <c r="Q114">
        <v>0.36</v>
      </c>
      <c r="R114">
        <v>850</v>
      </c>
      <c r="S114">
        <v>0.35</v>
      </c>
      <c r="T114">
        <v>850</v>
      </c>
      <c r="U114">
        <v>0.37</v>
      </c>
      <c r="V114">
        <v>850</v>
      </c>
      <c r="W114">
        <v>0.4</v>
      </c>
      <c r="X114">
        <v>850</v>
      </c>
      <c r="Y114">
        <v>0.35</v>
      </c>
      <c r="Z114" s="44">
        <v>11292</v>
      </c>
      <c r="AA114">
        <v>0.39</v>
      </c>
    </row>
    <row r="115" spans="1:27" x14ac:dyDescent="0.25">
      <c r="A115" t="s">
        <v>194</v>
      </c>
      <c r="B115" s="44">
        <v>5665</v>
      </c>
      <c r="C115">
        <v>2.21</v>
      </c>
      <c r="D115">
        <v>0</v>
      </c>
      <c r="E115">
        <v>0</v>
      </c>
      <c r="F115">
        <v>0</v>
      </c>
      <c r="G115">
        <v>0</v>
      </c>
      <c r="H115" s="44">
        <v>16995</v>
      </c>
      <c r="I115">
        <v>7.54</v>
      </c>
      <c r="J115" s="44">
        <v>5665</v>
      </c>
      <c r="K115">
        <v>2.2999999999999998</v>
      </c>
      <c r="L115" s="44">
        <v>5665</v>
      </c>
      <c r="M115">
        <v>2.4500000000000002</v>
      </c>
      <c r="N115" s="44">
        <v>6165</v>
      </c>
      <c r="O115">
        <v>2.6</v>
      </c>
      <c r="P115" s="44">
        <v>5665</v>
      </c>
      <c r="Q115">
        <v>2.42</v>
      </c>
      <c r="R115" s="44">
        <v>5665</v>
      </c>
      <c r="S115">
        <v>2.2999999999999998</v>
      </c>
      <c r="T115" s="44">
        <v>5665</v>
      </c>
      <c r="U115">
        <v>2.5</v>
      </c>
      <c r="V115" s="44">
        <v>5665</v>
      </c>
      <c r="W115">
        <v>2.64</v>
      </c>
      <c r="X115" s="44">
        <v>5665</v>
      </c>
      <c r="Y115">
        <v>2.31</v>
      </c>
      <c r="Z115" s="44">
        <v>68480</v>
      </c>
      <c r="AA115">
        <v>2.39</v>
      </c>
    </row>
    <row r="116" spans="1:27" x14ac:dyDescent="0.25">
      <c r="A116" t="s">
        <v>195</v>
      </c>
      <c r="B116" s="44">
        <v>1269</v>
      </c>
      <c r="C116">
        <v>0.49</v>
      </c>
      <c r="D116" s="44">
        <v>1041</v>
      </c>
      <c r="E116">
        <v>0.43</v>
      </c>
      <c r="F116">
        <v>804</v>
      </c>
      <c r="G116">
        <v>0.31</v>
      </c>
      <c r="H116" s="44">
        <v>1128</v>
      </c>
      <c r="I116">
        <v>0.5</v>
      </c>
      <c r="J116">
        <v>852</v>
      </c>
      <c r="K116">
        <v>0.35</v>
      </c>
      <c r="L116">
        <v>814</v>
      </c>
      <c r="M116">
        <v>0.35</v>
      </c>
      <c r="N116" s="44">
        <v>1956</v>
      </c>
      <c r="O116">
        <v>0.82</v>
      </c>
      <c r="P116">
        <v>767</v>
      </c>
      <c r="Q116">
        <v>0.33</v>
      </c>
      <c r="R116">
        <v>749</v>
      </c>
      <c r="S116">
        <v>0.3</v>
      </c>
      <c r="T116">
        <v>899</v>
      </c>
      <c r="U116">
        <v>0.4</v>
      </c>
      <c r="V116">
        <v>476</v>
      </c>
      <c r="W116">
        <v>0.22</v>
      </c>
      <c r="X116">
        <v>955</v>
      </c>
      <c r="Y116">
        <v>0.39</v>
      </c>
      <c r="Z116" s="44">
        <v>11708</v>
      </c>
      <c r="AA116">
        <v>0.41</v>
      </c>
    </row>
    <row r="117" spans="1:27" x14ac:dyDescent="0.25">
      <c r="A117" t="s">
        <v>196</v>
      </c>
      <c r="B117" s="44">
        <v>1449</v>
      </c>
      <c r="C117">
        <v>0.56000000000000005</v>
      </c>
      <c r="D117" s="44">
        <v>1216</v>
      </c>
      <c r="E117">
        <v>0.51</v>
      </c>
      <c r="F117" s="44">
        <v>1056</v>
      </c>
      <c r="G117">
        <v>0.41</v>
      </c>
      <c r="H117" s="44">
        <v>1298</v>
      </c>
      <c r="I117">
        <v>0.57999999999999996</v>
      </c>
      <c r="J117">
        <v>769</v>
      </c>
      <c r="K117">
        <v>0.31</v>
      </c>
      <c r="L117" s="44">
        <v>1138</v>
      </c>
      <c r="M117">
        <v>0.49</v>
      </c>
      <c r="N117">
        <v>986</v>
      </c>
      <c r="O117">
        <v>0.42</v>
      </c>
      <c r="P117" s="44">
        <v>10706</v>
      </c>
      <c r="Q117">
        <v>4.58</v>
      </c>
      <c r="R117" s="44">
        <v>4629</v>
      </c>
      <c r="S117">
        <v>1.88</v>
      </c>
      <c r="T117" s="44">
        <v>3651</v>
      </c>
      <c r="U117">
        <v>1.61</v>
      </c>
      <c r="V117" s="44">
        <v>1326</v>
      </c>
      <c r="W117">
        <v>0.62</v>
      </c>
      <c r="X117" s="44">
        <v>1497</v>
      </c>
      <c r="Y117">
        <v>0.61</v>
      </c>
      <c r="Z117" s="44">
        <v>29720</v>
      </c>
      <c r="AA117">
        <v>1.04</v>
      </c>
    </row>
    <row r="118" spans="1:27" x14ac:dyDescent="0.25">
      <c r="A118" t="s">
        <v>197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198</v>
      </c>
      <c r="B119">
        <v>359</v>
      </c>
      <c r="C119">
        <v>0.14000000000000001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195</v>
      </c>
      <c r="U119">
        <v>0.09</v>
      </c>
      <c r="V119">
        <v>0</v>
      </c>
      <c r="W119">
        <v>0</v>
      </c>
      <c r="X119">
        <v>177</v>
      </c>
      <c r="Y119">
        <v>7.0000000000000007E-2</v>
      </c>
      <c r="Z119">
        <v>731</v>
      </c>
      <c r="AA119">
        <v>0.03</v>
      </c>
    </row>
    <row r="120" spans="1:27" x14ac:dyDescent="0.25">
      <c r="A120" t="s">
        <v>199</v>
      </c>
      <c r="B120" s="44">
        <v>1910</v>
      </c>
      <c r="C120">
        <v>0.74</v>
      </c>
      <c r="D120" s="44">
        <v>2589</v>
      </c>
      <c r="E120">
        <v>1.08</v>
      </c>
      <c r="F120" s="44">
        <v>2171</v>
      </c>
      <c r="G120">
        <v>0.84</v>
      </c>
      <c r="H120" s="44">
        <v>2121</v>
      </c>
      <c r="I120">
        <v>0.94</v>
      </c>
      <c r="J120" s="44">
        <v>1871</v>
      </c>
      <c r="K120">
        <v>0.76</v>
      </c>
      <c r="L120" s="44">
        <v>2376</v>
      </c>
      <c r="M120">
        <v>1.03</v>
      </c>
      <c r="N120" s="44">
        <v>2250</v>
      </c>
      <c r="O120">
        <v>0.95</v>
      </c>
      <c r="P120" s="44">
        <v>1735</v>
      </c>
      <c r="Q120">
        <v>0.74</v>
      </c>
      <c r="R120" s="44">
        <v>2576</v>
      </c>
      <c r="S120">
        <v>1.05</v>
      </c>
      <c r="T120" s="44">
        <v>1389</v>
      </c>
      <c r="U120">
        <v>0.61</v>
      </c>
      <c r="V120" s="44">
        <v>2967</v>
      </c>
      <c r="W120">
        <v>1.38</v>
      </c>
      <c r="X120" s="44">
        <v>2178</v>
      </c>
      <c r="Y120">
        <v>0.89</v>
      </c>
      <c r="Z120" s="44">
        <v>26134</v>
      </c>
      <c r="AA120">
        <v>0.91</v>
      </c>
    </row>
    <row r="121" spans="1:27" x14ac:dyDescent="0.25">
      <c r="A121" t="s">
        <v>200</v>
      </c>
      <c r="B121" s="44">
        <v>1324</v>
      </c>
      <c r="C121">
        <v>0.52</v>
      </c>
      <c r="D121" s="44">
        <v>3207</v>
      </c>
      <c r="E121">
        <v>1.34</v>
      </c>
      <c r="F121" s="44">
        <v>11293</v>
      </c>
      <c r="G121">
        <v>4.3600000000000003</v>
      </c>
      <c r="H121" s="44">
        <v>1207</v>
      </c>
      <c r="I121">
        <v>0.54</v>
      </c>
      <c r="J121" s="44">
        <v>1341</v>
      </c>
      <c r="K121">
        <v>0.54</v>
      </c>
      <c r="L121" s="44">
        <v>5718</v>
      </c>
      <c r="M121">
        <v>2.48</v>
      </c>
      <c r="N121" s="44">
        <v>1458</v>
      </c>
      <c r="O121">
        <v>0.61</v>
      </c>
      <c r="P121" s="44">
        <v>1341</v>
      </c>
      <c r="Q121">
        <v>0.56999999999999995</v>
      </c>
      <c r="R121" s="44">
        <v>1341</v>
      </c>
      <c r="S121">
        <v>0.54</v>
      </c>
      <c r="T121" s="44">
        <v>1509</v>
      </c>
      <c r="U121">
        <v>0.67</v>
      </c>
      <c r="V121" s="44">
        <v>1341</v>
      </c>
      <c r="W121">
        <v>0.63</v>
      </c>
      <c r="X121" s="44">
        <v>1341</v>
      </c>
      <c r="Y121">
        <v>0.55000000000000004</v>
      </c>
      <c r="Z121" s="44">
        <v>32420</v>
      </c>
      <c r="AA121">
        <v>1.1299999999999999</v>
      </c>
    </row>
    <row r="122" spans="1:27" x14ac:dyDescent="0.25">
      <c r="A122" t="s">
        <v>201</v>
      </c>
      <c r="B122" s="44">
        <v>1539</v>
      </c>
      <c r="C122">
        <v>0.6</v>
      </c>
      <c r="D122" s="44">
        <v>1577</v>
      </c>
      <c r="E122">
        <v>0.66</v>
      </c>
      <c r="F122" s="44">
        <v>1742</v>
      </c>
      <c r="G122">
        <v>0.67</v>
      </c>
      <c r="H122" s="44">
        <v>1466</v>
      </c>
      <c r="I122">
        <v>0.65</v>
      </c>
      <c r="J122" s="44">
        <v>1494</v>
      </c>
      <c r="K122">
        <v>0.61</v>
      </c>
      <c r="L122" s="44">
        <v>1390</v>
      </c>
      <c r="M122">
        <v>0.6</v>
      </c>
      <c r="N122" s="44">
        <v>2088</v>
      </c>
      <c r="O122">
        <v>0.88</v>
      </c>
      <c r="P122" s="44">
        <v>1205</v>
      </c>
      <c r="Q122">
        <v>0.52</v>
      </c>
      <c r="R122" s="44">
        <v>1693</v>
      </c>
      <c r="S122">
        <v>0.69</v>
      </c>
      <c r="T122">
        <v>33</v>
      </c>
      <c r="U122">
        <v>0.01</v>
      </c>
      <c r="V122">
        <v>885</v>
      </c>
      <c r="W122">
        <v>0.41</v>
      </c>
      <c r="X122" s="44">
        <v>1200</v>
      </c>
      <c r="Y122">
        <v>0.49</v>
      </c>
      <c r="Z122" s="44">
        <v>16311</v>
      </c>
      <c r="AA122">
        <v>0.56999999999999995</v>
      </c>
    </row>
    <row r="123" spans="1:27" x14ac:dyDescent="0.25">
      <c r="A123" t="s">
        <v>202</v>
      </c>
      <c r="B123" s="44">
        <v>1676</v>
      </c>
      <c r="C123">
        <v>0.65</v>
      </c>
      <c r="D123" s="44">
        <v>1819</v>
      </c>
      <c r="E123">
        <v>0.76</v>
      </c>
      <c r="F123" s="44">
        <v>1578</v>
      </c>
      <c r="G123">
        <v>0.61</v>
      </c>
      <c r="H123" s="44">
        <v>1549</v>
      </c>
      <c r="I123">
        <v>0.69</v>
      </c>
      <c r="J123" s="44">
        <v>1625</v>
      </c>
      <c r="K123">
        <v>0.66</v>
      </c>
      <c r="L123" s="44">
        <v>1278</v>
      </c>
      <c r="M123">
        <v>0.55000000000000004</v>
      </c>
      <c r="N123" s="44">
        <v>1275</v>
      </c>
      <c r="O123">
        <v>0.54</v>
      </c>
      <c r="P123" s="44">
        <v>1656</v>
      </c>
      <c r="Q123">
        <v>0.71</v>
      </c>
      <c r="R123">
        <v>956</v>
      </c>
      <c r="S123">
        <v>0.39</v>
      </c>
      <c r="T123" s="44">
        <v>1431</v>
      </c>
      <c r="U123">
        <v>0.63</v>
      </c>
      <c r="V123" s="44">
        <v>1249</v>
      </c>
      <c r="W123">
        <v>0.57999999999999996</v>
      </c>
      <c r="X123" s="44">
        <v>1013</v>
      </c>
      <c r="Y123">
        <v>0.41</v>
      </c>
      <c r="Z123" s="44">
        <v>17106</v>
      </c>
      <c r="AA123">
        <v>0.6</v>
      </c>
    </row>
    <row r="124" spans="1:27" x14ac:dyDescent="0.25">
      <c r="A124" t="s">
        <v>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 t="s">
        <v>204</v>
      </c>
      <c r="B125">
        <v>944</v>
      </c>
      <c r="C125">
        <v>0.37</v>
      </c>
      <c r="D125">
        <v>232</v>
      </c>
      <c r="E125">
        <v>0.1</v>
      </c>
      <c r="F125">
        <v>751</v>
      </c>
      <c r="G125">
        <v>0.28999999999999998</v>
      </c>
      <c r="H125">
        <v>753</v>
      </c>
      <c r="I125">
        <v>0.33</v>
      </c>
      <c r="J125">
        <v>42</v>
      </c>
      <c r="K125">
        <v>0.02</v>
      </c>
      <c r="L125">
        <v>740</v>
      </c>
      <c r="M125">
        <v>0.32</v>
      </c>
      <c r="N125">
        <v>230</v>
      </c>
      <c r="O125">
        <v>0.1</v>
      </c>
      <c r="P125">
        <v>217</v>
      </c>
      <c r="Q125">
        <v>0.09</v>
      </c>
      <c r="R125">
        <v>946</v>
      </c>
      <c r="S125">
        <v>0.38</v>
      </c>
      <c r="T125">
        <v>753</v>
      </c>
      <c r="U125">
        <v>0.33</v>
      </c>
      <c r="V125">
        <v>740</v>
      </c>
      <c r="W125">
        <v>0.35</v>
      </c>
      <c r="X125">
        <v>216</v>
      </c>
      <c r="Y125">
        <v>0.09</v>
      </c>
      <c r="Z125" s="44">
        <v>6563</v>
      </c>
      <c r="AA125">
        <v>0.23</v>
      </c>
    </row>
    <row r="126" spans="1:27" x14ac:dyDescent="0.25">
      <c r="A126" t="s">
        <v>205</v>
      </c>
      <c r="B126" s="44">
        <v>48720</v>
      </c>
      <c r="C126">
        <v>18.989999999999998</v>
      </c>
      <c r="D126" s="44">
        <v>42893</v>
      </c>
      <c r="E126">
        <v>17.86</v>
      </c>
      <c r="F126" s="44">
        <v>49157</v>
      </c>
      <c r="G126">
        <v>18.96</v>
      </c>
      <c r="H126" s="44">
        <v>41701</v>
      </c>
      <c r="I126">
        <v>18.510000000000002</v>
      </c>
      <c r="J126" s="44">
        <v>45066</v>
      </c>
      <c r="K126">
        <v>18.27</v>
      </c>
      <c r="L126" s="44">
        <v>38273</v>
      </c>
      <c r="M126">
        <v>16.57</v>
      </c>
      <c r="N126" s="44">
        <v>43789</v>
      </c>
      <c r="O126">
        <v>18.440000000000001</v>
      </c>
      <c r="P126" s="44">
        <v>43332</v>
      </c>
      <c r="Q126">
        <v>18.54</v>
      </c>
      <c r="R126" s="44">
        <v>44923</v>
      </c>
      <c r="S126">
        <v>18.25</v>
      </c>
      <c r="T126" s="44">
        <v>39374</v>
      </c>
      <c r="U126">
        <v>17.36</v>
      </c>
      <c r="V126" s="44">
        <v>36912</v>
      </c>
      <c r="W126">
        <v>17.21</v>
      </c>
      <c r="X126" s="44">
        <v>44297</v>
      </c>
      <c r="Y126">
        <v>18.07</v>
      </c>
      <c r="Z126" s="44">
        <v>518437</v>
      </c>
      <c r="AA126">
        <v>18.11</v>
      </c>
    </row>
    <row r="127" spans="1:27" x14ac:dyDescent="0.25">
      <c r="A127" t="s">
        <v>206</v>
      </c>
      <c r="B127" s="44">
        <v>13078</v>
      </c>
      <c r="C127">
        <v>5.0999999999999996</v>
      </c>
      <c r="D127" s="44">
        <v>11778</v>
      </c>
      <c r="E127">
        <v>4.91</v>
      </c>
      <c r="F127" s="44">
        <v>12858</v>
      </c>
      <c r="G127">
        <v>4.96</v>
      </c>
      <c r="H127" s="44">
        <v>11778</v>
      </c>
      <c r="I127">
        <v>5.23</v>
      </c>
      <c r="J127" s="44">
        <v>12063</v>
      </c>
      <c r="K127">
        <v>4.8899999999999997</v>
      </c>
      <c r="L127" s="44">
        <v>11932</v>
      </c>
      <c r="M127">
        <v>5.17</v>
      </c>
      <c r="N127" s="44">
        <v>14788</v>
      </c>
      <c r="O127">
        <v>6.23</v>
      </c>
      <c r="P127" s="44">
        <v>11801</v>
      </c>
      <c r="Q127">
        <v>5.05</v>
      </c>
      <c r="R127" s="44">
        <v>11932</v>
      </c>
      <c r="S127">
        <v>4.8499999999999996</v>
      </c>
      <c r="T127" s="44">
        <v>11973</v>
      </c>
      <c r="U127">
        <v>5.28</v>
      </c>
      <c r="V127" s="44">
        <v>11973</v>
      </c>
      <c r="W127">
        <v>5.58</v>
      </c>
      <c r="X127" s="44">
        <v>11973</v>
      </c>
      <c r="Y127">
        <v>4.88</v>
      </c>
      <c r="Z127" s="44">
        <v>147928</v>
      </c>
      <c r="AA127">
        <v>5.17</v>
      </c>
    </row>
    <row r="128" spans="1:27" x14ac:dyDescent="0.25">
      <c r="A128" t="s">
        <v>207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151</v>
      </c>
      <c r="I128">
        <v>7.0000000000000007E-2</v>
      </c>
      <c r="J128">
        <v>0</v>
      </c>
      <c r="K128">
        <v>0</v>
      </c>
      <c r="L128">
        <v>975</v>
      </c>
      <c r="M128">
        <v>0.42</v>
      </c>
      <c r="N128" s="44">
        <v>1763</v>
      </c>
      <c r="O128">
        <v>0.74</v>
      </c>
      <c r="P128">
        <v>0</v>
      </c>
      <c r="Q128">
        <v>0</v>
      </c>
      <c r="R128" s="44">
        <v>4343</v>
      </c>
      <c r="S128">
        <v>1.76</v>
      </c>
      <c r="T128" s="44">
        <v>4759</v>
      </c>
      <c r="U128">
        <v>2.1</v>
      </c>
      <c r="V128" s="44">
        <v>6427</v>
      </c>
      <c r="W128">
        <v>3</v>
      </c>
      <c r="X128" s="44">
        <v>20945</v>
      </c>
      <c r="Y128">
        <v>8.5500000000000007</v>
      </c>
      <c r="Z128" s="44">
        <v>39364</v>
      </c>
      <c r="AA128">
        <v>1.38</v>
      </c>
    </row>
    <row r="129" spans="1:27" x14ac:dyDescent="0.25">
      <c r="A129" t="s">
        <v>208</v>
      </c>
      <c r="B129" s="44">
        <v>5495</v>
      </c>
      <c r="C129">
        <v>2.14</v>
      </c>
      <c r="D129" s="44">
        <v>6629</v>
      </c>
      <c r="E129">
        <v>2.76</v>
      </c>
      <c r="F129" s="44">
        <v>5826</v>
      </c>
      <c r="G129">
        <v>2.25</v>
      </c>
      <c r="H129" s="44">
        <v>9278</v>
      </c>
      <c r="I129">
        <v>4.12</v>
      </c>
      <c r="J129" s="44">
        <v>5658</v>
      </c>
      <c r="K129">
        <v>2.29</v>
      </c>
      <c r="L129" s="44">
        <v>3987</v>
      </c>
      <c r="M129">
        <v>1.73</v>
      </c>
      <c r="N129" s="44">
        <v>5035</v>
      </c>
      <c r="O129">
        <v>2.12</v>
      </c>
      <c r="P129" s="44">
        <v>4099</v>
      </c>
      <c r="Q129">
        <v>1.75</v>
      </c>
      <c r="R129" s="44">
        <v>6327</v>
      </c>
      <c r="S129">
        <v>2.57</v>
      </c>
      <c r="T129" s="44">
        <v>5424</v>
      </c>
      <c r="U129">
        <v>2.39</v>
      </c>
      <c r="V129" s="44">
        <v>2573</v>
      </c>
      <c r="W129">
        <v>1.2</v>
      </c>
      <c r="X129" s="44">
        <v>4953</v>
      </c>
      <c r="Y129">
        <v>2.02</v>
      </c>
      <c r="Z129" s="44">
        <v>65284</v>
      </c>
      <c r="AA129">
        <v>2.2799999999999998</v>
      </c>
    </row>
    <row r="130" spans="1:27" x14ac:dyDescent="0.25">
      <c r="A130" t="s">
        <v>209</v>
      </c>
      <c r="B130" s="44">
        <v>6283</v>
      </c>
      <c r="C130">
        <v>2.4500000000000002</v>
      </c>
      <c r="D130" s="44">
        <v>10616</v>
      </c>
      <c r="E130">
        <v>4.42</v>
      </c>
      <c r="F130" s="44">
        <v>9500</v>
      </c>
      <c r="G130">
        <v>3.66</v>
      </c>
      <c r="H130" s="44">
        <v>10662</v>
      </c>
      <c r="I130">
        <v>4.7300000000000004</v>
      </c>
      <c r="J130" s="44">
        <v>8944</v>
      </c>
      <c r="K130">
        <v>3.63</v>
      </c>
      <c r="L130" s="44">
        <v>9542</v>
      </c>
      <c r="M130">
        <v>4.13</v>
      </c>
      <c r="N130" s="44">
        <v>10146</v>
      </c>
      <c r="O130">
        <v>4.2699999999999996</v>
      </c>
      <c r="P130" s="44">
        <v>10289</v>
      </c>
      <c r="Q130">
        <v>4.4000000000000004</v>
      </c>
      <c r="R130" s="44">
        <v>9470</v>
      </c>
      <c r="S130">
        <v>3.85</v>
      </c>
      <c r="T130" s="44">
        <v>11812</v>
      </c>
      <c r="U130">
        <v>5.21</v>
      </c>
      <c r="V130" s="44">
        <v>10485</v>
      </c>
      <c r="W130">
        <v>4.8899999999999997</v>
      </c>
      <c r="X130" s="44">
        <v>11991</v>
      </c>
      <c r="Y130">
        <v>4.8899999999999997</v>
      </c>
      <c r="Z130" s="44">
        <v>119742</v>
      </c>
      <c r="AA130">
        <v>4.18</v>
      </c>
    </row>
    <row r="131" spans="1:27" x14ac:dyDescent="0.25">
      <c r="A131" t="s">
        <v>210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211</v>
      </c>
      <c r="B132">
        <v>85</v>
      </c>
      <c r="C132">
        <v>0.03</v>
      </c>
      <c r="D132">
        <v>233</v>
      </c>
      <c r="E132">
        <v>0.1</v>
      </c>
      <c r="F132" s="44">
        <v>9807</v>
      </c>
      <c r="G132">
        <v>3.78</v>
      </c>
      <c r="H132">
        <v>8</v>
      </c>
      <c r="I132">
        <v>0</v>
      </c>
      <c r="J132" s="44">
        <v>1843</v>
      </c>
      <c r="K132">
        <v>0.75</v>
      </c>
      <c r="L132" s="44">
        <v>20091</v>
      </c>
      <c r="M132">
        <v>8.6999999999999993</v>
      </c>
      <c r="N132">
        <v>890</v>
      </c>
      <c r="O132">
        <v>0.37</v>
      </c>
      <c r="P132">
        <v>65</v>
      </c>
      <c r="Q132">
        <v>0.03</v>
      </c>
      <c r="R132" s="44">
        <v>2904</v>
      </c>
      <c r="S132">
        <v>1.18</v>
      </c>
      <c r="T132" s="44">
        <v>2181</v>
      </c>
      <c r="U132">
        <v>0.96</v>
      </c>
      <c r="V132" s="44">
        <v>8148</v>
      </c>
      <c r="W132">
        <v>3.8</v>
      </c>
      <c r="X132">
        <v>213</v>
      </c>
      <c r="Y132">
        <v>0.09</v>
      </c>
      <c r="Z132" s="44">
        <v>46467</v>
      </c>
      <c r="AA132">
        <v>1.62</v>
      </c>
    </row>
    <row r="133" spans="1:27" x14ac:dyDescent="0.25">
      <c r="A133" t="s">
        <v>212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 t="s">
        <v>213</v>
      </c>
      <c r="B134" s="44">
        <v>34829</v>
      </c>
      <c r="C134">
        <v>13.57</v>
      </c>
      <c r="D134" s="44">
        <v>42403</v>
      </c>
      <c r="E134">
        <v>17.66</v>
      </c>
      <c r="F134" s="44">
        <v>42806</v>
      </c>
      <c r="G134">
        <v>16.510000000000002</v>
      </c>
      <c r="H134" s="44">
        <v>41350</v>
      </c>
      <c r="I134">
        <v>18.350000000000001</v>
      </c>
      <c r="J134" s="44">
        <v>39984</v>
      </c>
      <c r="K134">
        <v>16.21</v>
      </c>
      <c r="L134" s="44">
        <v>37341</v>
      </c>
      <c r="M134">
        <v>16.16</v>
      </c>
      <c r="N134" s="44">
        <v>38909</v>
      </c>
      <c r="O134">
        <v>16.38</v>
      </c>
      <c r="P134" s="44">
        <v>35750</v>
      </c>
      <c r="Q134">
        <v>15.3</v>
      </c>
      <c r="R134" s="44">
        <v>40454</v>
      </c>
      <c r="S134">
        <v>16.43</v>
      </c>
      <c r="T134" s="44">
        <v>38909</v>
      </c>
      <c r="U134">
        <v>17.16</v>
      </c>
      <c r="V134" s="44">
        <v>38259</v>
      </c>
      <c r="W134">
        <v>17.84</v>
      </c>
      <c r="X134" s="44">
        <v>38147</v>
      </c>
      <c r="Y134">
        <v>15.56</v>
      </c>
      <c r="Z134" s="44">
        <v>469141</v>
      </c>
      <c r="AA134">
        <v>16.39</v>
      </c>
    </row>
    <row r="135" spans="1:27" x14ac:dyDescent="0.25">
      <c r="A135" t="s">
        <v>214</v>
      </c>
      <c r="B135" s="44">
        <v>19068</v>
      </c>
      <c r="C135">
        <v>7.43</v>
      </c>
      <c r="D135" s="44">
        <v>16659</v>
      </c>
      <c r="E135">
        <v>6.94</v>
      </c>
      <c r="F135" s="44">
        <v>19039</v>
      </c>
      <c r="G135">
        <v>7.34</v>
      </c>
      <c r="H135" s="44">
        <v>16351</v>
      </c>
      <c r="I135">
        <v>7.26</v>
      </c>
      <c r="J135" s="44">
        <v>17593</v>
      </c>
      <c r="K135">
        <v>7.13</v>
      </c>
      <c r="L135" s="44">
        <v>16330</v>
      </c>
      <c r="M135">
        <v>7.07</v>
      </c>
      <c r="N135" s="44">
        <v>17164</v>
      </c>
      <c r="O135">
        <v>7.23</v>
      </c>
      <c r="P135" s="44">
        <v>16932</v>
      </c>
      <c r="Q135">
        <v>7.25</v>
      </c>
      <c r="R135" s="44">
        <v>17619</v>
      </c>
      <c r="S135">
        <v>7.16</v>
      </c>
      <c r="T135" s="44">
        <v>15381</v>
      </c>
      <c r="U135">
        <v>6.78</v>
      </c>
      <c r="V135" s="44">
        <v>14396</v>
      </c>
      <c r="W135">
        <v>6.71</v>
      </c>
      <c r="X135" s="44">
        <v>17385</v>
      </c>
      <c r="Y135">
        <v>7.09</v>
      </c>
      <c r="Z135" s="44">
        <v>203915</v>
      </c>
      <c r="AA135">
        <v>7.12</v>
      </c>
    </row>
    <row r="136" spans="1:27" x14ac:dyDescent="0.25">
      <c r="A136" t="s">
        <v>37</v>
      </c>
      <c r="B136" s="44">
        <v>162706</v>
      </c>
      <c r="C136">
        <v>63.41</v>
      </c>
      <c r="D136" s="44">
        <v>161090</v>
      </c>
      <c r="E136">
        <v>67.09</v>
      </c>
      <c r="F136" s="44">
        <v>189086</v>
      </c>
      <c r="G136">
        <v>72.92</v>
      </c>
      <c r="H136" s="44">
        <v>179555</v>
      </c>
      <c r="I136">
        <v>79.7</v>
      </c>
      <c r="J136" s="44">
        <v>165708</v>
      </c>
      <c r="K136">
        <v>67.2</v>
      </c>
      <c r="L136" s="44">
        <v>181669</v>
      </c>
      <c r="M136">
        <v>78.64</v>
      </c>
      <c r="N136" s="44">
        <v>168263</v>
      </c>
      <c r="O136">
        <v>70.849999999999994</v>
      </c>
      <c r="P136" s="44">
        <v>168263</v>
      </c>
      <c r="Q136">
        <v>72</v>
      </c>
      <c r="R136" s="44">
        <v>177035</v>
      </c>
      <c r="S136">
        <v>71.91</v>
      </c>
      <c r="T136" s="44">
        <v>167655</v>
      </c>
      <c r="U136">
        <v>73.92</v>
      </c>
      <c r="V136" s="44">
        <v>164255</v>
      </c>
      <c r="W136">
        <v>76.58</v>
      </c>
      <c r="X136" s="44">
        <v>197169</v>
      </c>
      <c r="Y136">
        <v>80.44</v>
      </c>
      <c r="Z136" s="44">
        <v>2082453</v>
      </c>
      <c r="AA136">
        <v>72.739999999999995</v>
      </c>
    </row>
    <row r="137" spans="1:27" x14ac:dyDescent="0.25">
      <c r="A137" t="s">
        <v>38</v>
      </c>
    </row>
    <row r="138" spans="1:27" x14ac:dyDescent="0.25">
      <c r="A138" t="s">
        <v>215</v>
      </c>
      <c r="B138" s="44">
        <v>59682</v>
      </c>
      <c r="C138">
        <v>23.26</v>
      </c>
      <c r="D138" s="44">
        <v>59682</v>
      </c>
      <c r="E138">
        <v>24.86</v>
      </c>
      <c r="F138" s="44">
        <v>59682</v>
      </c>
      <c r="G138">
        <v>23.02</v>
      </c>
      <c r="H138" s="44">
        <v>59682</v>
      </c>
      <c r="I138">
        <v>26.49</v>
      </c>
      <c r="J138" s="44">
        <v>59682</v>
      </c>
      <c r="K138">
        <v>24.2</v>
      </c>
      <c r="L138" s="44">
        <v>59682</v>
      </c>
      <c r="M138">
        <v>25.84</v>
      </c>
      <c r="N138" s="44">
        <v>60312</v>
      </c>
      <c r="O138">
        <v>25.39</v>
      </c>
      <c r="P138" s="44">
        <v>61473</v>
      </c>
      <c r="Q138">
        <v>26.3</v>
      </c>
      <c r="R138" s="44">
        <v>61473</v>
      </c>
      <c r="S138">
        <v>24.97</v>
      </c>
      <c r="T138" s="44">
        <v>54545</v>
      </c>
      <c r="U138">
        <v>24.05</v>
      </c>
      <c r="V138" s="44">
        <v>54545</v>
      </c>
      <c r="W138">
        <v>25.43</v>
      </c>
      <c r="X138" s="44">
        <v>54545</v>
      </c>
      <c r="Y138">
        <v>22.25</v>
      </c>
      <c r="Z138" s="44">
        <v>704984</v>
      </c>
      <c r="AA138">
        <v>24.63</v>
      </c>
    </row>
    <row r="139" spans="1:27" x14ac:dyDescent="0.25">
      <c r="A139" t="s">
        <v>216</v>
      </c>
      <c r="B139" s="44">
        <v>4421</v>
      </c>
      <c r="C139">
        <v>1.72</v>
      </c>
      <c r="D139" s="44">
        <v>4421</v>
      </c>
      <c r="E139">
        <v>1.84</v>
      </c>
      <c r="F139" s="44">
        <v>4421</v>
      </c>
      <c r="G139">
        <v>1.71</v>
      </c>
      <c r="H139" s="44">
        <v>4421</v>
      </c>
      <c r="I139">
        <v>1.96</v>
      </c>
      <c r="J139" s="44">
        <v>4421</v>
      </c>
      <c r="K139">
        <v>1.79</v>
      </c>
      <c r="L139" s="44">
        <v>4421</v>
      </c>
      <c r="M139">
        <v>1.91</v>
      </c>
      <c r="N139" s="44">
        <v>4357</v>
      </c>
      <c r="O139">
        <v>1.83</v>
      </c>
      <c r="P139" s="44">
        <v>4357</v>
      </c>
      <c r="Q139">
        <v>1.86</v>
      </c>
      <c r="R139" s="44">
        <v>4357</v>
      </c>
      <c r="S139">
        <v>1.77</v>
      </c>
      <c r="T139" s="44">
        <v>4574</v>
      </c>
      <c r="U139">
        <v>2.02</v>
      </c>
      <c r="V139" s="44">
        <v>4574</v>
      </c>
      <c r="W139">
        <v>2.13</v>
      </c>
      <c r="X139" s="44">
        <v>4574</v>
      </c>
      <c r="Y139">
        <v>1.87</v>
      </c>
      <c r="Z139" s="44">
        <v>53320</v>
      </c>
      <c r="AA139">
        <v>1.86</v>
      </c>
    </row>
    <row r="140" spans="1:27" x14ac:dyDescent="0.25">
      <c r="A140" t="s">
        <v>217</v>
      </c>
      <c r="B140" s="44">
        <v>2724</v>
      </c>
      <c r="C140">
        <v>1.06</v>
      </c>
      <c r="D140" s="44">
        <v>2724</v>
      </c>
      <c r="E140">
        <v>1.1299999999999999</v>
      </c>
      <c r="F140" s="44">
        <v>2724</v>
      </c>
      <c r="G140">
        <v>1.05</v>
      </c>
      <c r="H140" s="44">
        <v>2724</v>
      </c>
      <c r="I140">
        <v>1.21</v>
      </c>
      <c r="J140" s="44">
        <v>2724</v>
      </c>
      <c r="K140">
        <v>1.1000000000000001</v>
      </c>
      <c r="L140" s="44">
        <v>2724</v>
      </c>
      <c r="M140">
        <v>1.18</v>
      </c>
      <c r="N140" s="44">
        <v>3461</v>
      </c>
      <c r="O140">
        <v>1.46</v>
      </c>
      <c r="P140" s="44">
        <v>3461</v>
      </c>
      <c r="Q140">
        <v>1.48</v>
      </c>
      <c r="R140" s="44">
        <v>3461</v>
      </c>
      <c r="S140">
        <v>1.41</v>
      </c>
      <c r="T140" s="44">
        <v>3461</v>
      </c>
      <c r="U140">
        <v>1.53</v>
      </c>
      <c r="V140" s="44">
        <v>3461</v>
      </c>
      <c r="W140">
        <v>1.61</v>
      </c>
      <c r="X140" s="44">
        <v>3461</v>
      </c>
      <c r="Y140">
        <v>1.41</v>
      </c>
      <c r="Z140" s="44">
        <v>37111</v>
      </c>
      <c r="AA140">
        <v>1.3</v>
      </c>
    </row>
    <row r="141" spans="1:27" x14ac:dyDescent="0.25">
      <c r="A141" t="s">
        <v>218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44">
        <v>30192</v>
      </c>
      <c r="S141">
        <v>12.26</v>
      </c>
      <c r="T141" s="44">
        <v>3355</v>
      </c>
      <c r="U141">
        <v>1.48</v>
      </c>
      <c r="V141" s="44">
        <v>3355</v>
      </c>
      <c r="W141">
        <v>1.56</v>
      </c>
      <c r="X141" s="44">
        <v>3355</v>
      </c>
      <c r="Y141">
        <v>1.37</v>
      </c>
      <c r="Z141" s="44">
        <v>40256</v>
      </c>
      <c r="AA141">
        <v>1.41</v>
      </c>
    </row>
    <row r="142" spans="1:27" x14ac:dyDescent="0.25">
      <c r="A142" t="s">
        <v>219</v>
      </c>
      <c r="B142" s="44">
        <v>4210</v>
      </c>
      <c r="C142">
        <v>1.64</v>
      </c>
      <c r="D142" s="44">
        <v>3415</v>
      </c>
      <c r="E142">
        <v>1.42</v>
      </c>
      <c r="F142">
        <v>0</v>
      </c>
      <c r="G142">
        <v>0</v>
      </c>
      <c r="H142" s="44">
        <v>7670</v>
      </c>
      <c r="I142">
        <v>3.4</v>
      </c>
      <c r="J142" s="44">
        <v>8274</v>
      </c>
      <c r="K142">
        <v>3.36</v>
      </c>
      <c r="L142" s="44">
        <v>5113</v>
      </c>
      <c r="M142">
        <v>2.21</v>
      </c>
      <c r="N142" s="44">
        <v>9892</v>
      </c>
      <c r="O142">
        <v>4.17</v>
      </c>
      <c r="P142" s="44">
        <v>4214</v>
      </c>
      <c r="Q142">
        <v>1.8</v>
      </c>
      <c r="R142">
        <v>0</v>
      </c>
      <c r="S142">
        <v>0</v>
      </c>
      <c r="T142" s="44">
        <v>8181</v>
      </c>
      <c r="U142">
        <v>3.61</v>
      </c>
      <c r="V142" s="44">
        <v>3415</v>
      </c>
      <c r="W142">
        <v>1.59</v>
      </c>
      <c r="X142">
        <v>0</v>
      </c>
      <c r="Y142">
        <v>0</v>
      </c>
      <c r="Z142" s="44">
        <v>54382</v>
      </c>
      <c r="AA142">
        <v>1.9</v>
      </c>
    </row>
    <row r="143" spans="1:27" x14ac:dyDescent="0.25">
      <c r="A143" t="s">
        <v>220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221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s="44">
        <v>9137</v>
      </c>
      <c r="I144">
        <v>4.0599999999999996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 s="44">
        <v>2606</v>
      </c>
      <c r="U144">
        <v>1.1499999999999999</v>
      </c>
      <c r="V144">
        <v>0</v>
      </c>
      <c r="W144">
        <v>0</v>
      </c>
      <c r="X144" s="44">
        <v>9789</v>
      </c>
      <c r="Y144">
        <v>3.99</v>
      </c>
      <c r="Z144" s="44">
        <v>21532</v>
      </c>
      <c r="AA144">
        <v>0.75</v>
      </c>
    </row>
    <row r="145" spans="1:27" x14ac:dyDescent="0.25">
      <c r="A145" t="s">
        <v>222</v>
      </c>
      <c r="B145" s="44">
        <v>48000</v>
      </c>
      <c r="C145">
        <v>18.71</v>
      </c>
      <c r="D145">
        <v>0</v>
      </c>
      <c r="E145">
        <v>0</v>
      </c>
      <c r="F145">
        <v>0</v>
      </c>
      <c r="G145">
        <v>0</v>
      </c>
      <c r="H145" s="44">
        <v>-4057</v>
      </c>
      <c r="I145">
        <v>-1.8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44">
        <v>11495</v>
      </c>
      <c r="Y145">
        <v>4.6900000000000004</v>
      </c>
      <c r="Z145" s="44">
        <v>55438</v>
      </c>
      <c r="AA145">
        <v>1.94</v>
      </c>
    </row>
    <row r="146" spans="1:27" x14ac:dyDescent="0.25">
      <c r="A146" t="s">
        <v>39</v>
      </c>
      <c r="B146" s="44">
        <v>119037</v>
      </c>
      <c r="C146">
        <v>46.39</v>
      </c>
      <c r="D146" s="44">
        <v>70242</v>
      </c>
      <c r="E146">
        <v>29.26</v>
      </c>
      <c r="F146" s="44">
        <v>66827</v>
      </c>
      <c r="G146">
        <v>25.77</v>
      </c>
      <c r="H146" s="44">
        <v>79577</v>
      </c>
      <c r="I146">
        <v>35.32</v>
      </c>
      <c r="J146" s="44">
        <v>75101</v>
      </c>
      <c r="K146">
        <v>30.45</v>
      </c>
      <c r="L146" s="44">
        <v>71940</v>
      </c>
      <c r="M146">
        <v>31.14</v>
      </c>
      <c r="N146" s="44">
        <v>78022</v>
      </c>
      <c r="O146">
        <v>32.85</v>
      </c>
      <c r="P146" s="44">
        <v>73504</v>
      </c>
      <c r="Q146">
        <v>31.45</v>
      </c>
      <c r="R146" s="44">
        <v>99482</v>
      </c>
      <c r="S146">
        <v>40.409999999999997</v>
      </c>
      <c r="T146" s="44">
        <v>76722</v>
      </c>
      <c r="U146">
        <v>33.83</v>
      </c>
      <c r="V146" s="44">
        <v>69350</v>
      </c>
      <c r="W146">
        <v>32.33</v>
      </c>
      <c r="X146" s="44">
        <v>87219</v>
      </c>
      <c r="Y146">
        <v>35.590000000000003</v>
      </c>
      <c r="Z146" s="44">
        <v>967023</v>
      </c>
      <c r="AA146">
        <v>33.78</v>
      </c>
    </row>
    <row r="147" spans="1:27" x14ac:dyDescent="0.25">
      <c r="A147" t="s">
        <v>40</v>
      </c>
      <c r="B147" s="44">
        <v>872904</v>
      </c>
      <c r="C147">
        <v>340.18</v>
      </c>
      <c r="D147" s="44">
        <v>777472</v>
      </c>
      <c r="E147">
        <v>323.81</v>
      </c>
      <c r="F147" s="44">
        <v>899049</v>
      </c>
      <c r="G147">
        <v>346.72</v>
      </c>
      <c r="H147" s="44">
        <v>793784</v>
      </c>
      <c r="I147">
        <v>352.32</v>
      </c>
      <c r="J147" s="44">
        <v>842204</v>
      </c>
      <c r="K147">
        <v>341.53</v>
      </c>
      <c r="L147" s="44">
        <v>842331</v>
      </c>
      <c r="M147">
        <v>364.65</v>
      </c>
      <c r="N147" s="44">
        <v>831568</v>
      </c>
      <c r="O147">
        <v>350.13</v>
      </c>
      <c r="P147" s="44">
        <v>798450</v>
      </c>
      <c r="Q147">
        <v>341.66</v>
      </c>
      <c r="R147" s="44">
        <v>874192</v>
      </c>
      <c r="S147">
        <v>355.07</v>
      </c>
      <c r="T147" s="44">
        <v>797133</v>
      </c>
      <c r="U147">
        <v>351.47</v>
      </c>
      <c r="V147" s="44">
        <v>755631</v>
      </c>
      <c r="W147">
        <v>352.28</v>
      </c>
      <c r="X147" s="44">
        <v>1000933</v>
      </c>
      <c r="Y147">
        <v>408.38</v>
      </c>
      <c r="Z147" s="44">
        <v>10085651</v>
      </c>
      <c r="AA147">
        <v>352.31</v>
      </c>
    </row>
    <row r="149" spans="1:27" x14ac:dyDescent="0.25">
      <c r="A149" t="s">
        <v>41</v>
      </c>
      <c r="B149" s="44">
        <v>101854</v>
      </c>
      <c r="C149">
        <v>39.69</v>
      </c>
      <c r="D149" s="44">
        <v>80380</v>
      </c>
      <c r="E149">
        <v>33.479999999999997</v>
      </c>
      <c r="F149" s="44">
        <v>84087</v>
      </c>
      <c r="G149">
        <v>32.43</v>
      </c>
      <c r="H149" s="44">
        <v>41543</v>
      </c>
      <c r="I149">
        <v>18.440000000000001</v>
      </c>
      <c r="J149" s="44">
        <v>58699</v>
      </c>
      <c r="K149">
        <v>23.8</v>
      </c>
      <c r="L149">
        <v>149</v>
      </c>
      <c r="M149">
        <v>0.06</v>
      </c>
      <c r="N149" s="44">
        <v>45740</v>
      </c>
      <c r="O149">
        <v>19.260000000000002</v>
      </c>
      <c r="P149" s="44">
        <v>57663</v>
      </c>
      <c r="Q149">
        <v>24.67</v>
      </c>
      <c r="R149" s="44">
        <v>24276</v>
      </c>
      <c r="S149">
        <v>9.86</v>
      </c>
      <c r="T149" s="44">
        <v>-8119</v>
      </c>
      <c r="U149">
        <v>-3.58</v>
      </c>
      <c r="V149" s="44">
        <v>-31725</v>
      </c>
      <c r="W149">
        <v>-14.79</v>
      </c>
      <c r="X149" s="44">
        <v>-115951</v>
      </c>
      <c r="Y149">
        <v>-47.31</v>
      </c>
      <c r="Z149" s="44">
        <v>338596</v>
      </c>
      <c r="AA149">
        <v>11.83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EA47-C366-4E14-BCB5-2B445D7ADF63}">
  <dimension ref="A1:AA74"/>
  <sheetViews>
    <sheetView workbookViewId="0">
      <selection sqref="A1:E1048576"/>
    </sheetView>
  </sheetViews>
  <sheetFormatPr defaultRowHeight="14.3" x14ac:dyDescent="0.25"/>
  <sheetData>
    <row r="1" spans="1:27" x14ac:dyDescent="0.25">
      <c r="A1" t="s">
        <v>307</v>
      </c>
      <c r="B1" t="s">
        <v>308</v>
      </c>
      <c r="C1" t="s">
        <v>309</v>
      </c>
      <c r="D1" t="s">
        <v>310</v>
      </c>
    </row>
    <row r="2" spans="1:27" x14ac:dyDescent="0.25">
      <c r="A2" t="s">
        <v>362</v>
      </c>
      <c r="B2" t="s">
        <v>363</v>
      </c>
    </row>
    <row r="3" spans="1:27" x14ac:dyDescent="0.25">
      <c r="A3" t="s">
        <v>312</v>
      </c>
      <c r="B3" t="s">
        <v>330</v>
      </c>
    </row>
    <row r="5" spans="1:27" x14ac:dyDescent="0.25">
      <c r="A5" t="s">
        <v>314</v>
      </c>
      <c r="B5" t="s">
        <v>315</v>
      </c>
    </row>
    <row r="7" spans="1:27" x14ac:dyDescent="0.25">
      <c r="B7" t="s">
        <v>336</v>
      </c>
      <c r="C7" t="s">
        <v>337</v>
      </c>
      <c r="D7" t="s">
        <v>338</v>
      </c>
      <c r="E7" t="s">
        <v>339</v>
      </c>
      <c r="F7" t="s">
        <v>340</v>
      </c>
      <c r="G7" t="s">
        <v>341</v>
      </c>
      <c r="H7" t="s">
        <v>342</v>
      </c>
      <c r="I7" t="s">
        <v>343</v>
      </c>
      <c r="J7" t="s">
        <v>344</v>
      </c>
      <c r="K7" t="s">
        <v>345</v>
      </c>
      <c r="L7" t="s">
        <v>346</v>
      </c>
      <c r="M7" t="s">
        <v>347</v>
      </c>
      <c r="N7" t="s">
        <v>348</v>
      </c>
      <c r="O7" t="s">
        <v>349</v>
      </c>
      <c r="P7" t="s">
        <v>350</v>
      </c>
      <c r="Q7" t="s">
        <v>351</v>
      </c>
      <c r="R7" t="s">
        <v>352</v>
      </c>
      <c r="S7" t="s">
        <v>353</v>
      </c>
      <c r="T7" t="s">
        <v>354</v>
      </c>
      <c r="U7" t="s">
        <v>355</v>
      </c>
      <c r="V7" t="s">
        <v>356</v>
      </c>
      <c r="W7" t="s">
        <v>357</v>
      </c>
      <c r="X7" t="s">
        <v>358</v>
      </c>
      <c r="Y7" t="s">
        <v>359</v>
      </c>
      <c r="Z7" t="s">
        <v>360</v>
      </c>
      <c r="AA7" t="s">
        <v>361</v>
      </c>
    </row>
    <row r="8" spans="1:27" x14ac:dyDescent="0.25">
      <c r="A8" t="s">
        <v>42</v>
      </c>
    </row>
    <row r="9" spans="1:27" x14ac:dyDescent="0.25">
      <c r="A9" t="s">
        <v>57</v>
      </c>
      <c r="B9" s="44">
        <v>10221</v>
      </c>
      <c r="C9">
        <v>3.98</v>
      </c>
      <c r="D9" s="44">
        <v>9232</v>
      </c>
      <c r="E9">
        <v>3.85</v>
      </c>
      <c r="F9" s="44">
        <v>10241</v>
      </c>
      <c r="G9">
        <v>3.95</v>
      </c>
      <c r="H9" s="44">
        <v>10188</v>
      </c>
      <c r="I9">
        <v>4.5199999999999996</v>
      </c>
      <c r="J9" s="44">
        <v>10528</v>
      </c>
      <c r="K9">
        <v>4.2699999999999996</v>
      </c>
      <c r="L9" s="44">
        <v>10188</v>
      </c>
      <c r="M9">
        <v>4.41</v>
      </c>
      <c r="N9" s="44">
        <v>10528</v>
      </c>
      <c r="O9">
        <v>4.43</v>
      </c>
      <c r="P9" s="44">
        <v>10528</v>
      </c>
      <c r="Q9">
        <v>4.5</v>
      </c>
      <c r="R9" s="44">
        <v>10188</v>
      </c>
      <c r="S9">
        <v>4.1399999999999997</v>
      </c>
      <c r="T9" s="44">
        <v>10528</v>
      </c>
      <c r="U9">
        <v>4.6399999999999997</v>
      </c>
      <c r="V9" s="44">
        <v>10188</v>
      </c>
      <c r="W9">
        <v>4.75</v>
      </c>
      <c r="X9" s="44">
        <v>11658</v>
      </c>
      <c r="Y9">
        <v>4.76</v>
      </c>
      <c r="Z9" s="44">
        <v>124215</v>
      </c>
      <c r="AA9">
        <v>4.34</v>
      </c>
    </row>
    <row r="10" spans="1:27" x14ac:dyDescent="0.25">
      <c r="A10" t="s">
        <v>58</v>
      </c>
      <c r="B10" s="44">
        <v>1922</v>
      </c>
      <c r="C10">
        <v>0.75</v>
      </c>
      <c r="D10" s="44">
        <v>1487</v>
      </c>
      <c r="E10">
        <v>0.62</v>
      </c>
      <c r="F10">
        <v>113</v>
      </c>
      <c r="G10">
        <v>0.04</v>
      </c>
      <c r="H10" s="44">
        <v>2287</v>
      </c>
      <c r="I10">
        <v>1.02</v>
      </c>
      <c r="J10" s="44">
        <v>1608</v>
      </c>
      <c r="K10">
        <v>0.65</v>
      </c>
      <c r="L10" s="44">
        <v>1871</v>
      </c>
      <c r="M10">
        <v>0.81</v>
      </c>
      <c r="N10" s="44">
        <v>1014</v>
      </c>
      <c r="O10">
        <v>0.43</v>
      </c>
      <c r="P10" s="44">
        <v>1741</v>
      </c>
      <c r="Q10">
        <v>0.74</v>
      </c>
      <c r="R10">
        <v>303</v>
      </c>
      <c r="S10">
        <v>0.12</v>
      </c>
      <c r="T10" s="44">
        <v>1606</v>
      </c>
      <c r="U10">
        <v>0.71</v>
      </c>
      <c r="V10">
        <v>659</v>
      </c>
      <c r="W10">
        <v>0.31</v>
      </c>
      <c r="X10">
        <v>0</v>
      </c>
      <c r="Y10">
        <v>0</v>
      </c>
      <c r="Z10" s="44">
        <v>14610</v>
      </c>
      <c r="AA10">
        <v>0.51</v>
      </c>
    </row>
    <row r="11" spans="1:27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61</v>
      </c>
      <c r="B13" s="44">
        <v>9212</v>
      </c>
      <c r="C13">
        <v>3.59</v>
      </c>
      <c r="D13" s="44">
        <v>7717</v>
      </c>
      <c r="E13">
        <v>3.21</v>
      </c>
      <c r="F13" s="44">
        <v>8952</v>
      </c>
      <c r="G13">
        <v>3.45</v>
      </c>
      <c r="H13" s="44">
        <v>8492</v>
      </c>
      <c r="I13">
        <v>3.77</v>
      </c>
      <c r="J13" s="44">
        <v>8997</v>
      </c>
      <c r="K13">
        <v>3.65</v>
      </c>
      <c r="L13" s="44">
        <v>8509</v>
      </c>
      <c r="M13">
        <v>3.68</v>
      </c>
      <c r="N13" s="44">
        <v>8817</v>
      </c>
      <c r="O13">
        <v>3.71</v>
      </c>
      <c r="P13" s="44">
        <v>8597</v>
      </c>
      <c r="Q13">
        <v>3.68</v>
      </c>
      <c r="R13" s="44">
        <v>8438</v>
      </c>
      <c r="S13">
        <v>3.43</v>
      </c>
      <c r="T13" s="44">
        <v>8719</v>
      </c>
      <c r="U13">
        <v>3.84</v>
      </c>
      <c r="V13" s="44">
        <v>8626</v>
      </c>
      <c r="W13">
        <v>4.0199999999999996</v>
      </c>
      <c r="X13" s="44">
        <v>8871</v>
      </c>
      <c r="Y13">
        <v>3.62</v>
      </c>
      <c r="Z13" s="44">
        <v>103946</v>
      </c>
      <c r="AA13">
        <v>3.63</v>
      </c>
    </row>
    <row r="14" spans="1:27" x14ac:dyDescent="0.25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44">
        <v>1250</v>
      </c>
      <c r="O14">
        <v>0.53</v>
      </c>
      <c r="P14">
        <v>0</v>
      </c>
      <c r="Q14">
        <v>0</v>
      </c>
      <c r="R14">
        <v>0</v>
      </c>
      <c r="S14">
        <v>0</v>
      </c>
      <c r="T14">
        <v>321</v>
      </c>
      <c r="U14">
        <v>0.14000000000000001</v>
      </c>
      <c r="V14">
        <v>429</v>
      </c>
      <c r="W14">
        <v>0.2</v>
      </c>
      <c r="X14">
        <v>0</v>
      </c>
      <c r="Y14">
        <v>0</v>
      </c>
      <c r="Z14" s="44">
        <v>2000</v>
      </c>
      <c r="AA14">
        <v>7.0000000000000007E-2</v>
      </c>
    </row>
    <row r="15" spans="1:27" x14ac:dyDescent="0.25">
      <c r="A15" t="s">
        <v>63</v>
      </c>
      <c r="B15" s="44">
        <v>7877</v>
      </c>
      <c r="C15">
        <v>3.07</v>
      </c>
      <c r="D15" s="44">
        <v>7354</v>
      </c>
      <c r="E15">
        <v>3.06</v>
      </c>
      <c r="F15" s="44">
        <v>7832</v>
      </c>
      <c r="G15">
        <v>3.02</v>
      </c>
      <c r="H15" s="44">
        <v>7552</v>
      </c>
      <c r="I15">
        <v>3.35</v>
      </c>
      <c r="J15" s="44">
        <v>8298</v>
      </c>
      <c r="K15">
        <v>3.36</v>
      </c>
      <c r="L15" s="44">
        <v>7532</v>
      </c>
      <c r="M15">
        <v>3.26</v>
      </c>
      <c r="N15" s="44">
        <v>7601</v>
      </c>
      <c r="O15">
        <v>3.2</v>
      </c>
      <c r="P15" s="44">
        <v>7638</v>
      </c>
      <c r="Q15">
        <v>3.27</v>
      </c>
      <c r="R15" s="44">
        <v>6659</v>
      </c>
      <c r="S15">
        <v>2.7</v>
      </c>
      <c r="T15" s="44">
        <v>1904</v>
      </c>
      <c r="U15">
        <v>0.84</v>
      </c>
      <c r="V15" s="44">
        <v>6738</v>
      </c>
      <c r="W15">
        <v>3.14</v>
      </c>
      <c r="X15" s="44">
        <v>8630</v>
      </c>
      <c r="Y15">
        <v>3.52</v>
      </c>
      <c r="Z15" s="44">
        <v>85613</v>
      </c>
      <c r="AA15">
        <v>2.99</v>
      </c>
    </row>
    <row r="16" spans="1:27" x14ac:dyDescent="0.25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65</v>
      </c>
      <c r="B17" s="44">
        <v>65236</v>
      </c>
      <c r="C17">
        <v>25.42</v>
      </c>
      <c r="D17" s="44">
        <v>60365</v>
      </c>
      <c r="E17">
        <v>25.14</v>
      </c>
      <c r="F17" s="44">
        <v>68632</v>
      </c>
      <c r="G17">
        <v>26.47</v>
      </c>
      <c r="H17" s="44">
        <v>69671</v>
      </c>
      <c r="I17">
        <v>30.92</v>
      </c>
      <c r="J17" s="44">
        <v>71475</v>
      </c>
      <c r="K17">
        <v>28.98</v>
      </c>
      <c r="L17" s="44">
        <v>69227</v>
      </c>
      <c r="M17">
        <v>29.97</v>
      </c>
      <c r="N17" s="44">
        <v>72869</v>
      </c>
      <c r="O17">
        <v>30.68</v>
      </c>
      <c r="P17" s="44">
        <v>66824</v>
      </c>
      <c r="Q17">
        <v>28.59</v>
      </c>
      <c r="R17" s="44">
        <v>64087</v>
      </c>
      <c r="S17">
        <v>26.03</v>
      </c>
      <c r="T17" s="44">
        <v>66427</v>
      </c>
      <c r="U17">
        <v>29.29</v>
      </c>
      <c r="V17" s="44">
        <v>64275</v>
      </c>
      <c r="W17">
        <v>29.97</v>
      </c>
      <c r="X17" s="44">
        <v>61682</v>
      </c>
      <c r="Y17">
        <v>25.17</v>
      </c>
      <c r="Z17" s="44">
        <v>800771</v>
      </c>
      <c r="AA17">
        <v>27.97</v>
      </c>
    </row>
    <row r="18" spans="1:27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 t="s">
        <v>67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s="44">
        <v>12970</v>
      </c>
      <c r="M19">
        <v>5.61</v>
      </c>
      <c r="N19" s="44">
        <v>-12970</v>
      </c>
      <c r="O19">
        <v>-5.46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t="s">
        <v>68</v>
      </c>
      <c r="B20" s="44">
        <v>36740</v>
      </c>
      <c r="C20">
        <v>14.32</v>
      </c>
      <c r="D20" s="44">
        <v>36131</v>
      </c>
      <c r="E20">
        <v>15.05</v>
      </c>
      <c r="F20" s="44">
        <v>35983</v>
      </c>
      <c r="G20">
        <v>13.88</v>
      </c>
      <c r="H20" s="44">
        <v>33791</v>
      </c>
      <c r="I20">
        <v>15</v>
      </c>
      <c r="J20" s="44">
        <v>33989</v>
      </c>
      <c r="K20">
        <v>13.78</v>
      </c>
      <c r="L20" s="44">
        <v>27241</v>
      </c>
      <c r="M20">
        <v>11.79</v>
      </c>
      <c r="N20" s="44">
        <v>47661</v>
      </c>
      <c r="O20">
        <v>20.07</v>
      </c>
      <c r="P20" s="44">
        <v>34825</v>
      </c>
      <c r="Q20">
        <v>14.9</v>
      </c>
      <c r="R20" s="44">
        <v>35716</v>
      </c>
      <c r="S20">
        <v>14.51</v>
      </c>
      <c r="T20" s="44">
        <v>40897</v>
      </c>
      <c r="U20">
        <v>18.03</v>
      </c>
      <c r="V20" s="44">
        <v>39372</v>
      </c>
      <c r="W20">
        <v>18.36</v>
      </c>
      <c r="X20" s="44">
        <v>40479</v>
      </c>
      <c r="Y20">
        <v>16.52</v>
      </c>
      <c r="Z20" s="44">
        <v>442824</v>
      </c>
      <c r="AA20">
        <v>15.47</v>
      </c>
    </row>
    <row r="21" spans="1:27" x14ac:dyDescent="0.25">
      <c r="A21" t="s">
        <v>69</v>
      </c>
      <c r="B21" s="44">
        <v>158997</v>
      </c>
      <c r="C21">
        <v>61.96</v>
      </c>
      <c r="D21" s="44">
        <v>131266</v>
      </c>
      <c r="E21">
        <v>54.67</v>
      </c>
      <c r="F21" s="44">
        <v>156700</v>
      </c>
      <c r="G21">
        <v>60.43</v>
      </c>
      <c r="H21" s="44">
        <v>157884</v>
      </c>
      <c r="I21">
        <v>70.08</v>
      </c>
      <c r="J21" s="44">
        <v>171345</v>
      </c>
      <c r="K21">
        <v>69.48</v>
      </c>
      <c r="L21" s="44">
        <v>162985</v>
      </c>
      <c r="M21">
        <v>70.56</v>
      </c>
      <c r="N21" s="44">
        <v>155904</v>
      </c>
      <c r="O21">
        <v>65.64</v>
      </c>
      <c r="P21" s="44">
        <v>145993</v>
      </c>
      <c r="Q21">
        <v>62.47</v>
      </c>
      <c r="R21" s="44">
        <v>154712</v>
      </c>
      <c r="S21">
        <v>62.84</v>
      </c>
      <c r="T21" s="44">
        <v>142246</v>
      </c>
      <c r="U21">
        <v>62.72</v>
      </c>
      <c r="V21" s="44">
        <v>151314</v>
      </c>
      <c r="W21">
        <v>70.540000000000006</v>
      </c>
      <c r="X21" s="44">
        <v>172369</v>
      </c>
      <c r="Y21">
        <v>70.33</v>
      </c>
      <c r="Z21" s="44">
        <v>1861714</v>
      </c>
      <c r="AA21">
        <v>65.03</v>
      </c>
    </row>
    <row r="22" spans="1:27" x14ac:dyDescent="0.25">
      <c r="A22" t="s">
        <v>70</v>
      </c>
      <c r="B22">
        <v>0</v>
      </c>
      <c r="C22">
        <v>0</v>
      </c>
      <c r="D22">
        <v>0</v>
      </c>
      <c r="E22">
        <v>0</v>
      </c>
      <c r="F22">
        <v>9</v>
      </c>
      <c r="G22">
        <v>0</v>
      </c>
      <c r="H22">
        <v>51</v>
      </c>
      <c r="I22">
        <v>0.02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60</v>
      </c>
      <c r="AA22">
        <v>0</v>
      </c>
    </row>
    <row r="23" spans="1:27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73</v>
      </c>
      <c r="B25" s="44">
        <v>7723</v>
      </c>
      <c r="C25">
        <v>3.01</v>
      </c>
      <c r="D25" s="44">
        <v>7800</v>
      </c>
      <c r="E25">
        <v>3.25</v>
      </c>
      <c r="F25" s="44">
        <v>7670</v>
      </c>
      <c r="G25">
        <v>2.96</v>
      </c>
      <c r="H25" s="44">
        <v>7340</v>
      </c>
      <c r="I25">
        <v>3.26</v>
      </c>
      <c r="J25" s="44">
        <v>8444</v>
      </c>
      <c r="K25">
        <v>3.42</v>
      </c>
      <c r="L25" s="44">
        <v>7123</v>
      </c>
      <c r="M25">
        <v>3.08</v>
      </c>
      <c r="N25" s="44">
        <v>7715</v>
      </c>
      <c r="O25">
        <v>3.25</v>
      </c>
      <c r="P25" s="44">
        <v>7615</v>
      </c>
      <c r="Q25">
        <v>3.26</v>
      </c>
      <c r="R25" s="44">
        <v>7479</v>
      </c>
      <c r="S25">
        <v>3.04</v>
      </c>
      <c r="T25" s="44">
        <v>7624</v>
      </c>
      <c r="U25">
        <v>3.36</v>
      </c>
      <c r="V25" s="44">
        <v>7485</v>
      </c>
      <c r="W25">
        <v>3.49</v>
      </c>
      <c r="X25" s="44">
        <v>8478</v>
      </c>
      <c r="Y25">
        <v>3.46</v>
      </c>
      <c r="Z25" s="44">
        <v>92496</v>
      </c>
      <c r="AA25">
        <v>3.23</v>
      </c>
    </row>
    <row r="26" spans="1:27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77</v>
      </c>
      <c r="B29" s="44">
        <v>11503</v>
      </c>
      <c r="C29">
        <v>4.4800000000000004</v>
      </c>
      <c r="D29" s="44">
        <v>10854</v>
      </c>
      <c r="E29">
        <v>4.5199999999999996</v>
      </c>
      <c r="F29" s="44">
        <v>11801</v>
      </c>
      <c r="G29">
        <v>4.55</v>
      </c>
      <c r="H29" s="44">
        <v>11645</v>
      </c>
      <c r="I29">
        <v>5.17</v>
      </c>
      <c r="J29" s="44">
        <v>12039</v>
      </c>
      <c r="K29">
        <v>4.88</v>
      </c>
      <c r="L29" s="44">
        <v>11998</v>
      </c>
      <c r="M29">
        <v>5.19</v>
      </c>
      <c r="N29" s="44">
        <v>12072</v>
      </c>
      <c r="O29">
        <v>5.08</v>
      </c>
      <c r="P29" s="44">
        <v>12007</v>
      </c>
      <c r="Q29">
        <v>5.14</v>
      </c>
      <c r="R29" s="44">
        <v>11764</v>
      </c>
      <c r="S29">
        <v>4.78</v>
      </c>
      <c r="T29" s="44">
        <v>11970</v>
      </c>
      <c r="U29">
        <v>5.28</v>
      </c>
      <c r="V29" s="44">
        <v>11860</v>
      </c>
      <c r="W29">
        <v>5.53</v>
      </c>
      <c r="X29" s="44">
        <v>12702</v>
      </c>
      <c r="Y29">
        <v>5.18</v>
      </c>
      <c r="Z29" s="44">
        <v>142214</v>
      </c>
      <c r="AA29">
        <v>4.97</v>
      </c>
    </row>
    <row r="30" spans="1:27" x14ac:dyDescent="0.25">
      <c r="A30" t="s">
        <v>78</v>
      </c>
      <c r="B30">
        <v>0</v>
      </c>
      <c r="C30">
        <v>0</v>
      </c>
      <c r="D30">
        <v>30</v>
      </c>
      <c r="E30">
        <v>0.01</v>
      </c>
      <c r="F30">
        <v>2</v>
      </c>
      <c r="G30">
        <v>0</v>
      </c>
      <c r="H30">
        <v>395</v>
      </c>
      <c r="I30">
        <v>0.18</v>
      </c>
      <c r="J30">
        <v>0</v>
      </c>
      <c r="K30">
        <v>0</v>
      </c>
      <c r="L30">
        <v>0</v>
      </c>
      <c r="M30">
        <v>0</v>
      </c>
      <c r="N30">
        <v>13</v>
      </c>
      <c r="O30">
        <v>0.01</v>
      </c>
      <c r="P30">
        <v>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443</v>
      </c>
      <c r="AA30">
        <v>0.02</v>
      </c>
    </row>
    <row r="31" spans="1:27" x14ac:dyDescent="0.25">
      <c r="A31" t="s">
        <v>79</v>
      </c>
      <c r="B31" s="44">
        <v>5958</v>
      </c>
      <c r="C31">
        <v>2.3199999999999998</v>
      </c>
      <c r="D31" s="44">
        <v>5176</v>
      </c>
      <c r="E31">
        <v>2.16</v>
      </c>
      <c r="F31" s="44">
        <v>5881</v>
      </c>
      <c r="G31">
        <v>2.27</v>
      </c>
      <c r="H31" s="44">
        <v>5760</v>
      </c>
      <c r="I31">
        <v>2.56</v>
      </c>
      <c r="J31" s="44">
        <v>5854</v>
      </c>
      <c r="K31">
        <v>2.37</v>
      </c>
      <c r="L31" s="44">
        <v>5563</v>
      </c>
      <c r="M31">
        <v>2.41</v>
      </c>
      <c r="N31" s="44">
        <v>5970</v>
      </c>
      <c r="O31">
        <v>2.5099999999999998</v>
      </c>
      <c r="P31" s="44">
        <v>5762</v>
      </c>
      <c r="Q31">
        <v>2.4700000000000002</v>
      </c>
      <c r="R31" s="44">
        <v>6067</v>
      </c>
      <c r="S31">
        <v>2.46</v>
      </c>
      <c r="T31" s="44">
        <v>6109</v>
      </c>
      <c r="U31">
        <v>2.69</v>
      </c>
      <c r="V31" s="44">
        <v>5845</v>
      </c>
      <c r="W31">
        <v>2.73</v>
      </c>
      <c r="X31" s="44">
        <v>5870</v>
      </c>
      <c r="Y31">
        <v>2.39</v>
      </c>
      <c r="Z31" s="44">
        <v>69813</v>
      </c>
      <c r="AA31">
        <v>2.44</v>
      </c>
    </row>
    <row r="32" spans="1:27" x14ac:dyDescent="0.25">
      <c r="A32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81</v>
      </c>
      <c r="B33">
        <v>0</v>
      </c>
      <c r="C33">
        <v>0</v>
      </c>
      <c r="D33">
        <v>0</v>
      </c>
      <c r="E33">
        <v>0</v>
      </c>
      <c r="F33" s="44">
        <v>1017</v>
      </c>
      <c r="G33">
        <v>0.39</v>
      </c>
      <c r="H33">
        <v>0</v>
      </c>
      <c r="I33">
        <v>0</v>
      </c>
      <c r="J33">
        <v>0</v>
      </c>
      <c r="K33">
        <v>0</v>
      </c>
      <c r="L33" s="44">
        <v>3079</v>
      </c>
      <c r="M33">
        <v>1.33</v>
      </c>
      <c r="N33">
        <v>0</v>
      </c>
      <c r="O33">
        <v>0</v>
      </c>
      <c r="P33" s="44">
        <v>2217</v>
      </c>
      <c r="Q33">
        <v>0.95</v>
      </c>
      <c r="R33" s="44">
        <v>1518</v>
      </c>
      <c r="S33">
        <v>0.62</v>
      </c>
      <c r="T33" s="44">
        <v>1282</v>
      </c>
      <c r="U33">
        <v>0.56999999999999995</v>
      </c>
      <c r="V33" s="44">
        <v>1427</v>
      </c>
      <c r="W33">
        <v>0.67</v>
      </c>
      <c r="X33" s="44">
        <v>1052</v>
      </c>
      <c r="Y33">
        <v>0.43</v>
      </c>
      <c r="Z33" s="44">
        <v>11593</v>
      </c>
      <c r="AA33">
        <v>0.4</v>
      </c>
    </row>
    <row r="34" spans="1:27" x14ac:dyDescent="0.25">
      <c r="A34" t="s">
        <v>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83</v>
      </c>
      <c r="B35" s="44">
        <v>7228</v>
      </c>
      <c r="C35">
        <v>2.82</v>
      </c>
      <c r="D35" s="44">
        <v>6629</v>
      </c>
      <c r="E35">
        <v>2.76</v>
      </c>
      <c r="F35" s="44">
        <v>8479</v>
      </c>
      <c r="G35">
        <v>3.27</v>
      </c>
      <c r="H35" s="44">
        <v>7342</v>
      </c>
      <c r="I35">
        <v>3.26</v>
      </c>
      <c r="J35" s="44">
        <v>7915</v>
      </c>
      <c r="K35">
        <v>3.21</v>
      </c>
      <c r="L35" s="44">
        <v>8089</v>
      </c>
      <c r="M35">
        <v>3.5</v>
      </c>
      <c r="N35" s="44">
        <v>6978</v>
      </c>
      <c r="O35">
        <v>2.94</v>
      </c>
      <c r="P35" s="44">
        <v>7368</v>
      </c>
      <c r="Q35">
        <v>3.15</v>
      </c>
      <c r="R35" s="44">
        <v>7540</v>
      </c>
      <c r="S35">
        <v>3.06</v>
      </c>
      <c r="T35" s="44">
        <v>7658</v>
      </c>
      <c r="U35">
        <v>3.38</v>
      </c>
      <c r="V35" s="44">
        <v>7310</v>
      </c>
      <c r="W35">
        <v>3.41</v>
      </c>
      <c r="X35" s="44">
        <v>7673</v>
      </c>
      <c r="Y35">
        <v>3.13</v>
      </c>
      <c r="Z35" s="44">
        <v>90208</v>
      </c>
      <c r="AA35">
        <v>3.15</v>
      </c>
    </row>
    <row r="36" spans="1:27" x14ac:dyDescent="0.25">
      <c r="A36" t="s">
        <v>84</v>
      </c>
      <c r="B36" s="44">
        <v>-1207</v>
      </c>
      <c r="C36">
        <v>-0.47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107</v>
      </c>
      <c r="S36">
        <v>0.04</v>
      </c>
      <c r="T36">
        <v>393</v>
      </c>
      <c r="U36">
        <v>0.17</v>
      </c>
      <c r="V36">
        <v>0</v>
      </c>
      <c r="W36">
        <v>0</v>
      </c>
      <c r="X36">
        <v>0</v>
      </c>
      <c r="Y36">
        <v>0</v>
      </c>
      <c r="Z36">
        <v>-707</v>
      </c>
      <c r="AA36">
        <v>-0.02</v>
      </c>
    </row>
    <row r="37" spans="1:27" x14ac:dyDescent="0.25">
      <c r="A37" t="s">
        <v>85</v>
      </c>
      <c r="B37" s="44">
        <v>10125</v>
      </c>
      <c r="C37">
        <v>3.95</v>
      </c>
      <c r="D37" s="44">
        <v>7116</v>
      </c>
      <c r="E37">
        <v>2.96</v>
      </c>
      <c r="F37" s="44">
        <v>7596</v>
      </c>
      <c r="G37">
        <v>2.93</v>
      </c>
      <c r="H37" s="44">
        <v>7423</v>
      </c>
      <c r="I37">
        <v>3.29</v>
      </c>
      <c r="J37" s="44">
        <v>10263</v>
      </c>
      <c r="K37">
        <v>4.16</v>
      </c>
      <c r="L37" s="44">
        <v>11343</v>
      </c>
      <c r="M37">
        <v>4.91</v>
      </c>
      <c r="N37" s="44">
        <v>11976</v>
      </c>
      <c r="O37">
        <v>5.04</v>
      </c>
      <c r="P37" s="44">
        <v>12031</v>
      </c>
      <c r="Q37">
        <v>5.15</v>
      </c>
      <c r="R37" s="44">
        <v>10548</v>
      </c>
      <c r="S37">
        <v>4.28</v>
      </c>
      <c r="T37" s="44">
        <v>13059</v>
      </c>
      <c r="U37">
        <v>5.76</v>
      </c>
      <c r="V37" s="44">
        <v>15390</v>
      </c>
      <c r="W37">
        <v>7.17</v>
      </c>
      <c r="X37" s="44">
        <v>16629</v>
      </c>
      <c r="Y37">
        <v>6.78</v>
      </c>
      <c r="Z37" s="44">
        <v>133497</v>
      </c>
      <c r="AA37">
        <v>4.66</v>
      </c>
    </row>
    <row r="38" spans="1:27" x14ac:dyDescent="0.25">
      <c r="A38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87</v>
      </c>
      <c r="B39" s="44">
        <v>6134</v>
      </c>
      <c r="C39">
        <v>2.39</v>
      </c>
      <c r="D39" s="44">
        <v>5539</v>
      </c>
      <c r="E39">
        <v>2.31</v>
      </c>
      <c r="F39" s="44">
        <v>7460</v>
      </c>
      <c r="G39">
        <v>2.88</v>
      </c>
      <c r="H39" s="44">
        <v>5610</v>
      </c>
      <c r="I39">
        <v>2.4900000000000002</v>
      </c>
      <c r="J39" s="44">
        <v>5575</v>
      </c>
      <c r="K39">
        <v>2.2599999999999998</v>
      </c>
      <c r="L39" s="44">
        <v>5347</v>
      </c>
      <c r="M39">
        <v>2.31</v>
      </c>
      <c r="N39" s="44">
        <v>5608</v>
      </c>
      <c r="O39">
        <v>2.36</v>
      </c>
      <c r="P39" s="44">
        <v>5467</v>
      </c>
      <c r="Q39">
        <v>2.34</v>
      </c>
      <c r="R39" s="44">
        <v>6371</v>
      </c>
      <c r="S39">
        <v>2.59</v>
      </c>
      <c r="T39" s="44">
        <v>5931</v>
      </c>
      <c r="U39">
        <v>2.62</v>
      </c>
      <c r="V39" s="44">
        <v>5481</v>
      </c>
      <c r="W39">
        <v>2.56</v>
      </c>
      <c r="X39" s="44">
        <v>5645</v>
      </c>
      <c r="Y39">
        <v>2.2999999999999998</v>
      </c>
      <c r="Z39" s="44">
        <v>70169</v>
      </c>
      <c r="AA39">
        <v>2.4500000000000002</v>
      </c>
    </row>
    <row r="40" spans="1:27" x14ac:dyDescent="0.25">
      <c r="A40" t="s">
        <v>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91</v>
      </c>
      <c r="B43" s="44">
        <v>30789</v>
      </c>
      <c r="C43">
        <v>12</v>
      </c>
      <c r="D43" s="44">
        <v>27795</v>
      </c>
      <c r="E43">
        <v>11.58</v>
      </c>
      <c r="F43" s="44">
        <v>28398</v>
      </c>
      <c r="G43">
        <v>10.95</v>
      </c>
      <c r="H43" s="44">
        <v>27975</v>
      </c>
      <c r="I43">
        <v>12.42</v>
      </c>
      <c r="J43" s="44">
        <v>30931</v>
      </c>
      <c r="K43">
        <v>12.54</v>
      </c>
      <c r="L43" s="44">
        <v>32852</v>
      </c>
      <c r="M43">
        <v>14.22</v>
      </c>
      <c r="N43" s="44">
        <v>27171</v>
      </c>
      <c r="O43">
        <v>11.44</v>
      </c>
      <c r="P43" s="44">
        <v>28137</v>
      </c>
      <c r="Q43">
        <v>12.04</v>
      </c>
      <c r="R43" s="44">
        <v>27808</v>
      </c>
      <c r="S43">
        <v>11.29</v>
      </c>
      <c r="T43" s="44">
        <v>26559</v>
      </c>
      <c r="U43">
        <v>11.71</v>
      </c>
      <c r="V43" s="44">
        <v>23191</v>
      </c>
      <c r="W43">
        <v>10.81</v>
      </c>
      <c r="X43" s="44">
        <v>24827</v>
      </c>
      <c r="Y43">
        <v>10.130000000000001</v>
      </c>
      <c r="Z43" s="44">
        <v>336433</v>
      </c>
      <c r="AA43">
        <v>11.75</v>
      </c>
    </row>
    <row r="44" spans="1:27" x14ac:dyDescent="0.25">
      <c r="A44" t="s">
        <v>92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 t="s">
        <v>93</v>
      </c>
      <c r="B45" s="44">
        <v>10814</v>
      </c>
      <c r="C45">
        <v>4.21</v>
      </c>
      <c r="D45" s="44">
        <v>7612</v>
      </c>
      <c r="E45">
        <v>3.17</v>
      </c>
      <c r="F45" s="44">
        <v>19123</v>
      </c>
      <c r="G45">
        <v>7.37</v>
      </c>
      <c r="H45" s="44">
        <v>9552</v>
      </c>
      <c r="I45">
        <v>4.24</v>
      </c>
      <c r="J45" s="44">
        <v>13921</v>
      </c>
      <c r="K45">
        <v>5.65</v>
      </c>
      <c r="L45" s="44">
        <v>25007</v>
      </c>
      <c r="M45">
        <v>10.83</v>
      </c>
      <c r="N45" s="44">
        <v>15526</v>
      </c>
      <c r="O45">
        <v>6.54</v>
      </c>
      <c r="P45" s="44">
        <v>-1433</v>
      </c>
      <c r="Q45">
        <v>-0.61</v>
      </c>
      <c r="R45" s="44">
        <v>14114</v>
      </c>
      <c r="S45">
        <v>5.73</v>
      </c>
      <c r="T45" s="44">
        <v>11113</v>
      </c>
      <c r="U45">
        <v>4.9000000000000004</v>
      </c>
      <c r="V45" s="44">
        <v>7486</v>
      </c>
      <c r="W45">
        <v>3.49</v>
      </c>
      <c r="X45" s="44">
        <v>9129</v>
      </c>
      <c r="Y45">
        <v>3.72</v>
      </c>
      <c r="Z45" s="44">
        <v>141964</v>
      </c>
      <c r="AA45">
        <v>4.96</v>
      </c>
    </row>
    <row r="46" spans="1:27" x14ac:dyDescent="0.25">
      <c r="A46" t="s">
        <v>94</v>
      </c>
      <c r="B46">
        <v>60</v>
      </c>
      <c r="C46">
        <v>0.02</v>
      </c>
      <c r="D46">
        <v>0</v>
      </c>
      <c r="E46">
        <v>0</v>
      </c>
      <c r="F46">
        <v>24</v>
      </c>
      <c r="G46">
        <v>0.01</v>
      </c>
      <c r="H46">
        <v>261</v>
      </c>
      <c r="I46">
        <v>0.12</v>
      </c>
      <c r="J46">
        <v>64</v>
      </c>
      <c r="K46">
        <v>0.03</v>
      </c>
      <c r="L46">
        <v>882</v>
      </c>
      <c r="M46">
        <v>0.38</v>
      </c>
      <c r="N46">
        <v>520</v>
      </c>
      <c r="O46">
        <v>0.22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s="44">
        <v>1812</v>
      </c>
      <c r="AA46">
        <v>0.06</v>
      </c>
    </row>
    <row r="47" spans="1:27" x14ac:dyDescent="0.25">
      <c r="A47" t="s">
        <v>95</v>
      </c>
      <c r="B47">
        <v>0</v>
      </c>
      <c r="C47">
        <v>0</v>
      </c>
      <c r="D47">
        <v>0</v>
      </c>
      <c r="E47">
        <v>0</v>
      </c>
      <c r="F47" s="44">
        <v>5007</v>
      </c>
      <c r="G47">
        <v>1.93</v>
      </c>
      <c r="H47">
        <v>0</v>
      </c>
      <c r="I47">
        <v>0</v>
      </c>
      <c r="J47">
        <v>0</v>
      </c>
      <c r="K47">
        <v>0</v>
      </c>
      <c r="L47">
        <v>865</v>
      </c>
      <c r="M47">
        <v>0.37</v>
      </c>
      <c r="N47">
        <v>0</v>
      </c>
      <c r="O47">
        <v>0</v>
      </c>
      <c r="P47" s="44">
        <v>10570</v>
      </c>
      <c r="Q47">
        <v>4.5199999999999996</v>
      </c>
      <c r="R47" s="44">
        <v>4636</v>
      </c>
      <c r="S47">
        <v>1.88</v>
      </c>
      <c r="T47" s="44">
        <v>5935</v>
      </c>
      <c r="U47">
        <v>2.62</v>
      </c>
      <c r="V47" s="44">
        <v>5935</v>
      </c>
      <c r="W47">
        <v>2.77</v>
      </c>
      <c r="X47" s="44">
        <v>6078</v>
      </c>
      <c r="Y47">
        <v>2.48</v>
      </c>
      <c r="Z47" s="44">
        <v>39025</v>
      </c>
      <c r="AA47">
        <v>1.36</v>
      </c>
    </row>
    <row r="48" spans="1:27" x14ac:dyDescent="0.25">
      <c r="A48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43</v>
      </c>
      <c r="B49" s="44">
        <v>379332</v>
      </c>
      <c r="C49">
        <v>147.83000000000001</v>
      </c>
      <c r="D49" s="44">
        <v>332103</v>
      </c>
      <c r="E49">
        <v>138.32</v>
      </c>
      <c r="F49" s="44">
        <v>390919</v>
      </c>
      <c r="G49">
        <v>150.76</v>
      </c>
      <c r="H49" s="44">
        <v>373220</v>
      </c>
      <c r="I49">
        <v>165.65</v>
      </c>
      <c r="J49" s="44">
        <v>401243</v>
      </c>
      <c r="K49">
        <v>162.71</v>
      </c>
      <c r="L49" s="44">
        <v>412670</v>
      </c>
      <c r="M49">
        <v>178.65</v>
      </c>
      <c r="N49" s="44">
        <v>386222</v>
      </c>
      <c r="O49">
        <v>162.62</v>
      </c>
      <c r="P49" s="44">
        <v>365887</v>
      </c>
      <c r="Q49">
        <v>156.56</v>
      </c>
      <c r="R49" s="44">
        <v>378054</v>
      </c>
      <c r="S49">
        <v>153.56</v>
      </c>
      <c r="T49" s="44">
        <v>370281</v>
      </c>
      <c r="U49">
        <v>163.26</v>
      </c>
      <c r="V49" s="44">
        <v>373009</v>
      </c>
      <c r="W49">
        <v>173.9</v>
      </c>
      <c r="X49" s="44">
        <v>401772</v>
      </c>
      <c r="Y49">
        <v>163.92</v>
      </c>
      <c r="Z49" s="44">
        <v>4564714</v>
      </c>
      <c r="AA49">
        <v>159.44999999999999</v>
      </c>
    </row>
    <row r="50" spans="1:27" x14ac:dyDescent="0.25">
      <c r="A50" t="s">
        <v>44</v>
      </c>
    </row>
    <row r="51" spans="1:27" x14ac:dyDescent="0.25">
      <c r="A51" t="s">
        <v>97</v>
      </c>
      <c r="B51" s="44">
        <v>28146</v>
      </c>
      <c r="C51">
        <v>10.97</v>
      </c>
      <c r="D51" s="44">
        <v>24576</v>
      </c>
      <c r="E51">
        <v>10.24</v>
      </c>
      <c r="F51" s="44">
        <v>27649</v>
      </c>
      <c r="G51">
        <v>10.66</v>
      </c>
      <c r="H51" s="44">
        <v>27609</v>
      </c>
      <c r="I51">
        <v>12.25</v>
      </c>
      <c r="J51" s="44">
        <v>29751</v>
      </c>
      <c r="K51">
        <v>12.06</v>
      </c>
      <c r="L51" s="44">
        <v>29195</v>
      </c>
      <c r="M51">
        <v>12.64</v>
      </c>
      <c r="N51" s="44">
        <v>28527</v>
      </c>
      <c r="O51">
        <v>12.01</v>
      </c>
      <c r="P51" s="44">
        <v>27223</v>
      </c>
      <c r="Q51">
        <v>11.65</v>
      </c>
      <c r="R51" s="44">
        <v>27430</v>
      </c>
      <c r="S51">
        <v>11.14</v>
      </c>
      <c r="T51" s="44">
        <v>22786</v>
      </c>
      <c r="U51">
        <v>10.050000000000001</v>
      </c>
      <c r="V51" s="44">
        <v>27048</v>
      </c>
      <c r="W51">
        <v>12.61</v>
      </c>
      <c r="X51" s="44">
        <v>28986</v>
      </c>
      <c r="Y51">
        <v>11.83</v>
      </c>
      <c r="Z51" s="44">
        <v>328926</v>
      </c>
      <c r="AA51">
        <v>11.49</v>
      </c>
    </row>
    <row r="52" spans="1:27" x14ac:dyDescent="0.25">
      <c r="A52" t="s">
        <v>98</v>
      </c>
      <c r="B52" s="44">
        <v>13556</v>
      </c>
      <c r="C52">
        <v>5.28</v>
      </c>
      <c r="D52" s="44">
        <v>10269</v>
      </c>
      <c r="E52">
        <v>4.28</v>
      </c>
      <c r="F52" s="44">
        <v>8818</v>
      </c>
      <c r="G52">
        <v>3.4</v>
      </c>
      <c r="H52" s="44">
        <v>6179</v>
      </c>
      <c r="I52">
        <v>2.74</v>
      </c>
      <c r="J52" s="44">
        <v>5508</v>
      </c>
      <c r="K52">
        <v>2.23</v>
      </c>
      <c r="L52" s="44">
        <v>3839</v>
      </c>
      <c r="M52">
        <v>1.66</v>
      </c>
      <c r="N52" s="44">
        <v>2743</v>
      </c>
      <c r="O52">
        <v>1.1599999999999999</v>
      </c>
      <c r="P52" s="44">
        <v>2164</v>
      </c>
      <c r="Q52">
        <v>0.93</v>
      </c>
      <c r="R52" s="44">
        <v>2174</v>
      </c>
      <c r="S52">
        <v>0.88</v>
      </c>
      <c r="T52" s="44">
        <v>2092</v>
      </c>
      <c r="U52">
        <v>0.92</v>
      </c>
      <c r="V52" s="44">
        <v>1895</v>
      </c>
      <c r="W52">
        <v>0.88</v>
      </c>
      <c r="X52" s="44">
        <v>2237</v>
      </c>
      <c r="Y52">
        <v>0.91</v>
      </c>
      <c r="Z52" s="44">
        <v>61473</v>
      </c>
      <c r="AA52">
        <v>2.15</v>
      </c>
    </row>
    <row r="53" spans="1:27" x14ac:dyDescent="0.25">
      <c r="A53" t="s">
        <v>99</v>
      </c>
      <c r="B53" s="44">
        <v>1959</v>
      </c>
      <c r="C53">
        <v>0.76</v>
      </c>
      <c r="D53">
        <v>924</v>
      </c>
      <c r="E53">
        <v>0.38</v>
      </c>
      <c r="F53">
        <v>496</v>
      </c>
      <c r="G53">
        <v>0.19</v>
      </c>
      <c r="H53">
        <v>341</v>
      </c>
      <c r="I53">
        <v>0.15</v>
      </c>
      <c r="J53">
        <v>363</v>
      </c>
      <c r="K53">
        <v>0.15</v>
      </c>
      <c r="L53">
        <v>315</v>
      </c>
      <c r="M53">
        <v>0.14000000000000001</v>
      </c>
      <c r="N53">
        <v>261</v>
      </c>
      <c r="O53">
        <v>0.11</v>
      </c>
      <c r="P53">
        <v>172</v>
      </c>
      <c r="Q53">
        <v>7.0000000000000007E-2</v>
      </c>
      <c r="R53">
        <v>134</v>
      </c>
      <c r="S53">
        <v>0.05</v>
      </c>
      <c r="T53">
        <v>150</v>
      </c>
      <c r="U53">
        <v>7.0000000000000007E-2</v>
      </c>
      <c r="V53">
        <v>184</v>
      </c>
      <c r="W53">
        <v>0.09</v>
      </c>
      <c r="X53">
        <v>961</v>
      </c>
      <c r="Y53">
        <v>0.39</v>
      </c>
      <c r="Z53" s="44">
        <v>6259</v>
      </c>
      <c r="AA53">
        <v>0.22</v>
      </c>
    </row>
    <row r="54" spans="1:27" x14ac:dyDescent="0.25">
      <c r="A54" t="s">
        <v>100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45</v>
      </c>
      <c r="B55" s="44">
        <v>43661</v>
      </c>
      <c r="C55">
        <v>17.02</v>
      </c>
      <c r="D55" s="44">
        <v>35768</v>
      </c>
      <c r="E55">
        <v>14.9</v>
      </c>
      <c r="F55" s="44">
        <v>36963</v>
      </c>
      <c r="G55">
        <v>14.25</v>
      </c>
      <c r="H55" s="44">
        <v>34129</v>
      </c>
      <c r="I55">
        <v>15.15</v>
      </c>
      <c r="J55" s="44">
        <v>35621</v>
      </c>
      <c r="K55">
        <v>14.44</v>
      </c>
      <c r="L55" s="44">
        <v>33348</v>
      </c>
      <c r="M55">
        <v>14.44</v>
      </c>
      <c r="N55" s="44">
        <v>31531</v>
      </c>
      <c r="O55">
        <v>13.28</v>
      </c>
      <c r="P55" s="44">
        <v>29560</v>
      </c>
      <c r="Q55">
        <v>12.65</v>
      </c>
      <c r="R55" s="44">
        <v>29738</v>
      </c>
      <c r="S55">
        <v>12.08</v>
      </c>
      <c r="T55" s="44">
        <v>25028</v>
      </c>
      <c r="U55">
        <v>11.04</v>
      </c>
      <c r="V55" s="44">
        <v>29128</v>
      </c>
      <c r="W55">
        <v>13.58</v>
      </c>
      <c r="X55" s="44">
        <v>32183</v>
      </c>
      <c r="Y55">
        <v>13.13</v>
      </c>
      <c r="Z55" s="44">
        <v>396658</v>
      </c>
      <c r="AA55">
        <v>13.86</v>
      </c>
    </row>
    <row r="56" spans="1:27" x14ac:dyDescent="0.25">
      <c r="A56" t="s">
        <v>101</v>
      </c>
      <c r="B56" s="44">
        <v>422993</v>
      </c>
      <c r="C56">
        <v>164.85</v>
      </c>
      <c r="D56" s="44">
        <v>367871</v>
      </c>
      <c r="E56">
        <v>153.22</v>
      </c>
      <c r="F56" s="44">
        <v>427882</v>
      </c>
      <c r="G56">
        <v>165.01</v>
      </c>
      <c r="H56" s="44">
        <v>407349</v>
      </c>
      <c r="I56">
        <v>180.8</v>
      </c>
      <c r="J56" s="44">
        <v>436864</v>
      </c>
      <c r="K56">
        <v>177.15</v>
      </c>
      <c r="L56" s="44">
        <v>446019</v>
      </c>
      <c r="M56">
        <v>193.08</v>
      </c>
      <c r="N56" s="44">
        <v>417754</v>
      </c>
      <c r="O56">
        <v>175.9</v>
      </c>
      <c r="P56" s="44">
        <v>395447</v>
      </c>
      <c r="Q56">
        <v>169.21</v>
      </c>
      <c r="R56" s="44">
        <v>407792</v>
      </c>
      <c r="S56">
        <v>165.63</v>
      </c>
      <c r="T56" s="44">
        <v>395309</v>
      </c>
      <c r="U56">
        <v>174.3</v>
      </c>
      <c r="V56" s="44">
        <v>402137</v>
      </c>
      <c r="W56">
        <v>187.48</v>
      </c>
      <c r="X56" s="44">
        <v>433956</v>
      </c>
      <c r="Y56">
        <v>177.05</v>
      </c>
      <c r="Z56" s="44">
        <v>4961372</v>
      </c>
      <c r="AA56">
        <v>173.31</v>
      </c>
    </row>
    <row r="57" spans="1:27" x14ac:dyDescent="0.25">
      <c r="A57" t="s">
        <v>46</v>
      </c>
    </row>
    <row r="58" spans="1:27" x14ac:dyDescent="0.25">
      <c r="A58" t="s">
        <v>102</v>
      </c>
      <c r="B58" s="44">
        <v>15000</v>
      </c>
      <c r="C58">
        <v>5.85</v>
      </c>
      <c r="D58" s="44">
        <v>2529</v>
      </c>
      <c r="E58">
        <v>1.05</v>
      </c>
      <c r="F58" s="44">
        <v>5652</v>
      </c>
      <c r="G58">
        <v>2.1800000000000002</v>
      </c>
      <c r="H58" s="44">
        <v>2333</v>
      </c>
      <c r="I58">
        <v>1.04</v>
      </c>
      <c r="J58" s="44">
        <v>8661</v>
      </c>
      <c r="K58">
        <v>3.51</v>
      </c>
      <c r="L58" s="44">
        <v>3684</v>
      </c>
      <c r="M58">
        <v>1.59</v>
      </c>
      <c r="N58" s="44">
        <v>2170</v>
      </c>
      <c r="O58">
        <v>0.91</v>
      </c>
      <c r="P58" s="44">
        <v>2527</v>
      </c>
      <c r="Q58">
        <v>1.08</v>
      </c>
      <c r="R58" s="44">
        <v>14053</v>
      </c>
      <c r="S58">
        <v>5.71</v>
      </c>
      <c r="T58" s="44">
        <v>12299</v>
      </c>
      <c r="U58">
        <v>5.42</v>
      </c>
      <c r="V58">
        <v>0</v>
      </c>
      <c r="W58">
        <v>0</v>
      </c>
      <c r="X58" s="44">
        <v>8315</v>
      </c>
      <c r="Y58">
        <v>3.39</v>
      </c>
      <c r="Z58" s="44">
        <v>77223</v>
      </c>
      <c r="AA58">
        <v>2.7</v>
      </c>
    </row>
    <row r="59" spans="1:27" x14ac:dyDescent="0.25">
      <c r="A59" t="s">
        <v>103</v>
      </c>
      <c r="B59" s="44">
        <v>2683</v>
      </c>
      <c r="C59">
        <v>1.05</v>
      </c>
      <c r="D59" s="44">
        <v>2226</v>
      </c>
      <c r="E59">
        <v>0.93</v>
      </c>
      <c r="F59">
        <v>0</v>
      </c>
      <c r="G59">
        <v>0</v>
      </c>
      <c r="H59">
        <v>95</v>
      </c>
      <c r="I59">
        <v>0.04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s="44">
        <v>5004</v>
      </c>
      <c r="AA59">
        <v>0.17</v>
      </c>
    </row>
    <row r="60" spans="1:27" x14ac:dyDescent="0.25">
      <c r="A60" t="s">
        <v>104</v>
      </c>
      <c r="B60" s="44">
        <v>7758</v>
      </c>
      <c r="C60">
        <v>3.02</v>
      </c>
      <c r="D60" s="44">
        <v>1974</v>
      </c>
      <c r="E60">
        <v>0.82</v>
      </c>
      <c r="F60" s="44">
        <v>3687</v>
      </c>
      <c r="G60">
        <v>1.42</v>
      </c>
      <c r="H60">
        <v>0</v>
      </c>
      <c r="I60">
        <v>0</v>
      </c>
      <c r="J60" s="44">
        <v>1264</v>
      </c>
      <c r="K60">
        <v>0.51</v>
      </c>
      <c r="L60">
        <v>193</v>
      </c>
      <c r="M60">
        <v>0.08</v>
      </c>
      <c r="N60">
        <v>882</v>
      </c>
      <c r="O60">
        <v>0.37</v>
      </c>
      <c r="P60">
        <v>0</v>
      </c>
      <c r="Q60">
        <v>0</v>
      </c>
      <c r="R60">
        <v>0</v>
      </c>
      <c r="S60">
        <v>0</v>
      </c>
      <c r="T60">
        <v>260</v>
      </c>
      <c r="U60">
        <v>0.11</v>
      </c>
      <c r="V60">
        <v>0</v>
      </c>
      <c r="W60">
        <v>0</v>
      </c>
      <c r="X60" s="44">
        <v>2399</v>
      </c>
      <c r="Y60">
        <v>0.98</v>
      </c>
      <c r="Z60" s="44">
        <v>18418</v>
      </c>
      <c r="AA60">
        <v>0.64</v>
      </c>
    </row>
    <row r="61" spans="1:27" x14ac:dyDescent="0.25">
      <c r="A61" t="s">
        <v>105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106</v>
      </c>
      <c r="B62" s="44">
        <v>17063</v>
      </c>
      <c r="C62">
        <v>6.65</v>
      </c>
      <c r="D62" s="44">
        <v>18864</v>
      </c>
      <c r="E62">
        <v>7.86</v>
      </c>
      <c r="F62" s="44">
        <v>32475</v>
      </c>
      <c r="G62">
        <v>12.52</v>
      </c>
      <c r="H62" s="44">
        <v>10108</v>
      </c>
      <c r="I62">
        <v>4.49</v>
      </c>
      <c r="J62" s="44">
        <v>9671</v>
      </c>
      <c r="K62">
        <v>3.92</v>
      </c>
      <c r="L62" s="44">
        <v>7191</v>
      </c>
      <c r="M62">
        <v>3.11</v>
      </c>
      <c r="N62" s="44">
        <v>2546</v>
      </c>
      <c r="O62">
        <v>1.07</v>
      </c>
      <c r="P62" s="44">
        <v>2770</v>
      </c>
      <c r="Q62">
        <v>1.19</v>
      </c>
      <c r="R62" s="44">
        <v>21952</v>
      </c>
      <c r="S62">
        <v>8.92</v>
      </c>
      <c r="T62" s="44">
        <v>11843</v>
      </c>
      <c r="U62">
        <v>5.22</v>
      </c>
      <c r="V62" s="44">
        <v>2491</v>
      </c>
      <c r="W62">
        <v>1.1599999999999999</v>
      </c>
      <c r="X62" s="44">
        <v>8728</v>
      </c>
      <c r="Y62">
        <v>3.56</v>
      </c>
      <c r="Z62" s="44">
        <v>145702</v>
      </c>
      <c r="AA62">
        <v>5.09</v>
      </c>
    </row>
    <row r="63" spans="1:27" x14ac:dyDescent="0.25">
      <c r="A63" t="s">
        <v>107</v>
      </c>
      <c r="B63">
        <v>504</v>
      </c>
      <c r="C63">
        <v>0.2</v>
      </c>
      <c r="D63" s="44">
        <v>8450</v>
      </c>
      <c r="E63">
        <v>3.52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s="44">
        <v>8954</v>
      </c>
      <c r="AA63">
        <v>0.31</v>
      </c>
    </row>
    <row r="64" spans="1:27" x14ac:dyDescent="0.25">
      <c r="A64" t="s">
        <v>47</v>
      </c>
      <c r="B64" s="44">
        <v>43008</v>
      </c>
      <c r="C64">
        <v>16.760000000000002</v>
      </c>
      <c r="D64" s="44">
        <v>34044</v>
      </c>
      <c r="E64">
        <v>14.18</v>
      </c>
      <c r="F64" s="44">
        <v>41815</v>
      </c>
      <c r="G64">
        <v>16.13</v>
      </c>
      <c r="H64" s="44">
        <v>12536</v>
      </c>
      <c r="I64">
        <v>5.56</v>
      </c>
      <c r="J64" s="44">
        <v>19596</v>
      </c>
      <c r="K64">
        <v>7.95</v>
      </c>
      <c r="L64" s="44">
        <v>11068</v>
      </c>
      <c r="M64">
        <v>4.79</v>
      </c>
      <c r="N64" s="44">
        <v>5598</v>
      </c>
      <c r="O64">
        <v>2.36</v>
      </c>
      <c r="P64" s="44">
        <v>5297</v>
      </c>
      <c r="Q64">
        <v>2.27</v>
      </c>
      <c r="R64" s="44">
        <v>36004</v>
      </c>
      <c r="S64">
        <v>14.62</v>
      </c>
      <c r="T64" s="44">
        <v>24402</v>
      </c>
      <c r="U64">
        <v>10.76</v>
      </c>
      <c r="V64" s="44">
        <v>2491</v>
      </c>
      <c r="W64">
        <v>1.1599999999999999</v>
      </c>
      <c r="X64" s="44">
        <v>19442</v>
      </c>
      <c r="Y64">
        <v>7.93</v>
      </c>
      <c r="Z64" s="44">
        <v>255302</v>
      </c>
      <c r="AA64">
        <v>8.92</v>
      </c>
    </row>
    <row r="65" spans="1:27" x14ac:dyDescent="0.25">
      <c r="A65" t="s">
        <v>53</v>
      </c>
    </row>
    <row r="66" spans="1:27" x14ac:dyDescent="0.25">
      <c r="A66" t="s">
        <v>108</v>
      </c>
      <c r="B66" s="44">
        <v>7307</v>
      </c>
      <c r="C66">
        <v>2.85</v>
      </c>
      <c r="D66" s="44">
        <v>5276</v>
      </c>
      <c r="E66">
        <v>2.2000000000000002</v>
      </c>
      <c r="F66" s="44">
        <v>9591</v>
      </c>
      <c r="G66">
        <v>3.7</v>
      </c>
      <c r="H66" s="44">
        <v>2102</v>
      </c>
      <c r="I66">
        <v>0.93</v>
      </c>
      <c r="J66" s="44">
        <v>6920</v>
      </c>
      <c r="K66">
        <v>2.81</v>
      </c>
      <c r="L66" s="44">
        <v>10029</v>
      </c>
      <c r="M66">
        <v>4.34</v>
      </c>
      <c r="N66" s="44">
        <v>11586</v>
      </c>
      <c r="O66">
        <v>4.88</v>
      </c>
      <c r="P66" s="44">
        <v>3266</v>
      </c>
      <c r="Q66">
        <v>1.4</v>
      </c>
      <c r="R66" s="44">
        <v>12835</v>
      </c>
      <c r="S66">
        <v>5.21</v>
      </c>
      <c r="T66">
        <v>0</v>
      </c>
      <c r="U66">
        <v>0</v>
      </c>
      <c r="V66" s="44">
        <v>8223</v>
      </c>
      <c r="W66">
        <v>3.83</v>
      </c>
      <c r="X66" s="44">
        <v>18329</v>
      </c>
      <c r="Y66">
        <v>7.48</v>
      </c>
      <c r="Z66" s="44">
        <v>95463</v>
      </c>
      <c r="AA66">
        <v>3.33</v>
      </c>
    </row>
    <row r="67" spans="1:27" x14ac:dyDescent="0.25">
      <c r="A67" t="s">
        <v>109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 t="s">
        <v>110</v>
      </c>
      <c r="B68">
        <v>0</v>
      </c>
      <c r="C68">
        <v>0</v>
      </c>
      <c r="D68">
        <v>912</v>
      </c>
      <c r="E68">
        <v>0.38</v>
      </c>
      <c r="F68" s="44">
        <v>1097</v>
      </c>
      <c r="G68">
        <v>0.42</v>
      </c>
      <c r="H68" s="44">
        <v>1059</v>
      </c>
      <c r="I68">
        <v>0.47</v>
      </c>
      <c r="J68">
        <v>335</v>
      </c>
      <c r="K68">
        <v>0.14000000000000001</v>
      </c>
      <c r="L68">
        <v>0</v>
      </c>
      <c r="M68">
        <v>0</v>
      </c>
      <c r="N68" s="44">
        <v>2224</v>
      </c>
      <c r="O68">
        <v>0.94</v>
      </c>
      <c r="P68">
        <v>351</v>
      </c>
      <c r="Q68">
        <v>0.15</v>
      </c>
      <c r="R68" s="44">
        <v>2633</v>
      </c>
      <c r="S68">
        <v>1.07</v>
      </c>
      <c r="T68">
        <v>0</v>
      </c>
      <c r="U68">
        <v>0</v>
      </c>
      <c r="V68" s="44">
        <v>1464</v>
      </c>
      <c r="W68">
        <v>0.68</v>
      </c>
      <c r="X68" s="44">
        <v>3137</v>
      </c>
      <c r="Y68">
        <v>1.28</v>
      </c>
      <c r="Z68" s="44">
        <v>13213</v>
      </c>
      <c r="AA68">
        <v>0.46</v>
      </c>
    </row>
    <row r="69" spans="1:27" x14ac:dyDescent="0.25">
      <c r="A69" t="s">
        <v>54</v>
      </c>
      <c r="B69" s="44">
        <v>7307</v>
      </c>
      <c r="C69">
        <v>2.85</v>
      </c>
      <c r="D69" s="44">
        <v>6188</v>
      </c>
      <c r="E69">
        <v>2.58</v>
      </c>
      <c r="F69" s="44">
        <v>10688</v>
      </c>
      <c r="G69">
        <v>4.12</v>
      </c>
      <c r="H69" s="44">
        <v>3161</v>
      </c>
      <c r="I69">
        <v>1.4</v>
      </c>
      <c r="J69" s="44">
        <v>7255</v>
      </c>
      <c r="K69">
        <v>2.94</v>
      </c>
      <c r="L69" s="44">
        <v>10029</v>
      </c>
      <c r="M69">
        <v>4.34</v>
      </c>
      <c r="N69" s="44">
        <v>13810</v>
      </c>
      <c r="O69">
        <v>5.81</v>
      </c>
      <c r="P69" s="44">
        <v>3618</v>
      </c>
      <c r="Q69">
        <v>1.55</v>
      </c>
      <c r="R69" s="44">
        <v>15468</v>
      </c>
      <c r="S69">
        <v>6.28</v>
      </c>
      <c r="T69">
        <v>0</v>
      </c>
      <c r="U69">
        <v>0</v>
      </c>
      <c r="V69" s="44">
        <v>9687</v>
      </c>
      <c r="W69">
        <v>4.5199999999999996</v>
      </c>
      <c r="X69" s="44">
        <v>21466</v>
      </c>
      <c r="Y69">
        <v>8.76</v>
      </c>
      <c r="Z69" s="44">
        <v>108676</v>
      </c>
      <c r="AA69">
        <v>3.8</v>
      </c>
    </row>
    <row r="70" spans="1:27" x14ac:dyDescent="0.25">
      <c r="A70" t="s">
        <v>48</v>
      </c>
      <c r="B70" s="44">
        <v>379332</v>
      </c>
      <c r="C70">
        <v>147.83000000000001</v>
      </c>
      <c r="D70" s="44">
        <v>332103</v>
      </c>
      <c r="E70">
        <v>138.32</v>
      </c>
      <c r="F70" s="44">
        <v>390919</v>
      </c>
      <c r="G70">
        <v>150.76</v>
      </c>
      <c r="H70" s="44">
        <v>373220</v>
      </c>
      <c r="I70">
        <v>165.65</v>
      </c>
      <c r="J70" s="44">
        <v>401243</v>
      </c>
      <c r="K70">
        <v>162.71</v>
      </c>
      <c r="L70" s="44">
        <v>412670</v>
      </c>
      <c r="M70">
        <v>178.65</v>
      </c>
      <c r="N70" s="44">
        <v>386222</v>
      </c>
      <c r="O70">
        <v>162.62</v>
      </c>
      <c r="P70" s="44">
        <v>365887</v>
      </c>
      <c r="Q70">
        <v>156.56</v>
      </c>
      <c r="R70" s="44">
        <v>378054</v>
      </c>
      <c r="S70">
        <v>153.56</v>
      </c>
      <c r="T70" s="44">
        <v>370281</v>
      </c>
      <c r="U70">
        <v>163.26</v>
      </c>
      <c r="V70" s="44">
        <v>373009</v>
      </c>
      <c r="W70">
        <v>173.9</v>
      </c>
      <c r="X70" s="44">
        <v>401772</v>
      </c>
      <c r="Y70">
        <v>163.92</v>
      </c>
      <c r="Z70" s="44">
        <v>4564714</v>
      </c>
      <c r="AA70">
        <v>159.44999999999999</v>
      </c>
    </row>
    <row r="71" spans="1:27" x14ac:dyDescent="0.25">
      <c r="A71" t="s">
        <v>55</v>
      </c>
      <c r="B71" s="44">
        <v>422340</v>
      </c>
      <c r="C71">
        <v>164.59</v>
      </c>
      <c r="D71" s="44">
        <v>366147</v>
      </c>
      <c r="E71">
        <v>152.5</v>
      </c>
      <c r="F71" s="44">
        <v>432734</v>
      </c>
      <c r="G71">
        <v>166.89</v>
      </c>
      <c r="H71" s="44">
        <v>385756</v>
      </c>
      <c r="I71">
        <v>171.22</v>
      </c>
      <c r="J71" s="44">
        <v>420839</v>
      </c>
      <c r="K71">
        <v>170.66</v>
      </c>
      <c r="L71" s="44">
        <v>423738</v>
      </c>
      <c r="M71">
        <v>183.44</v>
      </c>
      <c r="N71" s="44">
        <v>391820</v>
      </c>
      <c r="O71">
        <v>164.98</v>
      </c>
      <c r="P71" s="44">
        <v>371184</v>
      </c>
      <c r="Q71">
        <v>158.83000000000001</v>
      </c>
      <c r="R71" s="44">
        <v>414058</v>
      </c>
      <c r="S71">
        <v>168.18</v>
      </c>
      <c r="T71" s="44">
        <v>394683</v>
      </c>
      <c r="U71">
        <v>174.02</v>
      </c>
      <c r="V71" s="44">
        <v>375501</v>
      </c>
      <c r="W71">
        <v>175.06</v>
      </c>
      <c r="X71" s="44">
        <v>421214</v>
      </c>
      <c r="Y71">
        <v>171.85</v>
      </c>
      <c r="Z71" s="44">
        <v>4820015</v>
      </c>
      <c r="AA71">
        <v>168.37</v>
      </c>
    </row>
    <row r="72" spans="1:27" x14ac:dyDescent="0.25">
      <c r="A72" t="s">
        <v>56</v>
      </c>
      <c r="B72" s="44">
        <v>386639</v>
      </c>
      <c r="C72">
        <v>150.68</v>
      </c>
      <c r="D72" s="44">
        <v>338291</v>
      </c>
      <c r="E72">
        <v>140.9</v>
      </c>
      <c r="F72" s="44">
        <v>401607</v>
      </c>
      <c r="G72">
        <v>154.88</v>
      </c>
      <c r="H72" s="44">
        <v>376381</v>
      </c>
      <c r="I72">
        <v>167.06</v>
      </c>
      <c r="J72" s="44">
        <v>408498</v>
      </c>
      <c r="K72">
        <v>165.65</v>
      </c>
      <c r="L72" s="44">
        <v>422699</v>
      </c>
      <c r="M72">
        <v>182.99</v>
      </c>
      <c r="N72" s="44">
        <v>400032</v>
      </c>
      <c r="O72">
        <v>168.43</v>
      </c>
      <c r="P72" s="44">
        <v>369505</v>
      </c>
      <c r="Q72">
        <v>158.11000000000001</v>
      </c>
      <c r="R72" s="44">
        <v>393522</v>
      </c>
      <c r="S72">
        <v>159.84</v>
      </c>
      <c r="T72" s="44">
        <v>370281</v>
      </c>
      <c r="U72">
        <v>163.26</v>
      </c>
      <c r="V72" s="44">
        <v>382697</v>
      </c>
      <c r="W72">
        <v>178.41</v>
      </c>
      <c r="X72" s="44">
        <v>423238</v>
      </c>
      <c r="Y72">
        <v>172.68</v>
      </c>
      <c r="Z72" s="44">
        <v>4673390</v>
      </c>
      <c r="AA72">
        <v>163.25</v>
      </c>
    </row>
    <row r="73" spans="1:27" x14ac:dyDescent="0.25">
      <c r="A73" t="s">
        <v>111</v>
      </c>
      <c r="B73" s="44">
        <v>429647</v>
      </c>
      <c r="C73">
        <v>167.44</v>
      </c>
      <c r="D73" s="44">
        <v>372334</v>
      </c>
      <c r="E73">
        <v>155.07</v>
      </c>
      <c r="F73" s="44">
        <v>443422</v>
      </c>
      <c r="G73">
        <v>171.01</v>
      </c>
      <c r="H73" s="44">
        <v>388917</v>
      </c>
      <c r="I73">
        <v>172.62</v>
      </c>
      <c r="J73" s="44">
        <v>428094</v>
      </c>
      <c r="K73">
        <v>173.6</v>
      </c>
      <c r="L73" s="44">
        <v>433767</v>
      </c>
      <c r="M73">
        <v>187.78</v>
      </c>
      <c r="N73" s="44">
        <v>405630</v>
      </c>
      <c r="O73">
        <v>170.79</v>
      </c>
      <c r="P73" s="44">
        <v>374802</v>
      </c>
      <c r="Q73">
        <v>160.38</v>
      </c>
      <c r="R73" s="44">
        <v>429527</v>
      </c>
      <c r="S73">
        <v>174.46</v>
      </c>
      <c r="T73" s="44">
        <v>394683</v>
      </c>
      <c r="U73">
        <v>174.02</v>
      </c>
      <c r="V73" s="44">
        <v>385188</v>
      </c>
      <c r="W73">
        <v>179.57</v>
      </c>
      <c r="X73" s="44">
        <v>442680</v>
      </c>
      <c r="Y73">
        <v>180.61</v>
      </c>
      <c r="Z73" s="44">
        <v>4928691</v>
      </c>
      <c r="AA73">
        <v>172.17</v>
      </c>
    </row>
    <row r="74" spans="1:27" x14ac:dyDescent="0.25">
      <c r="A74" t="s">
        <v>112</v>
      </c>
      <c r="B74" s="44">
        <v>473308</v>
      </c>
      <c r="C74">
        <v>184.45</v>
      </c>
      <c r="D74" s="44">
        <v>408103</v>
      </c>
      <c r="E74">
        <v>169.97</v>
      </c>
      <c r="F74" s="44">
        <v>480384</v>
      </c>
      <c r="G74">
        <v>185.26</v>
      </c>
      <c r="H74" s="44">
        <v>423046</v>
      </c>
      <c r="I74">
        <v>187.77</v>
      </c>
      <c r="J74" s="44">
        <v>463715</v>
      </c>
      <c r="K74">
        <v>188.04</v>
      </c>
      <c r="L74" s="44">
        <v>467115</v>
      </c>
      <c r="M74">
        <v>202.21</v>
      </c>
      <c r="N74" s="44">
        <v>437162</v>
      </c>
      <c r="O74">
        <v>184.07</v>
      </c>
      <c r="P74" s="44">
        <v>404362</v>
      </c>
      <c r="Q74">
        <v>173.03</v>
      </c>
      <c r="R74" s="44">
        <v>459264</v>
      </c>
      <c r="S74">
        <v>186.54</v>
      </c>
      <c r="T74" s="44">
        <v>419712</v>
      </c>
      <c r="U74">
        <v>185.06</v>
      </c>
      <c r="V74" s="44">
        <v>414316</v>
      </c>
      <c r="W74">
        <v>193.15</v>
      </c>
      <c r="X74" s="44">
        <v>474863</v>
      </c>
      <c r="Y74">
        <v>193.74</v>
      </c>
      <c r="Z74" s="44">
        <v>5325349</v>
      </c>
      <c r="AA74">
        <v>186.03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CE59-02F1-4056-95AA-4324899F12C8}">
  <dimension ref="A1:C53"/>
  <sheetViews>
    <sheetView workbookViewId="0">
      <selection sqref="A1:E1048576"/>
    </sheetView>
  </sheetViews>
  <sheetFormatPr defaultRowHeight="14.3" x14ac:dyDescent="0.25"/>
  <cols>
    <col min="1" max="1" width="30.875" bestFit="1" customWidth="1"/>
    <col min="2" max="2" width="13.125" bestFit="1" customWidth="1"/>
    <col min="3" max="3" width="13" bestFit="1" customWidth="1"/>
  </cols>
  <sheetData>
    <row r="1" spans="1:3" x14ac:dyDescent="0.25">
      <c r="A1" s="128" t="s">
        <v>223</v>
      </c>
      <c r="B1" s="128"/>
      <c r="C1" s="128" t="s">
        <v>224</v>
      </c>
    </row>
    <row r="3" spans="1:3" x14ac:dyDescent="0.25">
      <c r="A3" t="s">
        <v>228</v>
      </c>
      <c r="C3" t="s">
        <v>321</v>
      </c>
    </row>
    <row r="4" spans="1:3" x14ac:dyDescent="0.25">
      <c r="A4" t="s">
        <v>230</v>
      </c>
      <c r="C4" t="s">
        <v>321</v>
      </c>
    </row>
    <row r="5" spans="1:3" x14ac:dyDescent="0.25">
      <c r="A5" t="s">
        <v>232</v>
      </c>
      <c r="C5" t="s">
        <v>322</v>
      </c>
    </row>
    <row r="6" spans="1:3" x14ac:dyDescent="0.25">
      <c r="A6" t="s">
        <v>234</v>
      </c>
      <c r="C6" t="s">
        <v>323</v>
      </c>
    </row>
    <row r="7" spans="1:3" x14ac:dyDescent="0.25">
      <c r="A7" t="s">
        <v>235</v>
      </c>
      <c r="C7" t="s">
        <v>321</v>
      </c>
    </row>
    <row r="8" spans="1:3" x14ac:dyDescent="0.25">
      <c r="A8" t="s">
        <v>236</v>
      </c>
      <c r="C8" t="s">
        <v>321</v>
      </c>
    </row>
    <row r="9" spans="1:3" x14ac:dyDescent="0.25">
      <c r="A9" t="s">
        <v>238</v>
      </c>
      <c r="C9" t="s">
        <v>324</v>
      </c>
    </row>
    <row r="10" spans="1:3" x14ac:dyDescent="0.25">
      <c r="A10" t="s">
        <v>240</v>
      </c>
      <c r="C10" t="s">
        <v>321</v>
      </c>
    </row>
    <row r="11" spans="1:3" x14ac:dyDescent="0.25">
      <c r="A11" t="s">
        <v>242</v>
      </c>
      <c r="C11" t="s">
        <v>321</v>
      </c>
    </row>
    <row r="12" spans="1:3" x14ac:dyDescent="0.25">
      <c r="A12" t="s">
        <v>244</v>
      </c>
      <c r="C12" t="s">
        <v>321</v>
      </c>
    </row>
    <row r="13" spans="1:3" x14ac:dyDescent="0.25">
      <c r="A13" t="s">
        <v>246</v>
      </c>
      <c r="C13" t="s">
        <v>321</v>
      </c>
    </row>
    <row r="14" spans="1:3" x14ac:dyDescent="0.25">
      <c r="A14" t="s">
        <v>248</v>
      </c>
      <c r="C14" t="s">
        <v>321</v>
      </c>
    </row>
    <row r="15" spans="1:3" x14ac:dyDescent="0.25">
      <c r="A15" t="s">
        <v>250</v>
      </c>
      <c r="C15" t="s">
        <v>325</v>
      </c>
    </row>
    <row r="16" spans="1:3" x14ac:dyDescent="0.25">
      <c r="A16" t="s">
        <v>252</v>
      </c>
      <c r="C16" t="s">
        <v>326</v>
      </c>
    </row>
    <row r="17" spans="1:3" x14ac:dyDescent="0.25">
      <c r="A17" t="s">
        <v>254</v>
      </c>
      <c r="C17" t="s">
        <v>321</v>
      </c>
    </row>
    <row r="18" spans="1:3" x14ac:dyDescent="0.25">
      <c r="A18" t="s">
        <v>256</v>
      </c>
      <c r="C18" t="s">
        <v>327</v>
      </c>
    </row>
    <row r="19" spans="1:3" x14ac:dyDescent="0.25">
      <c r="A19" t="s">
        <v>257</v>
      </c>
      <c r="C19" t="s">
        <v>321</v>
      </c>
    </row>
    <row r="20" spans="1:3" x14ac:dyDescent="0.25">
      <c r="A20" t="s">
        <v>258</v>
      </c>
      <c r="C20" t="s">
        <v>321</v>
      </c>
    </row>
    <row r="21" spans="1:3" x14ac:dyDescent="0.25">
      <c r="A21" t="s">
        <v>259</v>
      </c>
      <c r="C21" t="s">
        <v>321</v>
      </c>
    </row>
    <row r="22" spans="1:3" x14ac:dyDescent="0.25">
      <c r="A22" t="s">
        <v>261</v>
      </c>
      <c r="C22" t="s">
        <v>321</v>
      </c>
    </row>
    <row r="23" spans="1:3" x14ac:dyDescent="0.25">
      <c r="A23" t="s">
        <v>263</v>
      </c>
      <c r="C23" t="s">
        <v>321</v>
      </c>
    </row>
    <row r="24" spans="1:3" x14ac:dyDescent="0.25">
      <c r="A24" t="s">
        <v>265</v>
      </c>
      <c r="C24" t="s">
        <v>321</v>
      </c>
    </row>
    <row r="25" spans="1:3" x14ac:dyDescent="0.25">
      <c r="A25" t="s">
        <v>266</v>
      </c>
      <c r="C25" t="s">
        <v>321</v>
      </c>
    </row>
    <row r="26" spans="1:3" x14ac:dyDescent="0.25">
      <c r="A26" t="s">
        <v>267</v>
      </c>
      <c r="C26" t="s">
        <v>321</v>
      </c>
    </row>
    <row r="27" spans="1:3" x14ac:dyDescent="0.25">
      <c r="A27" t="s">
        <v>268</v>
      </c>
      <c r="C27" t="s">
        <v>321</v>
      </c>
    </row>
    <row r="28" spans="1:3" x14ac:dyDescent="0.25">
      <c r="A28" t="s">
        <v>270</v>
      </c>
      <c r="C28" t="s">
        <v>321</v>
      </c>
    </row>
    <row r="29" spans="1:3" x14ac:dyDescent="0.25">
      <c r="A29" t="s">
        <v>272</v>
      </c>
      <c r="C29" t="s">
        <v>321</v>
      </c>
    </row>
    <row r="30" spans="1:3" x14ac:dyDescent="0.25">
      <c r="A30" t="s">
        <v>272</v>
      </c>
      <c r="C30" t="s">
        <v>321</v>
      </c>
    </row>
    <row r="31" spans="1:3" x14ac:dyDescent="0.25">
      <c r="A31" t="s">
        <v>274</v>
      </c>
      <c r="C31" t="s">
        <v>321</v>
      </c>
    </row>
    <row r="32" spans="1:3" x14ac:dyDescent="0.25">
      <c r="A32" t="s">
        <v>275</v>
      </c>
      <c r="C32" t="s">
        <v>321</v>
      </c>
    </row>
    <row r="33" spans="1:3" x14ac:dyDescent="0.25">
      <c r="A33" t="s">
        <v>276</v>
      </c>
      <c r="C33" t="s">
        <v>328</v>
      </c>
    </row>
    <row r="34" spans="1:3" x14ac:dyDescent="0.25">
      <c r="A34" t="s">
        <v>277</v>
      </c>
      <c r="C34" t="s">
        <v>321</v>
      </c>
    </row>
    <row r="35" spans="1:3" x14ac:dyDescent="0.25">
      <c r="A35" t="s">
        <v>279</v>
      </c>
      <c r="C35" t="s">
        <v>321</v>
      </c>
    </row>
    <row r="36" spans="1:3" x14ac:dyDescent="0.25">
      <c r="A36" t="s">
        <v>281</v>
      </c>
      <c r="C36" t="s">
        <v>321</v>
      </c>
    </row>
    <row r="37" spans="1:3" x14ac:dyDescent="0.25">
      <c r="A37" t="s">
        <v>282</v>
      </c>
      <c r="C37" t="s">
        <v>321</v>
      </c>
    </row>
    <row r="38" spans="1:3" x14ac:dyDescent="0.25">
      <c r="A38" t="s">
        <v>284</v>
      </c>
      <c r="C38" t="s">
        <v>321</v>
      </c>
    </row>
    <row r="39" spans="1:3" x14ac:dyDescent="0.25">
      <c r="A39" t="s">
        <v>285</v>
      </c>
      <c r="C39" t="s">
        <v>321</v>
      </c>
    </row>
    <row r="40" spans="1:3" x14ac:dyDescent="0.25">
      <c r="A40" t="s">
        <v>286</v>
      </c>
      <c r="C40" t="s">
        <v>321</v>
      </c>
    </row>
    <row r="41" spans="1:3" x14ac:dyDescent="0.25">
      <c r="A41" t="s">
        <v>287</v>
      </c>
      <c r="C41" t="s">
        <v>321</v>
      </c>
    </row>
    <row r="42" spans="1:3" x14ac:dyDescent="0.25">
      <c r="A42" t="s">
        <v>288</v>
      </c>
      <c r="C42" t="s">
        <v>321</v>
      </c>
    </row>
    <row r="43" spans="1:3" x14ac:dyDescent="0.25">
      <c r="A43" t="s">
        <v>289</v>
      </c>
      <c r="C43" t="s">
        <v>321</v>
      </c>
    </row>
    <row r="44" spans="1:3" x14ac:dyDescent="0.25">
      <c r="A44" t="s">
        <v>292</v>
      </c>
      <c r="C44" t="s">
        <v>321</v>
      </c>
    </row>
    <row r="45" spans="1:3" x14ac:dyDescent="0.25">
      <c r="A45" t="s">
        <v>293</v>
      </c>
      <c r="C45" t="s">
        <v>321</v>
      </c>
    </row>
    <row r="46" spans="1:3" x14ac:dyDescent="0.25">
      <c r="A46" t="s">
        <v>294</v>
      </c>
      <c r="C46" t="s">
        <v>321</v>
      </c>
    </row>
    <row r="47" spans="1:3" x14ac:dyDescent="0.25">
      <c r="A47" t="s">
        <v>295</v>
      </c>
      <c r="C47" t="s">
        <v>321</v>
      </c>
    </row>
    <row r="48" spans="1:3" x14ac:dyDescent="0.25">
      <c r="A48" t="s">
        <v>296</v>
      </c>
      <c r="C48" t="s">
        <v>321</v>
      </c>
    </row>
    <row r="49" spans="1:3" x14ac:dyDescent="0.25">
      <c r="A49" t="s">
        <v>297</v>
      </c>
      <c r="C49" t="s">
        <v>321</v>
      </c>
    </row>
    <row r="50" spans="1:3" x14ac:dyDescent="0.25">
      <c r="A50" t="s">
        <v>298</v>
      </c>
      <c r="C50" t="s">
        <v>321</v>
      </c>
    </row>
    <row r="51" spans="1:3" x14ac:dyDescent="0.25">
      <c r="A51" t="s">
        <v>299</v>
      </c>
      <c r="C51" t="s">
        <v>321</v>
      </c>
    </row>
    <row r="52" spans="1:3" x14ac:dyDescent="0.25">
      <c r="A52" t="s">
        <v>300</v>
      </c>
      <c r="C52" t="s">
        <v>321</v>
      </c>
    </row>
    <row r="53" spans="1:3" x14ac:dyDescent="0.25">
      <c r="A53" t="s">
        <v>301</v>
      </c>
      <c r="C53" t="s">
        <v>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1B15-366F-4D2B-B1AD-F72F0AB73E1F}">
  <dimension ref="A1:F72"/>
  <sheetViews>
    <sheetView topLeftCell="A23" workbookViewId="0">
      <selection sqref="A1:E1048576"/>
    </sheetView>
  </sheetViews>
  <sheetFormatPr defaultRowHeight="14.3" x14ac:dyDescent="0.25"/>
  <cols>
    <col min="1" max="1" width="30.875" bestFit="1" customWidth="1"/>
    <col min="2" max="3" width="13.75" bestFit="1" customWidth="1"/>
    <col min="4" max="4" width="21.75" style="133" bestFit="1" customWidth="1"/>
    <col min="5" max="5" width="24.125" style="133" bestFit="1" customWidth="1"/>
    <col min="6" max="6" width="13.75" bestFit="1" customWidth="1"/>
  </cols>
  <sheetData>
    <row r="1" spans="1:5" x14ac:dyDescent="0.25">
      <c r="A1" s="135" t="s">
        <v>223</v>
      </c>
      <c r="B1" s="136"/>
      <c r="C1" s="135" t="s">
        <v>302</v>
      </c>
      <c r="D1" s="138" t="s">
        <v>303</v>
      </c>
      <c r="E1" s="138" t="s">
        <v>304</v>
      </c>
    </row>
    <row r="3" spans="1:5" x14ac:dyDescent="0.25">
      <c r="A3" t="s">
        <v>228</v>
      </c>
      <c r="B3" t="str">
        <f>VLOOKUP(A3,'DTF Data'!$A$1:$C$53,3,FALSE)</f>
        <v> $0.00</v>
      </c>
      <c r="C3" s="133">
        <f>VALUE(SUBSTITUTE(SUBSTITUTE(SUBSTITUTE(SUBSTITUTE(SUBSTITUTE(TRIM(CLEAN(B3)),CHAR(160),""),"$",""),",",""),"(","-"),")",""))</f>
        <v>0</v>
      </c>
      <c r="D3" s="133">
        <f>(IF(C3&lt;0,C3,0))</f>
        <v>0</v>
      </c>
      <c r="E3" s="133">
        <f>IF(C3&gt;0,C3,0)</f>
        <v>0</v>
      </c>
    </row>
    <row r="4" spans="1:5" x14ac:dyDescent="0.25">
      <c r="A4" t="s">
        <v>230</v>
      </c>
      <c r="B4" t="str">
        <f>VLOOKUP(A4,'DTF Data'!$A$1:$C$53,3,FALSE)</f>
        <v> $0.00</v>
      </c>
      <c r="C4" s="133">
        <f t="shared" ref="C4:C53" si="0">VALUE(SUBSTITUTE(SUBSTITUTE(SUBSTITUTE(SUBSTITUTE(SUBSTITUTE(TRIM(CLEAN(B4)),CHAR(160),""),"$",""),",",""),"(","-"),")",""))</f>
        <v>0</v>
      </c>
      <c r="D4" s="133">
        <f t="shared" ref="D4:D53" si="1">(IF(C4&lt;0,C4,0))</f>
        <v>0</v>
      </c>
      <c r="E4" s="133">
        <f t="shared" ref="E4:E53" si="2">IF(C4&gt;0,C4,0)</f>
        <v>0</v>
      </c>
    </row>
    <row r="5" spans="1:5" x14ac:dyDescent="0.25">
      <c r="A5" t="s">
        <v>232</v>
      </c>
      <c r="B5" t="str">
        <f>VLOOKUP(A5,'DTF Data'!$A$1:$C$53,3,FALSE)</f>
        <v> $938,209.79</v>
      </c>
      <c r="C5" s="133">
        <f t="shared" si="0"/>
        <v>938209.79</v>
      </c>
      <c r="D5" s="133">
        <f t="shared" si="1"/>
        <v>0</v>
      </c>
      <c r="E5" s="133">
        <f t="shared" si="2"/>
        <v>938209.79</v>
      </c>
    </row>
    <row r="6" spans="1:5" x14ac:dyDescent="0.25">
      <c r="A6" t="s">
        <v>234</v>
      </c>
      <c r="B6" t="str">
        <f>VLOOKUP(A6,'DTF Data'!$A$1:$C$53,3,FALSE)</f>
        <v> ($157,039.88)</v>
      </c>
      <c r="C6" s="133">
        <f t="shared" si="0"/>
        <v>-157039.88</v>
      </c>
      <c r="D6" s="133">
        <f t="shared" si="1"/>
        <v>-157039.88</v>
      </c>
      <c r="E6" s="133">
        <f t="shared" si="2"/>
        <v>0</v>
      </c>
    </row>
    <row r="7" spans="1:5" x14ac:dyDescent="0.25">
      <c r="A7" t="s">
        <v>235</v>
      </c>
      <c r="B7" t="str">
        <f>VLOOKUP(A7,'DTF Data'!$A$1:$C$53,3,FALSE)</f>
        <v> $0.00</v>
      </c>
      <c r="C7" s="133">
        <f t="shared" si="0"/>
        <v>0</v>
      </c>
      <c r="D7" s="133">
        <f t="shared" si="1"/>
        <v>0</v>
      </c>
      <c r="E7" s="133">
        <f t="shared" si="2"/>
        <v>0</v>
      </c>
    </row>
    <row r="8" spans="1:5" x14ac:dyDescent="0.25">
      <c r="A8" t="s">
        <v>236</v>
      </c>
      <c r="B8" t="str">
        <f>VLOOKUP(A8,'DTF Data'!$A$1:$C$53,3,FALSE)</f>
        <v> $0.00</v>
      </c>
      <c r="C8" s="133">
        <f t="shared" si="0"/>
        <v>0</v>
      </c>
      <c r="D8" s="133">
        <f t="shared" si="1"/>
        <v>0</v>
      </c>
      <c r="E8" s="133">
        <f t="shared" si="2"/>
        <v>0</v>
      </c>
    </row>
    <row r="9" spans="1:5" x14ac:dyDescent="0.25">
      <c r="A9" t="s">
        <v>238</v>
      </c>
      <c r="B9" t="str">
        <f>VLOOKUP(A9,'DTF Data'!$A$1:$C$53,3,FALSE)</f>
        <v> ($600,000.00)</v>
      </c>
      <c r="C9" s="133">
        <f t="shared" si="0"/>
        <v>-600000</v>
      </c>
      <c r="D9" s="133">
        <f t="shared" si="1"/>
        <v>-600000</v>
      </c>
      <c r="E9" s="133">
        <f t="shared" si="2"/>
        <v>0</v>
      </c>
    </row>
    <row r="10" spans="1:5" x14ac:dyDescent="0.25">
      <c r="A10" t="s">
        <v>240</v>
      </c>
      <c r="B10" t="str">
        <f>VLOOKUP(A10,'DTF Data'!$A$1:$C$53,3,FALSE)</f>
        <v> $0.00</v>
      </c>
      <c r="C10" s="133">
        <f t="shared" si="0"/>
        <v>0</v>
      </c>
      <c r="D10" s="133">
        <f t="shared" si="1"/>
        <v>0</v>
      </c>
      <c r="E10" s="133">
        <f t="shared" si="2"/>
        <v>0</v>
      </c>
    </row>
    <row r="11" spans="1:5" x14ac:dyDescent="0.25">
      <c r="A11" t="s">
        <v>242</v>
      </c>
      <c r="B11" t="str">
        <f>VLOOKUP(A11,'DTF Data'!$A$1:$C$53,3,FALSE)</f>
        <v> $0.00</v>
      </c>
      <c r="C11" s="133">
        <f t="shared" si="0"/>
        <v>0</v>
      </c>
      <c r="D11" s="133">
        <f t="shared" si="1"/>
        <v>0</v>
      </c>
      <c r="E11" s="133">
        <f t="shared" si="2"/>
        <v>0</v>
      </c>
    </row>
    <row r="12" spans="1:5" x14ac:dyDescent="0.25">
      <c r="A12" t="s">
        <v>244</v>
      </c>
      <c r="B12" t="str">
        <f>VLOOKUP(A12,'DTF Data'!$A$1:$C$53,3,FALSE)</f>
        <v> $0.00</v>
      </c>
      <c r="C12" s="133">
        <f t="shared" si="0"/>
        <v>0</v>
      </c>
      <c r="D12" s="133">
        <f t="shared" si="1"/>
        <v>0</v>
      </c>
      <c r="E12" s="133">
        <f t="shared" si="2"/>
        <v>0</v>
      </c>
    </row>
    <row r="13" spans="1:5" x14ac:dyDescent="0.25">
      <c r="A13" t="s">
        <v>246</v>
      </c>
      <c r="B13" t="str">
        <f>VLOOKUP(A13,'DTF Data'!$A$1:$C$53,3,FALSE)</f>
        <v> $0.00</v>
      </c>
      <c r="C13" s="133">
        <f t="shared" si="0"/>
        <v>0</v>
      </c>
      <c r="D13" s="133">
        <f t="shared" si="1"/>
        <v>0</v>
      </c>
      <c r="E13" s="133">
        <f t="shared" si="2"/>
        <v>0</v>
      </c>
    </row>
    <row r="14" spans="1:5" x14ac:dyDescent="0.25">
      <c r="A14" t="s">
        <v>248</v>
      </c>
      <c r="B14" t="str">
        <f>VLOOKUP(A14,'DTF Data'!$A$1:$C$53,3,FALSE)</f>
        <v> $0.00</v>
      </c>
      <c r="C14" s="133">
        <f t="shared" si="0"/>
        <v>0</v>
      </c>
      <c r="D14" s="133">
        <f t="shared" si="1"/>
        <v>0</v>
      </c>
      <c r="E14" s="133">
        <f t="shared" si="2"/>
        <v>0</v>
      </c>
    </row>
    <row r="15" spans="1:5" x14ac:dyDescent="0.25">
      <c r="A15" t="s">
        <v>250</v>
      </c>
      <c r="B15" t="str">
        <f>VLOOKUP(A15,'DTF Data'!$A$1:$C$53,3,FALSE)</f>
        <v> ($632,279.86)</v>
      </c>
      <c r="C15" s="133">
        <f t="shared" si="0"/>
        <v>-632279.86</v>
      </c>
      <c r="D15" s="133">
        <f t="shared" si="1"/>
        <v>-632279.86</v>
      </c>
      <c r="E15" s="133">
        <f t="shared" si="2"/>
        <v>0</v>
      </c>
    </row>
    <row r="16" spans="1:5" x14ac:dyDescent="0.25">
      <c r="A16" t="s">
        <v>252</v>
      </c>
      <c r="B16" t="str">
        <f>VLOOKUP(A16,'DTF Data'!$A$1:$C$53,3,FALSE)</f>
        <v> ($818.28)</v>
      </c>
      <c r="C16" s="133">
        <f t="shared" si="0"/>
        <v>-818.28</v>
      </c>
      <c r="D16" s="133">
        <f t="shared" si="1"/>
        <v>-818.28</v>
      </c>
      <c r="E16" s="133">
        <f t="shared" si="2"/>
        <v>0</v>
      </c>
    </row>
    <row r="17" spans="1:5" x14ac:dyDescent="0.25">
      <c r="A17" t="s">
        <v>254</v>
      </c>
      <c r="B17" t="str">
        <f>VLOOKUP(A17,'DTF Data'!$A$1:$C$53,3,FALSE)</f>
        <v> $0.00</v>
      </c>
      <c r="C17" s="133">
        <f t="shared" si="0"/>
        <v>0</v>
      </c>
      <c r="D17" s="133">
        <f t="shared" si="1"/>
        <v>0</v>
      </c>
      <c r="E17" s="133">
        <f t="shared" si="2"/>
        <v>0</v>
      </c>
    </row>
    <row r="18" spans="1:5" x14ac:dyDescent="0.25">
      <c r="A18" t="s">
        <v>256</v>
      </c>
      <c r="B18" t="str">
        <f>VLOOKUP(A18,'DTF Data'!$A$1:$C$53,3,FALSE)</f>
        <v> ($500,687.67)</v>
      </c>
      <c r="C18" s="133">
        <f t="shared" si="0"/>
        <v>-500687.67</v>
      </c>
      <c r="D18" s="133">
        <f t="shared" si="1"/>
        <v>-500687.67</v>
      </c>
      <c r="E18" s="133">
        <f t="shared" si="2"/>
        <v>0</v>
      </c>
    </row>
    <row r="19" spans="1:5" x14ac:dyDescent="0.25">
      <c r="A19" t="s">
        <v>257</v>
      </c>
      <c r="B19" t="str">
        <f>VLOOKUP(A19,'DTF Data'!$A$1:$C$53,3,FALSE)</f>
        <v> $0.00</v>
      </c>
      <c r="C19" s="133">
        <f t="shared" si="0"/>
        <v>0</v>
      </c>
      <c r="D19" s="133">
        <f t="shared" si="1"/>
        <v>0</v>
      </c>
      <c r="E19" s="133">
        <f t="shared" si="2"/>
        <v>0</v>
      </c>
    </row>
    <row r="20" spans="1:5" x14ac:dyDescent="0.25">
      <c r="A20" t="s">
        <v>258</v>
      </c>
      <c r="B20" t="str">
        <f>VLOOKUP(A20,'DTF Data'!$A$1:$C$53,3,FALSE)</f>
        <v> $0.00</v>
      </c>
      <c r="C20" s="133">
        <f t="shared" si="0"/>
        <v>0</v>
      </c>
      <c r="D20" s="133">
        <f t="shared" si="1"/>
        <v>0</v>
      </c>
      <c r="E20" s="133">
        <f t="shared" si="2"/>
        <v>0</v>
      </c>
    </row>
    <row r="21" spans="1:5" x14ac:dyDescent="0.25">
      <c r="A21" t="s">
        <v>259</v>
      </c>
      <c r="B21" t="str">
        <f>VLOOKUP(A21,'DTF Data'!$A$1:$C$53,3,FALSE)</f>
        <v> $0.00</v>
      </c>
      <c r="C21" s="133">
        <f t="shared" si="0"/>
        <v>0</v>
      </c>
      <c r="D21" s="133">
        <f t="shared" si="1"/>
        <v>0</v>
      </c>
      <c r="E21" s="133">
        <f t="shared" si="2"/>
        <v>0</v>
      </c>
    </row>
    <row r="22" spans="1:5" x14ac:dyDescent="0.25">
      <c r="A22" t="s">
        <v>261</v>
      </c>
      <c r="B22" t="str">
        <f>VLOOKUP(A22,'DTF Data'!$A$1:$C$53,3,FALSE)</f>
        <v> $0.00</v>
      </c>
      <c r="C22" s="133">
        <f t="shared" si="0"/>
        <v>0</v>
      </c>
      <c r="D22" s="133">
        <f t="shared" si="1"/>
        <v>0</v>
      </c>
      <c r="E22" s="133">
        <f t="shared" si="2"/>
        <v>0</v>
      </c>
    </row>
    <row r="23" spans="1:5" x14ac:dyDescent="0.25">
      <c r="A23" t="s">
        <v>263</v>
      </c>
      <c r="B23" t="str">
        <f>VLOOKUP(A23,'DTF Data'!$A$1:$C$53,3,FALSE)</f>
        <v> $0.00</v>
      </c>
      <c r="C23" s="133">
        <f t="shared" si="0"/>
        <v>0</v>
      </c>
      <c r="D23" s="133">
        <f t="shared" si="1"/>
        <v>0</v>
      </c>
      <c r="E23" s="133">
        <f t="shared" si="2"/>
        <v>0</v>
      </c>
    </row>
    <row r="24" spans="1:5" x14ac:dyDescent="0.25">
      <c r="A24" t="s">
        <v>265</v>
      </c>
      <c r="B24" t="str">
        <f>VLOOKUP(A24,'DTF Data'!$A$1:$C$53,3,FALSE)</f>
        <v> $0.00</v>
      </c>
      <c r="C24" s="133">
        <f t="shared" si="0"/>
        <v>0</v>
      </c>
      <c r="D24" s="133">
        <f t="shared" si="1"/>
        <v>0</v>
      </c>
      <c r="E24" s="133">
        <f t="shared" si="2"/>
        <v>0</v>
      </c>
    </row>
    <row r="25" spans="1:5" x14ac:dyDescent="0.25">
      <c r="A25" t="s">
        <v>266</v>
      </c>
      <c r="B25" t="str">
        <f>VLOOKUP(A25,'DTF Data'!$A$1:$C$53,3,FALSE)</f>
        <v> $0.00</v>
      </c>
      <c r="C25" s="133">
        <f t="shared" si="0"/>
        <v>0</v>
      </c>
      <c r="D25" s="133">
        <f t="shared" si="1"/>
        <v>0</v>
      </c>
      <c r="E25" s="133">
        <f t="shared" si="2"/>
        <v>0</v>
      </c>
    </row>
    <row r="26" spans="1:5" x14ac:dyDescent="0.25">
      <c r="A26" t="s">
        <v>267</v>
      </c>
      <c r="B26" t="str">
        <f>VLOOKUP(A26,'DTF Data'!$A$1:$C$53,3,FALSE)</f>
        <v> $0.00</v>
      </c>
      <c r="C26" s="133">
        <f t="shared" si="0"/>
        <v>0</v>
      </c>
      <c r="D26" s="133">
        <f t="shared" si="1"/>
        <v>0</v>
      </c>
      <c r="E26" s="133">
        <f t="shared" si="2"/>
        <v>0</v>
      </c>
    </row>
    <row r="27" spans="1:5" x14ac:dyDescent="0.25">
      <c r="A27" t="s">
        <v>268</v>
      </c>
      <c r="B27" t="str">
        <f>VLOOKUP(A27,'DTF Data'!$A$1:$C$53,3,FALSE)</f>
        <v> $0.00</v>
      </c>
      <c r="C27" s="133">
        <f t="shared" si="0"/>
        <v>0</v>
      </c>
      <c r="D27" s="133">
        <f t="shared" si="1"/>
        <v>0</v>
      </c>
      <c r="E27" s="133">
        <f t="shared" si="2"/>
        <v>0</v>
      </c>
    </row>
    <row r="28" spans="1:5" x14ac:dyDescent="0.25">
      <c r="A28" t="s">
        <v>270</v>
      </c>
      <c r="B28" t="str">
        <f>VLOOKUP(A28,'DTF Data'!$A$1:$C$53,3,FALSE)</f>
        <v> $0.00</v>
      </c>
      <c r="C28" s="133">
        <f t="shared" si="0"/>
        <v>0</v>
      </c>
      <c r="D28" s="133">
        <f t="shared" si="1"/>
        <v>0</v>
      </c>
      <c r="E28" s="133">
        <f t="shared" si="2"/>
        <v>0</v>
      </c>
    </row>
    <row r="29" spans="1:5" x14ac:dyDescent="0.25">
      <c r="A29" t="s">
        <v>272</v>
      </c>
      <c r="B29" t="str">
        <f>VLOOKUP(A29,'DTF Data'!$A$1:$C$53,3,FALSE)</f>
        <v> $0.00</v>
      </c>
      <c r="C29" s="133">
        <f t="shared" si="0"/>
        <v>0</v>
      </c>
      <c r="D29" s="133">
        <f t="shared" si="1"/>
        <v>0</v>
      </c>
      <c r="E29" s="133">
        <f t="shared" si="2"/>
        <v>0</v>
      </c>
    </row>
    <row r="30" spans="1:5" x14ac:dyDescent="0.25">
      <c r="A30" t="s">
        <v>272</v>
      </c>
      <c r="B30" t="str">
        <f>VLOOKUP(A30,'DTF Data'!$A$1:$C$53,3,FALSE)</f>
        <v> $0.00</v>
      </c>
      <c r="C30" s="133">
        <f t="shared" si="0"/>
        <v>0</v>
      </c>
      <c r="D30" s="133">
        <f t="shared" si="1"/>
        <v>0</v>
      </c>
      <c r="E30" s="133">
        <f t="shared" si="2"/>
        <v>0</v>
      </c>
    </row>
    <row r="31" spans="1:5" x14ac:dyDescent="0.25">
      <c r="A31" t="s">
        <v>274</v>
      </c>
      <c r="B31" t="str">
        <f>VLOOKUP(A31,'DTF Data'!$A$1:$C$53,3,FALSE)</f>
        <v> $0.00</v>
      </c>
      <c r="C31" s="133">
        <f t="shared" si="0"/>
        <v>0</v>
      </c>
      <c r="D31" s="133">
        <f t="shared" si="1"/>
        <v>0</v>
      </c>
      <c r="E31" s="133">
        <f t="shared" si="2"/>
        <v>0</v>
      </c>
    </row>
    <row r="32" spans="1:5" x14ac:dyDescent="0.25">
      <c r="A32" t="s">
        <v>275</v>
      </c>
      <c r="B32" t="str">
        <f>VLOOKUP(A32,'DTF Data'!$A$1:$C$53,3,FALSE)</f>
        <v> $0.00</v>
      </c>
      <c r="C32" s="133">
        <f t="shared" si="0"/>
        <v>0</v>
      </c>
      <c r="D32" s="133">
        <f t="shared" si="1"/>
        <v>0</v>
      </c>
      <c r="E32" s="133">
        <f t="shared" si="2"/>
        <v>0</v>
      </c>
    </row>
    <row r="33" spans="1:5" x14ac:dyDescent="0.25">
      <c r="A33" t="s">
        <v>276</v>
      </c>
      <c r="B33" t="str">
        <f>VLOOKUP(A33,'DTF Data'!$A$1:$C$53,3,FALSE)</f>
        <v> $341,450.32</v>
      </c>
      <c r="C33" s="133">
        <f t="shared" si="0"/>
        <v>341450.32</v>
      </c>
      <c r="D33" s="133">
        <f t="shared" si="1"/>
        <v>0</v>
      </c>
      <c r="E33" s="133">
        <f t="shared" si="2"/>
        <v>341450.32</v>
      </c>
    </row>
    <row r="34" spans="1:5" x14ac:dyDescent="0.25">
      <c r="A34" t="s">
        <v>277</v>
      </c>
      <c r="B34" t="str">
        <f>VLOOKUP(A34,'DTF Data'!$A$1:$C$53,3,FALSE)</f>
        <v> $0.00</v>
      </c>
      <c r="C34" s="133">
        <f t="shared" si="0"/>
        <v>0</v>
      </c>
      <c r="D34" s="133">
        <f t="shared" si="1"/>
        <v>0</v>
      </c>
      <c r="E34" s="133">
        <f t="shared" si="2"/>
        <v>0</v>
      </c>
    </row>
    <row r="35" spans="1:5" x14ac:dyDescent="0.25">
      <c r="A35" t="s">
        <v>279</v>
      </c>
      <c r="B35" t="str">
        <f>VLOOKUP(A35,'DTF Data'!$A$1:$C$53,3,FALSE)</f>
        <v> $0.00</v>
      </c>
      <c r="C35" s="133">
        <f t="shared" si="0"/>
        <v>0</v>
      </c>
      <c r="D35" s="133">
        <f t="shared" si="1"/>
        <v>0</v>
      </c>
      <c r="E35" s="133">
        <f t="shared" si="2"/>
        <v>0</v>
      </c>
    </row>
    <row r="36" spans="1:5" x14ac:dyDescent="0.25">
      <c r="A36" t="s">
        <v>281</v>
      </c>
      <c r="B36" t="str">
        <f>VLOOKUP(A36,'DTF Data'!$A$1:$C$53,3,FALSE)</f>
        <v> $0.00</v>
      </c>
      <c r="C36" s="133">
        <f t="shared" si="0"/>
        <v>0</v>
      </c>
      <c r="D36" s="133">
        <f t="shared" si="1"/>
        <v>0</v>
      </c>
      <c r="E36" s="133">
        <f t="shared" si="2"/>
        <v>0</v>
      </c>
    </row>
    <row r="37" spans="1:5" x14ac:dyDescent="0.25">
      <c r="A37" t="s">
        <v>282</v>
      </c>
      <c r="B37" t="str">
        <f>VLOOKUP(A37,'DTF Data'!$A$1:$C$53,3,FALSE)</f>
        <v> $0.00</v>
      </c>
      <c r="C37" s="133">
        <f t="shared" si="0"/>
        <v>0</v>
      </c>
      <c r="D37" s="133">
        <f t="shared" si="1"/>
        <v>0</v>
      </c>
      <c r="E37" s="133">
        <f t="shared" si="2"/>
        <v>0</v>
      </c>
    </row>
    <row r="38" spans="1:5" x14ac:dyDescent="0.25">
      <c r="A38" t="s">
        <v>284</v>
      </c>
      <c r="B38" t="str">
        <f>VLOOKUP(A38,'DTF Data'!$A$1:$C$53,3,FALSE)</f>
        <v> $0.00</v>
      </c>
      <c r="C38" s="133">
        <f t="shared" si="0"/>
        <v>0</v>
      </c>
      <c r="D38" s="133">
        <f t="shared" si="1"/>
        <v>0</v>
      </c>
      <c r="E38" s="133">
        <f t="shared" si="2"/>
        <v>0</v>
      </c>
    </row>
    <row r="39" spans="1:5" x14ac:dyDescent="0.25">
      <c r="A39" t="s">
        <v>285</v>
      </c>
      <c r="B39" t="str">
        <f>VLOOKUP(A39,'DTF Data'!$A$1:$C$53,3,FALSE)</f>
        <v> $0.00</v>
      </c>
      <c r="C39" s="133">
        <f t="shared" si="0"/>
        <v>0</v>
      </c>
      <c r="D39" s="133">
        <f t="shared" si="1"/>
        <v>0</v>
      </c>
      <c r="E39" s="133">
        <f t="shared" si="2"/>
        <v>0</v>
      </c>
    </row>
    <row r="40" spans="1:5" x14ac:dyDescent="0.25">
      <c r="A40" t="s">
        <v>286</v>
      </c>
      <c r="B40" t="str">
        <f>VLOOKUP(A40,'DTF Data'!$A$1:$C$53,3,FALSE)</f>
        <v> $0.00</v>
      </c>
      <c r="C40" s="133">
        <f t="shared" si="0"/>
        <v>0</v>
      </c>
      <c r="D40" s="133">
        <f t="shared" si="1"/>
        <v>0</v>
      </c>
      <c r="E40" s="133">
        <f t="shared" si="2"/>
        <v>0</v>
      </c>
    </row>
    <row r="41" spans="1:5" x14ac:dyDescent="0.25">
      <c r="A41" t="s">
        <v>287</v>
      </c>
      <c r="B41" t="str">
        <f>VLOOKUP(A41,'DTF Data'!$A$1:$C$53,3,FALSE)</f>
        <v> $0.00</v>
      </c>
      <c r="C41" s="133">
        <f t="shared" si="0"/>
        <v>0</v>
      </c>
      <c r="D41" s="133">
        <f t="shared" si="1"/>
        <v>0</v>
      </c>
      <c r="E41" s="133">
        <f t="shared" si="2"/>
        <v>0</v>
      </c>
    </row>
    <row r="42" spans="1:5" x14ac:dyDescent="0.25">
      <c r="A42" t="s">
        <v>288</v>
      </c>
      <c r="B42" t="str">
        <f>VLOOKUP(A42,'DTF Data'!$A$1:$C$53,3,FALSE)</f>
        <v> $0.00</v>
      </c>
      <c r="C42" s="133">
        <f t="shared" si="0"/>
        <v>0</v>
      </c>
      <c r="D42" s="133">
        <f t="shared" si="1"/>
        <v>0</v>
      </c>
      <c r="E42" s="133">
        <f t="shared" si="2"/>
        <v>0</v>
      </c>
    </row>
    <row r="43" spans="1:5" x14ac:dyDescent="0.25">
      <c r="A43" t="s">
        <v>289</v>
      </c>
      <c r="B43" t="str">
        <f>VLOOKUP(A43,'DTF Data'!$A$1:$C$53,3,FALSE)</f>
        <v> $0.00</v>
      </c>
      <c r="C43" s="133">
        <f t="shared" si="0"/>
        <v>0</v>
      </c>
      <c r="D43" s="133">
        <f t="shared" si="1"/>
        <v>0</v>
      </c>
      <c r="E43" s="133">
        <f t="shared" si="2"/>
        <v>0</v>
      </c>
    </row>
    <row r="44" spans="1:5" x14ac:dyDescent="0.25">
      <c r="A44" t="s">
        <v>292</v>
      </c>
      <c r="B44" t="str">
        <f>VLOOKUP(A44,'DTF Data'!$A$1:$C$53,3,FALSE)</f>
        <v> $0.00</v>
      </c>
      <c r="C44" s="133">
        <f t="shared" si="0"/>
        <v>0</v>
      </c>
      <c r="D44" s="133">
        <f t="shared" si="1"/>
        <v>0</v>
      </c>
      <c r="E44" s="133">
        <f t="shared" si="2"/>
        <v>0</v>
      </c>
    </row>
    <row r="45" spans="1:5" x14ac:dyDescent="0.25">
      <c r="A45" t="s">
        <v>293</v>
      </c>
      <c r="B45" t="str">
        <f>VLOOKUP(A45,'DTF Data'!$A$1:$C$53,3,FALSE)</f>
        <v> $0.00</v>
      </c>
      <c r="C45" s="133">
        <f t="shared" si="0"/>
        <v>0</v>
      </c>
      <c r="D45" s="133">
        <f t="shared" si="1"/>
        <v>0</v>
      </c>
      <c r="E45" s="133">
        <f t="shared" si="2"/>
        <v>0</v>
      </c>
    </row>
    <row r="46" spans="1:5" x14ac:dyDescent="0.25">
      <c r="A46" t="s">
        <v>294</v>
      </c>
      <c r="B46" t="str">
        <f>VLOOKUP(A46,'DTF Data'!$A$1:$C$53,3,FALSE)</f>
        <v> $0.00</v>
      </c>
      <c r="C46" s="133">
        <f t="shared" si="0"/>
        <v>0</v>
      </c>
      <c r="D46" s="133">
        <f t="shared" si="1"/>
        <v>0</v>
      </c>
      <c r="E46" s="133">
        <f t="shared" si="2"/>
        <v>0</v>
      </c>
    </row>
    <row r="47" spans="1:5" x14ac:dyDescent="0.25">
      <c r="A47" t="s">
        <v>295</v>
      </c>
      <c r="B47" t="str">
        <f>VLOOKUP(A47,'DTF Data'!$A$1:$C$53,3,FALSE)</f>
        <v> $0.00</v>
      </c>
      <c r="C47" s="133">
        <f t="shared" si="0"/>
        <v>0</v>
      </c>
      <c r="D47" s="133">
        <f t="shared" si="1"/>
        <v>0</v>
      </c>
      <c r="E47" s="133">
        <f t="shared" si="2"/>
        <v>0</v>
      </c>
    </row>
    <row r="48" spans="1:5" x14ac:dyDescent="0.25">
      <c r="A48" t="s">
        <v>296</v>
      </c>
      <c r="B48" t="str">
        <f>VLOOKUP(A48,'DTF Data'!$A$1:$C$53,3,FALSE)</f>
        <v> $0.00</v>
      </c>
      <c r="C48" s="133">
        <f t="shared" si="0"/>
        <v>0</v>
      </c>
      <c r="D48" s="133">
        <f t="shared" si="1"/>
        <v>0</v>
      </c>
      <c r="E48" s="133">
        <f t="shared" si="2"/>
        <v>0</v>
      </c>
    </row>
    <row r="49" spans="1:6" x14ac:dyDescent="0.25">
      <c r="A49" t="s">
        <v>297</v>
      </c>
      <c r="B49" t="str">
        <f>VLOOKUP(A49,'DTF Data'!$A$1:$C$53,3,FALSE)</f>
        <v> $0.00</v>
      </c>
      <c r="C49" s="133">
        <f t="shared" si="0"/>
        <v>0</v>
      </c>
      <c r="D49" s="133">
        <f t="shared" si="1"/>
        <v>0</v>
      </c>
      <c r="E49" s="133">
        <f t="shared" si="2"/>
        <v>0</v>
      </c>
    </row>
    <row r="50" spans="1:6" x14ac:dyDescent="0.25">
      <c r="A50" t="s">
        <v>298</v>
      </c>
      <c r="B50" t="str">
        <f>VLOOKUP(A50,'DTF Data'!$A$1:$C$53,3,FALSE)</f>
        <v> $0.00</v>
      </c>
      <c r="C50" s="133">
        <f t="shared" si="0"/>
        <v>0</v>
      </c>
      <c r="D50" s="133">
        <f t="shared" si="1"/>
        <v>0</v>
      </c>
      <c r="E50" s="133">
        <f t="shared" si="2"/>
        <v>0</v>
      </c>
    </row>
    <row r="51" spans="1:6" x14ac:dyDescent="0.25">
      <c r="A51" t="s">
        <v>299</v>
      </c>
      <c r="B51" t="str">
        <f>VLOOKUP(A51,'DTF Data'!$A$1:$C$53,3,FALSE)</f>
        <v> $0.00</v>
      </c>
      <c r="C51" s="133">
        <f t="shared" si="0"/>
        <v>0</v>
      </c>
      <c r="D51" s="133">
        <f t="shared" si="1"/>
        <v>0</v>
      </c>
      <c r="E51" s="133">
        <f t="shared" si="2"/>
        <v>0</v>
      </c>
    </row>
    <row r="52" spans="1:6" x14ac:dyDescent="0.25">
      <c r="A52" t="s">
        <v>300</v>
      </c>
      <c r="B52" t="str">
        <f>VLOOKUP(A52,'DTF Data'!$A$1:$C$53,3,FALSE)</f>
        <v> $0.00</v>
      </c>
      <c r="C52" s="133">
        <f t="shared" si="0"/>
        <v>0</v>
      </c>
      <c r="D52" s="133">
        <f t="shared" si="1"/>
        <v>0</v>
      </c>
      <c r="E52" s="133">
        <f t="shared" si="2"/>
        <v>0</v>
      </c>
    </row>
    <row r="53" spans="1:6" x14ac:dyDescent="0.25">
      <c r="A53" t="s">
        <v>301</v>
      </c>
      <c r="B53" t="str">
        <f>VLOOKUP(A53,'DTF Data'!$A$1:$C$53,3,FALSE)</f>
        <v> $0.00</v>
      </c>
      <c r="C53" s="133">
        <f t="shared" si="0"/>
        <v>0</v>
      </c>
      <c r="D53" s="139">
        <f t="shared" si="1"/>
        <v>0</v>
      </c>
      <c r="E53" s="139">
        <f t="shared" si="2"/>
        <v>0</v>
      </c>
    </row>
    <row r="54" spans="1:6" x14ac:dyDescent="0.25">
      <c r="D54" s="137">
        <f t="shared" ref="D54:E54" si="3">SUM(D3:D53)</f>
        <v>-1890825.69</v>
      </c>
      <c r="E54" s="137">
        <f t="shared" si="3"/>
        <v>1279660.1100000001</v>
      </c>
      <c r="F54" s="144">
        <f>SUM(D54:E54)</f>
        <v>-611165.57999999984</v>
      </c>
    </row>
    <row r="57" spans="1:6" x14ac:dyDescent="0.25">
      <c r="A57" s="14" t="s">
        <v>231</v>
      </c>
      <c r="B57" s="134">
        <f>E54</f>
        <v>1279660.1100000001</v>
      </c>
    </row>
    <row r="58" spans="1:6" x14ac:dyDescent="0.25">
      <c r="A58" s="14" t="s">
        <v>305</v>
      </c>
      <c r="B58" s="134">
        <f>D54*-1</f>
        <v>1890825.69</v>
      </c>
    </row>
    <row r="59" spans="1:6" x14ac:dyDescent="0.25">
      <c r="B59" s="134"/>
    </row>
    <row r="60" spans="1:6" s="140" customFormat="1" x14ac:dyDescent="0.25">
      <c r="D60" s="141"/>
      <c r="E60" s="141"/>
    </row>
    <row r="62" spans="1:6" x14ac:dyDescent="0.25">
      <c r="A62" s="135" t="s">
        <v>290</v>
      </c>
      <c r="B62" s="136"/>
    </row>
    <row r="63" spans="1:6" x14ac:dyDescent="0.25">
      <c r="A63" t="str">
        <f>'BS Data'!A33</f>
        <v xml:space="preserve">   Accrued Payroll</v>
      </c>
      <c r="B63" s="44">
        <f>'BS Data'!B33</f>
        <v>116658</v>
      </c>
    </row>
    <row r="64" spans="1:6" x14ac:dyDescent="0.25">
      <c r="A64" t="str">
        <f>'BS Data'!A34</f>
        <v xml:space="preserve">   Accrued Benefits</v>
      </c>
      <c r="B64" s="44">
        <f>'BS Data'!B34</f>
        <v>0</v>
      </c>
    </row>
    <row r="65" spans="1:5" x14ac:dyDescent="0.25">
      <c r="A65" t="str">
        <f>'BS Data'!A35</f>
        <v xml:space="preserve">   Payroll Liabilites</v>
      </c>
      <c r="B65" s="44">
        <f>'BS Data'!B35</f>
        <v>0</v>
      </c>
    </row>
    <row r="66" spans="1:5" x14ac:dyDescent="0.25">
      <c r="A66" s="128" t="s">
        <v>291</v>
      </c>
      <c r="B66" s="129">
        <f>SUM(B63:B65)</f>
        <v>116658</v>
      </c>
    </row>
    <row r="69" spans="1:5" s="140" customFormat="1" x14ac:dyDescent="0.25">
      <c r="D69" s="141"/>
      <c r="E69" s="141"/>
    </row>
    <row r="71" spans="1:5" x14ac:dyDescent="0.25">
      <c r="A71" s="135" t="s">
        <v>306</v>
      </c>
      <c r="B71" s="136"/>
    </row>
    <row r="72" spans="1:5" x14ac:dyDescent="0.25">
      <c r="A72" s="143">
        <f>DATEVALUE("1"&amp;LEFT('P&amp;L Trending Data'!B8,FIND("_",'P&amp;L Trending Data'!B8)-1))</f>
        <v>45658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F9ABD2AC45B4F91F2E50E78FE9C4E" ma:contentTypeVersion="8" ma:contentTypeDescription="Create a new document." ma:contentTypeScope="" ma:versionID="ee99350128032b9c31586e846de70a91">
  <xsd:schema xmlns:xsd="http://www.w3.org/2001/XMLSchema" xmlns:xs="http://www.w3.org/2001/XMLSchema" xmlns:p="http://schemas.microsoft.com/office/2006/metadata/properties" xmlns:ns2="8caedf95-4622-4652-91c3-aa3c3050707f" xmlns:ns3="ee2729df-42c4-46b2-9b04-cb183d3ba3ab" targetNamespace="http://schemas.microsoft.com/office/2006/metadata/properties" ma:root="true" ma:fieldsID="11c6f0ace78d736c57aa0a08095e8482" ns2:_="" ns3:_="">
    <xsd:import namespace="8caedf95-4622-4652-91c3-aa3c3050707f"/>
    <xsd:import namespace="ee2729df-42c4-46b2-9b04-cb183d3ba3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df95-4622-4652-91c3-aa3c305070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29df-42c4-46b2-9b04-cb183d3ba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C09063-B8C1-45DF-BB2E-BAA0D3DBC903}"/>
</file>

<file path=customXml/itemProps2.xml><?xml version="1.0" encoding="utf-8"?>
<ds:datastoreItem xmlns:ds="http://schemas.openxmlformats.org/officeDocument/2006/customXml" ds:itemID="{38AC9434-CFB6-4BDC-8D27-DB80E41D69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F930E8-579A-426D-9698-8990DA0D4D4B}">
  <ds:schemaRefs>
    <ds:schemaRef ds:uri="http://schemas.microsoft.com/office/2006/metadata/properties"/>
    <ds:schemaRef ds:uri="http://schemas.microsoft.com/office/infopath/2007/PartnerControls"/>
    <ds:schemaRef ds:uri="821a3935-6c71-45c2-8bd9-7dc937b9f564"/>
    <ds:schemaRef ds:uri="bd0c1935-f03b-4df9-bd6a-806b1a9f63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BS</vt:lpstr>
      <vt:lpstr>P&amp;L</vt:lpstr>
      <vt:lpstr>P&amp;L Detail Trending</vt:lpstr>
      <vt:lpstr>PR Detail Trending</vt:lpstr>
      <vt:lpstr>BS Data</vt:lpstr>
      <vt:lpstr>P&amp;L Data</vt:lpstr>
      <vt:lpstr>P&amp;L Trending Data</vt:lpstr>
      <vt:lpstr>PR Trending Data</vt:lpstr>
      <vt:lpstr>DTF Data</vt:lpstr>
      <vt:lpstr>DTF &amp; QuickCalc</vt:lpstr>
      <vt:lpstr>BS!Print_Area</vt:lpstr>
      <vt:lpstr>'P&amp;L'!Print_Titles</vt:lpstr>
      <vt:lpstr>'P&amp;L Detail Trending'!Print_Titles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Scott Strong</dc:creator>
  <cp:lastModifiedBy>Tracy Morkunas</cp:lastModifiedBy>
  <cp:lastPrinted>2026-05-08T17:33:21Z</cp:lastPrinted>
  <dcterms:created xsi:type="dcterms:W3CDTF">2023-10-18T00:39:04Z</dcterms:created>
  <dcterms:modified xsi:type="dcterms:W3CDTF">2026-05-15T15:02:52Z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0x0101006BDF9ABD2AC45B4F91F2E50E78FE9C4E</vt:lpwstr>
  </property>
  <property fmtid="{D5CDD505-2E9C-101B-9397-08002B2CF9AE}" pid="3" name="Order">
    <vt:r8>129818400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