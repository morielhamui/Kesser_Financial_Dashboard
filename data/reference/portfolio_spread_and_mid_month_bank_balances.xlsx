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"/>
    </mc:Choice>
  </mc:AlternateContent>
  <xr:revisionPtr revIDLastSave="0" documentId="13_ncr:1_{CF1DF574-DDEB-4C5A-9399-2597242A9AFC}" xr6:coauthVersionLast="47" xr6:coauthVersionMax="47" xr10:uidLastSave="{00000000-0000-0000-0000-000000000000}"/>
  <bookViews>
    <workbookView xWindow="1410" yWindow="150" windowWidth="23715" windowHeight="15255" tabRatio="463" activeTab="1" xr2:uid="{8C62EA5C-DF72-43B2-B06D-FA3733409DC6}"/>
  </bookViews>
  <sheets>
    <sheet name="Portfolio Spread" sheetId="3" r:id="rId1"/>
    <sheet name="Bank Balance - Mid Mont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6" i="3" l="1"/>
  <c r="H45" i="3"/>
  <c r="H59" i="3" s="1"/>
  <c r="K33" i="3"/>
  <c r="G33" i="3"/>
  <c r="C33" i="3"/>
  <c r="G25" i="3"/>
  <c r="C25" i="3"/>
  <c r="K17" i="3"/>
  <c r="G17" i="3"/>
  <c r="C17" i="3"/>
  <c r="K10" i="3"/>
  <c r="G10" i="3"/>
  <c r="C9" i="3"/>
  <c r="L36" i="3" l="1"/>
  <c r="C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tc={7FAD2972-89BD-4AD4-9796-CEAAEDA82E76}</author>
    <author>tc={C73DEF5C-FF74-4408-95EC-00ED62B0BBB1}</author>
    <author>Amit Raiber</author>
    <author>tc={279A1C14-09E1-4F4E-BE57-A4B492DD5242}</author>
    <author>tc={B9DBCB4F-88C6-4193-81F8-D4F1FEA90C68}</author>
    <author>tc={4CFF31A7-27E9-4630-84FE-D2FA8858752B}</author>
    <author>tc={03DB75BA-5110-4618-90FE-2F0EFAA62901}</author>
    <author>tc={EF3A6017-E66A-42C9-AF4D-F217E2A0F5DF}</author>
    <author>tc={8C691043-2D43-41AA-8A2F-A0C352738FCF}</author>
    <author>tc={9FE10CA5-EA14-4A98-8AC9-AE9D17DBC585}</author>
    <author>tc={9E2F07D5-66C0-43BD-93D9-026E5906176C}</author>
    <author>tc={369BA012-39D6-4B4E-A319-BC4941A4B540}</author>
    <author>tc={F89302AF-16EC-419B-8A81-5B731DFB318B}</author>
    <author>tc={E909F46C-5DFB-411E-8211-F961C64712E4}</author>
    <author>tc={D482E3D4-DF67-407E-B5DB-2C3582E9A130}</author>
    <author>tc={43101918-8B0D-4AA6-B5B2-6A7D864C0939}</author>
    <author>tc={2DDEEEA0-09E4-47A4-9117-CBE81FB402D7}</author>
    <author>tc={7367BAC6-7B4B-4430-914D-B8AE3E284303}</author>
    <author>tc={314DC8C0-812E-47B9-94CB-D27BC1469854}</author>
    <author>tc={D0744E1B-4B55-414C-865C-EEC4CF6072F9}</author>
    <author>tc={2C9F0B98-E9BB-4114-8DD8-EBF0426882E9}</author>
  </authors>
  <commentList>
    <comment ref="D4" authorId="0" shapeId="0" xr:uid="{7FAD2972-89BD-4AD4-9796-CEAAEDA82E7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Received RET reimbursement from Skidelsky $19K
</t>
      </text>
    </comment>
    <comment ref="G6" authorId="1" shapeId="0" xr:uid="{C73DEF5C-FF74-4408-95EC-00ED62B0BBB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Withdrawal of 10,000 for refinance </t>
      </text>
    </comment>
    <comment ref="S6" authorId="2" shapeId="0" xr:uid="{82F5B744-98CE-4C9A-A1B7-078D06C0101E}">
      <text>
        <r>
          <rPr>
            <b/>
            <sz val="9"/>
            <color indexed="81"/>
            <rFont val="Tahoma"/>
            <family val="2"/>
          </rPr>
          <t xml:space="preserve">$150,000 distribution to YM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8" authorId="3" shapeId="0" xr:uid="{279A1C14-09E1-4F4E-BE57-A4B492DD5242}">
      <text>
        <t>[Threaded comment]
Your version of Excel allows you to read this threaded comment; however, any edits to it will get removed if the file is opened in a newer version of Excel. Learn more: https://go.microsoft.com/fwlink/?linkid=870924
Comment:
    Real Estate Tax True Up Paid</t>
      </text>
    </comment>
    <comment ref="S9" authorId="2" shapeId="0" xr:uid="{02DF2EAC-8A3C-4F39-9828-E527E95E8D82}">
      <text>
        <r>
          <rPr>
            <b/>
            <sz val="9"/>
            <color indexed="81"/>
            <rFont val="Tahoma"/>
            <family val="2"/>
          </rPr>
          <t xml:space="preserve">$3,786.22 second installment Cook County payment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0" authorId="2" shapeId="0" xr:uid="{F7E0C6B5-6807-4081-80EE-F0796C2CF7A6}">
      <text>
        <r>
          <rPr>
            <b/>
            <sz val="9"/>
            <color indexed="81"/>
            <rFont val="Tahoma"/>
            <family val="2"/>
          </rPr>
          <t>$200,000 distribution to YM &amp; $8,829 paid to IL Dept of Revenue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5" authorId="4" shapeId="0" xr:uid="{B9DBCB4F-88C6-4193-81F8-D4F1FEA90C6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Distributions Paid
</t>
      </text>
    </comment>
    <comment ref="H15" authorId="5" shapeId="0" xr:uid="{4CFF31A7-27E9-4630-84FE-D2FA8858752B}">
      <text>
        <t>[Threaded comment]
Your version of Excel allows you to read this threaded comment; however, any edits to it will get removed if the file is opened in a newer version of Excel. Learn more: https://go.microsoft.com/fwlink/?linkid=870924
Comment:
    Waiting for rent</t>
      </text>
    </comment>
    <comment ref="Q15" authorId="2" shapeId="0" xr:uid="{DB9DE214-DF9B-4A2E-A938-8B4FB510C42C}">
      <text>
        <r>
          <rPr>
            <sz val="9"/>
            <color indexed="81"/>
            <rFont val="Tahoma"/>
            <family val="2"/>
          </rPr>
          <t xml:space="preserve">June member distributions 
</t>
        </r>
      </text>
    </comment>
    <comment ref="C16" authorId="6" shapeId="0" xr:uid="{03DB75BA-5110-4618-90FE-2F0EFAA62901}">
      <text>
        <t>[Threaded comment]
Your version of Excel allows you to read this threaded comment; however, any edits to it will get removed if the file is opened in a newer version of Excel. Learn more: https://go.microsoft.com/fwlink/?linkid=870924
Comment:
    Distributions Paid</t>
      </text>
    </comment>
    <comment ref="G16" authorId="7" shapeId="0" xr:uid="{EF3A6017-E66A-42C9-AF4D-F217E2A0F5DF}">
      <text>
        <t>[Threaded comment]
Your version of Excel allows you to read this threaded comment; however, any edits to it will get removed if the file is opened in a newer version of Excel. Learn more: https://go.microsoft.com/fwlink/?linkid=870924
Comment:
    Roth &amp; Co check</t>
      </text>
    </comment>
    <comment ref="H16" authorId="8" shapeId="0" xr:uid="{8C691043-2D43-41AA-8A2F-A0C352738FC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Waiting to receive rent </t>
      </text>
    </comment>
    <comment ref="N16" authorId="2" shapeId="0" xr:uid="{E213973F-9983-413C-A923-129453924CD1}">
      <text>
        <r>
          <rPr>
            <b/>
            <sz val="9"/>
            <color indexed="81"/>
            <rFont val="Tahoma"/>
            <family val="2"/>
          </rPr>
          <t xml:space="preserve">Roth&amp;Co payment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6" authorId="2" shapeId="0" xr:uid="{BAB40FCC-8ED9-4671-A308-5CDEC8D14DA9}">
      <text>
        <r>
          <rPr>
            <b/>
            <sz val="9"/>
            <color indexed="81"/>
            <rFont val="Tahoma"/>
            <family val="2"/>
          </rPr>
          <t xml:space="preserve">$100,000 internal transfer to *1175 for distributions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7" authorId="9" shapeId="0" xr:uid="{9FE10CA5-EA14-4A98-8AC9-AE9D17DBC585}">
      <text>
        <t>[Threaded comment]
Your version of Excel allows you to read this threaded comment; however, any edits to it will get removed if the file is opened in a newer version of Excel. Learn more: https://go.microsoft.com/fwlink/?linkid=870924
Comment:
    Legal fees</t>
      </text>
    </comment>
    <comment ref="H17" authorId="10" shapeId="0" xr:uid="{9E2F07D5-66C0-43BD-93D9-026E5906176C}">
      <text>
        <t>[Threaded comment]
Your version of Excel allows you to read this threaded comment; however, any edits to it will get removed if the file is opened in a newer version of Excel. Learn more: https://go.microsoft.com/fwlink/?linkid=870924
Comment:
    Fees and interest</t>
      </text>
    </comment>
    <comment ref="N17" authorId="2" shapeId="0" xr:uid="{DB426A27-2D3D-4733-91DC-00D24326E493}">
      <text>
        <r>
          <rPr>
            <b/>
            <sz val="9"/>
            <color indexed="81"/>
            <rFont val="Tahoma"/>
            <family val="2"/>
          </rPr>
          <t xml:space="preserve"> Seitler &amp; Assurance payments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7" authorId="2" shapeId="0" xr:uid="{607C162C-F316-4805-8C15-FCF9372E15F5}">
      <text>
        <r>
          <rPr>
            <b/>
            <sz val="9"/>
            <color indexed="81"/>
            <rFont val="Tahoma"/>
            <family val="2"/>
          </rPr>
          <t>$100,000 
CNA Deductible Recovery Group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8" authorId="11" shapeId="0" xr:uid="{369BA012-39D6-4B4E-A319-BC4941A4B54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250K Distributions Paid
</t>
      </text>
    </comment>
    <comment ref="N18" authorId="2" shapeId="0" xr:uid="{98C5C078-1F7F-4ECD-B30C-7D927D82259E}">
      <text>
        <r>
          <rPr>
            <b/>
            <sz val="9"/>
            <color indexed="81"/>
            <rFont val="Tahoma"/>
            <family val="2"/>
          </rPr>
          <t xml:space="preserve">IL Dept of Revenue payment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9" authorId="2" shapeId="0" xr:uid="{AAD4288C-432E-4720-834D-78FCE62375D2}">
      <text>
        <r>
          <rPr>
            <b/>
            <sz val="9"/>
            <color indexed="81"/>
            <rFont val="Tahoma"/>
            <family val="2"/>
          </rPr>
          <t xml:space="preserve">Account closed 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0" authorId="12" shapeId="0" xr:uid="{F89302AF-16EC-419B-8A81-5B731DFB318B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installment R/E tax paid</t>
      </text>
    </comment>
    <comment ref="O20" authorId="2" shapeId="0" xr:uid="{50586369-10DC-4CF5-B014-2D80AD8BA0B8}">
      <text>
        <r>
          <rPr>
            <b/>
            <sz val="9"/>
            <color indexed="81"/>
            <rFont val="Tahoma"/>
            <family val="2"/>
          </rPr>
          <t>Return of capital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1" authorId="2" shapeId="0" xr:uid="{2D71A5BF-CC46-43E4-AAE3-28733D8C9AC3}">
      <text>
        <r>
          <rPr>
            <b/>
            <sz val="9"/>
            <color indexed="81"/>
            <rFont val="Tahoma"/>
            <family val="2"/>
          </rPr>
          <t xml:space="preserve">Roth&amp;Co payment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2" authorId="2" shapeId="0" xr:uid="{8F2A8C03-8271-40FA-82F0-A9384E1714F1}">
      <text>
        <r>
          <rPr>
            <b/>
            <sz val="9"/>
            <color indexed="81"/>
            <rFont val="Tahoma"/>
            <family val="2"/>
          </rPr>
          <t xml:space="preserve">Roth&amp;Co payment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4" authorId="13" shapeId="0" xr:uid="{E909F46C-5DFB-411E-8211-F961C64712E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RET PAID
</t>
      </text>
    </comment>
    <comment ref="S24" authorId="2" shapeId="0" xr:uid="{32693F0B-D4D3-4A86-B1F9-C5470A126B7A}">
      <text>
        <r>
          <rPr>
            <b/>
            <sz val="9"/>
            <color indexed="81"/>
            <rFont val="Tahoma"/>
            <family val="2"/>
          </rPr>
          <t>$27,975.20 second installment paid to Bureau County Clerk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6" authorId="2" shapeId="0" xr:uid="{E0AA0193-7DE0-47C5-AD15-7B7CA2439C72}">
      <text>
        <r>
          <rPr>
            <sz val="9"/>
            <color indexed="81"/>
            <rFont val="Tahoma"/>
            <family val="2"/>
          </rPr>
          <t xml:space="preserve">Funds transferred to Laurkes Holdings 
</t>
        </r>
      </text>
    </comment>
    <comment ref="Q27" authorId="2" shapeId="0" xr:uid="{171D1255-1B19-4782-96FB-E10AF884CDA1}">
      <text>
        <r>
          <rPr>
            <b/>
            <sz val="9"/>
            <color indexed="81"/>
            <rFont val="Tahoma"/>
            <family val="2"/>
          </rPr>
          <t xml:space="preserve">Funds transfer from 1615 Sunset Ave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9" authorId="14" shapeId="0" xr:uid="{D482E3D4-DF67-407E-B5DB-2C3582E9A130}">
      <text>
        <t>[Threaded comment]
Your version of Excel allows you to read this threaded comment; however, any edits to it will get removed if the file is opened in a newer version of Excel. Learn more: https://go.microsoft.com/fwlink/?linkid=870924
Comment:
    Funded $50K For Petersen Property - Closed facilites</t>
      </text>
    </comment>
    <comment ref="R30" authorId="2" shapeId="0" xr:uid="{6E6CF6E6-493F-4C05-941C-1400D6602E50}">
      <text>
        <r>
          <rPr>
            <b/>
            <sz val="9"/>
            <color indexed="81"/>
            <rFont val="Tahoma"/>
            <family val="2"/>
          </rPr>
          <t xml:space="preserve">$100,000 wire went to Extended Care 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1" authorId="15" shapeId="0" xr:uid="{43101918-8B0D-4AA6-B5B2-6A7D864C093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Proceeds from Sale of Lousiville
</t>
      </text>
    </comment>
    <comment ref="D31" authorId="16" shapeId="0" xr:uid="{2DDEEEA0-09E4-47A4-9117-CBE81FB402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Proceeds from Sale of Tarkio</t>
      </text>
    </comment>
    <comment ref="F31" authorId="17" shapeId="0" xr:uid="{7367BAC6-7B4B-4430-914D-B8AE3E28430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Miscellaneous fees </t>
      </text>
    </comment>
    <comment ref="G31" authorId="18" shapeId="0" xr:uid="{314DC8C0-812E-47B9-94CB-D27BC1469854}">
      <text>
        <t>[Threaded comment]
Your version of Excel allows you to read this threaded comment; however, any edits to it will get removed if the file is opened in a newer version of Excel. Learn more: https://go.microsoft.com/fwlink/?linkid=870924
Comment:
    Misc. Fees</t>
      </text>
    </comment>
    <comment ref="A32" authorId="19" shapeId="0" xr:uid="{D0744E1B-4B55-414C-865C-EEC4CF6072F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funded From Petersen SNF - For Closed facilites</t>
      </text>
    </comment>
    <comment ref="F32" authorId="20" shapeId="0" xr:uid="{2C9F0B98-E9BB-4114-8DD8-EBF0426882E9}">
      <text>
        <t>[Threaded comment]
Your version of Excel allows you to read this threaded comment; however, any edits to it will get removed if the file is opened in a newer version of Excel. Learn more: https://go.microsoft.com/fwlink/?linkid=870924
Comment:
    SHTAR payments</t>
      </text>
    </comment>
    <comment ref="P32" authorId="2" shapeId="0" xr:uid="{46BD176A-2427-4864-8C53-33198C10F09B}">
      <text>
        <r>
          <rPr>
            <sz val="9"/>
            <color indexed="81"/>
            <rFont val="Tahoma"/>
            <family val="2"/>
          </rPr>
          <t xml:space="preserve">$75k repayment of loan 
</t>
        </r>
      </text>
    </comment>
  </commentList>
</comments>
</file>

<file path=xl/sharedStrings.xml><?xml version="1.0" encoding="utf-8"?>
<sst xmlns="http://schemas.openxmlformats.org/spreadsheetml/2006/main" count="105" uniqueCount="60">
  <si>
    <t>Evanston NRC Realty</t>
  </si>
  <si>
    <t>Highland Park NRC Realty</t>
  </si>
  <si>
    <t>West Ridge Property</t>
  </si>
  <si>
    <t>Kansas City Property</t>
  </si>
  <si>
    <t>Tonganoxie Property</t>
  </si>
  <si>
    <t>900 E. Corporation</t>
  </si>
  <si>
    <t>221 E. Cumberland</t>
  </si>
  <si>
    <t>Clifton Prop</t>
  </si>
  <si>
    <t>Danville Prop/Arcadia Danville</t>
  </si>
  <si>
    <t>Bank Balance as of:</t>
  </si>
  <si>
    <t>Petersen SNF</t>
  </si>
  <si>
    <t xml:space="preserve">CCG Ikema </t>
  </si>
  <si>
    <t>Petersen Property Holdings</t>
  </si>
  <si>
    <t>1155 N First St</t>
  </si>
  <si>
    <t>1301 21st St</t>
  </si>
  <si>
    <t>1201 21st St</t>
  </si>
  <si>
    <t>612 W St Mary</t>
  </si>
  <si>
    <t>308 S 2nd  St</t>
  </si>
  <si>
    <t>PG Realty</t>
  </si>
  <si>
    <t>Evanston NRC Realty Capex</t>
  </si>
  <si>
    <t>West Ridge Property Capex</t>
  </si>
  <si>
    <t>Tonganoxie Property Capex</t>
  </si>
  <si>
    <t>Kansas City Property Capex</t>
  </si>
  <si>
    <t xml:space="preserve">4340 N Keystone Ave </t>
  </si>
  <si>
    <t>Petersen SNF Capex</t>
  </si>
  <si>
    <t xml:space="preserve">Arcadia Danville Propco </t>
  </si>
  <si>
    <t xml:space="preserve">1615 Sunset Ave </t>
  </si>
  <si>
    <t xml:space="preserve">Kesser Facilities </t>
  </si>
  <si>
    <t xml:space="preserve">Profit/Loss per facility </t>
  </si>
  <si>
    <t xml:space="preserve">1201 Mendota </t>
  </si>
  <si>
    <t xml:space="preserve">900 Bridgeport </t>
  </si>
  <si>
    <t xml:space="preserve">Rent credit </t>
  </si>
  <si>
    <t>Mortgage</t>
  </si>
  <si>
    <t>Kesser bills</t>
  </si>
  <si>
    <t xml:space="preserve">Cherry </t>
  </si>
  <si>
    <t>Cherry</t>
  </si>
  <si>
    <t xml:space="preserve">1301 Peru </t>
  </si>
  <si>
    <t>Glenwood</t>
  </si>
  <si>
    <t>221 St Elmo</t>
  </si>
  <si>
    <t>308 Walnut</t>
  </si>
  <si>
    <t xml:space="preserve">Tonganoxie </t>
  </si>
  <si>
    <t xml:space="preserve">1155 N First St </t>
  </si>
  <si>
    <t>Loan payment</t>
  </si>
  <si>
    <t xml:space="preserve">612 Sterling </t>
  </si>
  <si>
    <t>Kansas City</t>
  </si>
  <si>
    <t xml:space="preserve">Petersen SNF Facilities </t>
  </si>
  <si>
    <t xml:space="preserve">Arcadia Care </t>
  </si>
  <si>
    <t xml:space="preserve">Total rent credit from all Petersen SNF facilities </t>
  </si>
  <si>
    <t>Arcadia ALF</t>
  </si>
  <si>
    <t>Total rent being paid to Caretrust</t>
  </si>
  <si>
    <t>Axiom Care</t>
  </si>
  <si>
    <t>Evercare</t>
  </si>
  <si>
    <t>Kesser Bill</t>
  </si>
  <si>
    <t xml:space="preserve">Extended Care </t>
  </si>
  <si>
    <t xml:space="preserve">Goldwater Care </t>
  </si>
  <si>
    <t>Lineage HC</t>
  </si>
  <si>
    <t xml:space="preserve">Lincoln HC </t>
  </si>
  <si>
    <t>Total P&amp;L</t>
  </si>
  <si>
    <t xml:space="preserve">Total P&amp;L </t>
  </si>
  <si>
    <t xml:space="preserve">Laurkes Holdings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</si>
</sst>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ptos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44" fontId="0" fillId="0" borderId="0" xfId="1" applyFont="1"/>
    <xf numFmtId="44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vertical="center"/>
    </xf>
    <xf numFmtId="14" fontId="7" fillId="0" borderId="0" xfId="0" applyNumberFormat="1" applyFont="1" applyAlignment="1">
      <alignment horizontal="center"/>
    </xf>
    <xf numFmtId="14" fontId="7" fillId="0" borderId="0" xfId="1" applyNumberFormat="1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left"/>
    </xf>
    <xf numFmtId="14" fontId="7" fillId="0" borderId="0" xfId="0" applyNumberFormat="1" applyFont="1"/>
    <xf numFmtId="14" fontId="8" fillId="0" borderId="0" xfId="0" applyNumberFormat="1" applyFont="1"/>
    <xf numFmtId="8" fontId="9" fillId="0" borderId="0" xfId="0" applyNumberFormat="1" applyFont="1"/>
    <xf numFmtId="44" fontId="0" fillId="0" borderId="0" xfId="0" applyNumberFormat="1"/>
    <xf numFmtId="0" fontId="2" fillId="0" borderId="0" xfId="0" applyFont="1"/>
    <xf numFmtId="44" fontId="0" fillId="2" borderId="0" xfId="0" applyNumberFormat="1" applyFill="1"/>
    <xf numFmtId="44" fontId="2" fillId="0" borderId="0" xfId="0" applyNumberFormat="1" applyFont="1"/>
    <xf numFmtId="17" fontId="0" fillId="0" borderId="0" xfId="0" applyNumberFormat="1"/>
    <xf numFmtId="44" fontId="10" fillId="2" borderId="0" xfId="0" applyNumberFormat="1" applyFont="1" applyFill="1"/>
    <xf numFmtId="0" fontId="11" fillId="0" borderId="0" xfId="0" applyFont="1"/>
    <xf numFmtId="17" fontId="2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oriel Hamui" id="{609A42C8-CDEC-4C63-95C6-61F8A3200C24}" userId="S::mhamui@kesser.com::9cf6631d-f24e-4648-bb39-605444143737" providerId="AD"/>
  <person displayName="Shoshana Allen" id="{4D45E2ED-A9A9-4812-9F06-9B827F9444A3}" userId="S::srallen@kesser.com::95b78ba1-4fbd-41e8-9088-b470e4fed805" providerId="AD"/>
  <person displayName="Dassie Dubovick" id="{61C757C2-DDB7-4755-9557-0BFFD0C3F64B}" userId="S::ddubovick@kesser.com::c56b4ee1-c9e4-4eee-95d4-d3962cfcb19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5-06-16T14:52:54.12" personId="{61C757C2-DDB7-4755-9557-0BFFD0C3F64B}" id="{7FAD2972-89BD-4AD4-9796-CEAAEDA82E76}">
    <text xml:space="preserve">Received RET reimbursement from Skidelsky $19K
</text>
  </threadedComment>
  <threadedComment ref="G6" dT="2025-09-16T21:10:41.35" personId="{4D45E2ED-A9A9-4812-9F06-9B827F9444A3}" id="{C73DEF5C-FF74-4408-95EC-00ED62B0BBB1}">
    <text xml:space="preserve">Withdrawal of 10,000 for refinance </text>
  </threadedComment>
  <threadedComment ref="C8" dT="2025-06-06T17:16:56.11" personId="{61C757C2-DDB7-4755-9557-0BFFD0C3F64B}" id="{279A1C14-09E1-4F4E-BE57-A4B492DD5242}">
    <text>Real Estate Tax True Up Paid</text>
  </threadedComment>
  <threadedComment ref="C15" dT="2025-06-06T17:16:13.46" personId="{61C757C2-DDB7-4755-9557-0BFFD0C3F64B}" id="{B9DBCB4F-88C6-4193-81F8-D4F1FEA90C68}">
    <text xml:space="preserve">Distributions Paid
</text>
  </threadedComment>
  <threadedComment ref="H15" dT="2025-10-16T18:33:06.81" personId="{4D45E2ED-A9A9-4812-9F06-9B827F9444A3}" id="{4CFF31A7-27E9-4630-84FE-D2FA8858752B}">
    <text>Waiting for rent</text>
  </threadedComment>
  <threadedComment ref="C16" dT="2025-06-06T17:16:38.27" personId="{61C757C2-DDB7-4755-9557-0BFFD0C3F64B}" id="{03DB75BA-5110-4618-90FE-2F0EFAA62901}">
    <text>Distributions Paid</text>
  </threadedComment>
  <threadedComment ref="G16" dT="2025-09-16T21:07:38.65" personId="{4D45E2ED-A9A9-4812-9F06-9B827F9444A3}" id="{EF3A6017-E66A-42C9-AF4D-F217E2A0F5DF}">
    <text>Roth &amp; Co check</text>
  </threadedComment>
  <threadedComment ref="H16" dT="2025-10-16T18:31:51.56" personId="{4D45E2ED-A9A9-4812-9F06-9B827F9444A3}" id="{8C691043-2D43-41AA-8A2F-A0C352738FCF}">
    <text xml:space="preserve">Waiting to receive rent </text>
  </threadedComment>
  <threadedComment ref="G17" dT="2025-09-16T21:20:03.20" personId="{4D45E2ED-A9A9-4812-9F06-9B827F9444A3}" id="{9FE10CA5-EA14-4A98-8AC9-AE9D17DBC585}">
    <text>Legal fees</text>
  </threadedComment>
  <threadedComment ref="H17" dT="2025-10-16T18:41:48.10" personId="{4D45E2ED-A9A9-4812-9F06-9B827F9444A3}" id="{9E2F07D5-66C0-43BD-93D9-026E5906176C}">
    <text>Fees and interest</text>
  </threadedComment>
  <threadedComment ref="D18" dT="2025-06-16T15:37:02.09" personId="{61C757C2-DDB7-4755-9557-0BFFD0C3F64B}" id="{369BA012-39D6-4B4E-A319-BC4941A4B540}">
    <text xml:space="preserve">250K Distributions Paid
</text>
  </threadedComment>
  <threadedComment ref="F20" dT="2025-08-15T18:06:29.72" personId="{609A42C8-CDEC-4C63-95C6-61F8A3200C24}" id="{F89302AF-16EC-419B-8A81-5B731DFB318B}">
    <text>First installment R/E tax paid</text>
  </threadedComment>
  <threadedComment ref="E24" dT="2025-07-15T19:14:57.76" personId="{61C757C2-DDB7-4755-9557-0BFFD0C3F64B}" id="{E909F46C-5DFB-411E-8211-F961C64712E4}">
    <text xml:space="preserve">RET PAID
</text>
  </threadedComment>
  <threadedComment ref="C29" dT="2025-06-06T17:36:36.98" personId="{61C757C2-DDB7-4755-9557-0BFFD0C3F64B}" id="{D482E3D4-DF67-407E-B5DB-2C3582E9A130}">
    <text>Funded $50K For Petersen Property - Closed facilites</text>
  </threadedComment>
  <threadedComment ref="C31" dT="2025-06-06T17:35:01.69" personId="{61C757C2-DDB7-4755-9557-0BFFD0C3F64B}" id="{43101918-8B0D-4AA6-B5B2-6A7D864C0939}">
    <text xml:space="preserve">Proceeds from Sale of Lousiville
</text>
  </threadedComment>
  <threadedComment ref="D31" dT="2025-06-16T15:28:45.77" personId="{61C757C2-DDB7-4755-9557-0BFFD0C3F64B}" id="{2DDEEEA0-09E4-47A4-9117-CBE81FB402D7}">
    <text>Proceeds from Sale of Tarkio</text>
  </threadedComment>
  <threadedComment ref="F31" dT="2025-08-18T16:06:25.85" personId="{4D45E2ED-A9A9-4812-9F06-9B827F9444A3}" id="{7367BAC6-7B4B-4430-914D-B8AE3E284303}">
    <text xml:space="preserve">Miscellaneous fees </text>
  </threadedComment>
  <threadedComment ref="G31" dT="2025-09-16T21:16:26.04" personId="{4D45E2ED-A9A9-4812-9F06-9B827F9444A3}" id="{314DC8C0-812E-47B9-94CB-D27BC1469854}">
    <text>Misc. Fees</text>
  </threadedComment>
  <threadedComment ref="A32" dT="2025-06-06T17:44:08.45" personId="{61C757C2-DDB7-4755-9557-0BFFD0C3F64B}" id="{D0744E1B-4B55-414C-865C-EEC4CF6072F9}">
    <text>Account funded From Petersen SNF - For Closed facilites</text>
  </threadedComment>
  <threadedComment ref="F32" dT="2025-08-18T16:09:27.01" personId="{4D45E2ED-A9A9-4812-9F06-9B827F9444A3}" id="{2C9F0B98-E9BB-4114-8DD8-EBF0426882E9}">
    <text>SHTAR payments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4F426-CEDA-485F-B8A2-E49B0D9174F7}">
  <dimension ref="A1:R70"/>
  <sheetViews>
    <sheetView zoomScale="80" zoomScaleNormal="80" workbookViewId="0">
      <selection activeCell="H38" sqref="H38"/>
    </sheetView>
  </sheetViews>
  <sheetFormatPr defaultRowHeight="15" x14ac:dyDescent="0.25"/>
  <cols>
    <col min="2" max="2" width="20.7109375" bestFit="1" customWidth="1"/>
    <col min="3" max="3" width="13.85546875" style="12" bestFit="1" customWidth="1"/>
    <col min="6" max="6" width="13.42578125" bestFit="1" customWidth="1"/>
    <col min="7" max="7" width="13.85546875" style="12" bestFit="1" customWidth="1"/>
    <col min="8" max="8" width="14.42578125" bestFit="1" customWidth="1"/>
    <col min="9" max="9" width="9.85546875" bestFit="1" customWidth="1"/>
    <col min="10" max="10" width="19.28515625" bestFit="1" customWidth="1"/>
    <col min="11" max="11" width="13.28515625" style="12" bestFit="1" customWidth="1"/>
    <col min="12" max="12" width="13.42578125" bestFit="1" customWidth="1"/>
    <col min="13" max="13" width="13.85546875" style="16" bestFit="1" customWidth="1"/>
    <col min="14" max="14" width="11.5703125" bestFit="1" customWidth="1"/>
  </cols>
  <sheetData>
    <row r="1" spans="1:18" ht="18.75" x14ac:dyDescent="0.3">
      <c r="B1" s="18" t="s">
        <v>27</v>
      </c>
    </row>
    <row r="2" spans="1:18" ht="18.75" x14ac:dyDescent="0.3">
      <c r="B2" s="18" t="s">
        <v>28</v>
      </c>
    </row>
    <row r="5" spans="1:18" x14ac:dyDescent="0.25">
      <c r="B5" s="13" t="s">
        <v>29</v>
      </c>
      <c r="F5" s="13" t="s">
        <v>18</v>
      </c>
      <c r="J5" s="13" t="s">
        <v>30</v>
      </c>
    </row>
    <row r="6" spans="1:18" x14ac:dyDescent="0.25">
      <c r="B6" t="s">
        <v>31</v>
      </c>
      <c r="C6" s="12">
        <v>69961.58</v>
      </c>
      <c r="F6" t="s">
        <v>31</v>
      </c>
      <c r="G6" s="12">
        <v>47208</v>
      </c>
      <c r="J6" t="s">
        <v>31</v>
      </c>
      <c r="K6" s="12">
        <v>45168.75</v>
      </c>
    </row>
    <row r="7" spans="1:18" x14ac:dyDescent="0.25">
      <c r="B7" t="s">
        <v>32</v>
      </c>
      <c r="C7" s="12">
        <v>-61251.16</v>
      </c>
      <c r="F7" t="s">
        <v>32</v>
      </c>
      <c r="G7" s="12">
        <v>-24081.66</v>
      </c>
      <c r="J7" t="s">
        <v>32</v>
      </c>
      <c r="K7" s="12">
        <v>-17346.560000000001</v>
      </c>
    </row>
    <row r="8" spans="1:18" x14ac:dyDescent="0.25">
      <c r="B8" t="s">
        <v>33</v>
      </c>
      <c r="C8" s="12">
        <v>-1749.04</v>
      </c>
      <c r="F8" t="s">
        <v>33</v>
      </c>
      <c r="G8" s="12">
        <v>-1180.2</v>
      </c>
      <c r="J8" t="s">
        <v>33</v>
      </c>
      <c r="K8" s="12">
        <v>-1129.22</v>
      </c>
    </row>
    <row r="9" spans="1:18" x14ac:dyDescent="0.25">
      <c r="C9" s="14">
        <f>SUM(C6:C8)</f>
        <v>6961.3799999999983</v>
      </c>
      <c r="F9" t="s">
        <v>34</v>
      </c>
      <c r="G9" s="12">
        <v>-5.85</v>
      </c>
      <c r="J9" t="s">
        <v>35</v>
      </c>
      <c r="K9" s="12">
        <v>-5.85</v>
      </c>
    </row>
    <row r="10" spans="1:18" x14ac:dyDescent="0.25">
      <c r="C10"/>
      <c r="G10" s="14">
        <f>SUM(G6:G9)</f>
        <v>21940.29</v>
      </c>
      <c r="K10" s="14">
        <f>SUM(K6:K9)</f>
        <v>26687.119999999999</v>
      </c>
    </row>
    <row r="11" spans="1:18" x14ac:dyDescent="0.25">
      <c r="C11"/>
    </row>
    <row r="12" spans="1:18" x14ac:dyDescent="0.25">
      <c r="C12"/>
    </row>
    <row r="13" spans="1:18" x14ac:dyDescent="0.25">
      <c r="A13" s="13"/>
      <c r="B13" s="13" t="s">
        <v>36</v>
      </c>
      <c r="C13" s="15"/>
      <c r="D13" s="13"/>
      <c r="E13" s="13"/>
      <c r="F13" s="13" t="s">
        <v>37</v>
      </c>
      <c r="G13" s="15"/>
      <c r="H13" s="13"/>
      <c r="I13" s="13"/>
      <c r="J13" s="13" t="s">
        <v>38</v>
      </c>
      <c r="K13" s="15"/>
      <c r="L13" s="13"/>
      <c r="M13" s="19"/>
      <c r="N13" s="13"/>
      <c r="O13" s="13"/>
      <c r="P13" s="13"/>
      <c r="Q13" s="13"/>
      <c r="R13" s="13"/>
    </row>
    <row r="14" spans="1:18" x14ac:dyDescent="0.25">
      <c r="B14" t="s">
        <v>31</v>
      </c>
      <c r="C14" s="12">
        <v>52808.92</v>
      </c>
      <c r="F14" t="s">
        <v>31</v>
      </c>
      <c r="G14" s="12">
        <v>115274</v>
      </c>
      <c r="J14" t="s">
        <v>31</v>
      </c>
      <c r="K14" s="12">
        <v>26962.5</v>
      </c>
    </row>
    <row r="15" spans="1:18" x14ac:dyDescent="0.25">
      <c r="B15" t="s">
        <v>32</v>
      </c>
      <c r="C15" s="12">
        <v>-45110.49</v>
      </c>
      <c r="F15" t="s">
        <v>32</v>
      </c>
      <c r="G15" s="12">
        <v>-94419.83</v>
      </c>
      <c r="J15" t="s">
        <v>32</v>
      </c>
      <c r="K15" s="12">
        <v>-24640.76</v>
      </c>
    </row>
    <row r="16" spans="1:18" x14ac:dyDescent="0.25">
      <c r="B16" t="s">
        <v>33</v>
      </c>
      <c r="C16" s="12">
        <v>-1320.22</v>
      </c>
      <c r="F16" t="s">
        <v>33</v>
      </c>
      <c r="G16" s="12">
        <v>-2881.85</v>
      </c>
      <c r="J16" t="s">
        <v>33</v>
      </c>
      <c r="K16" s="12">
        <v>-674.06</v>
      </c>
    </row>
    <row r="17" spans="1:18" x14ac:dyDescent="0.25">
      <c r="C17" s="14">
        <f>SUM(C14:C16)</f>
        <v>6378.21</v>
      </c>
      <c r="G17" s="14">
        <f>SUM(G13:G16)</f>
        <v>17972.32</v>
      </c>
      <c r="K17" s="14">
        <f>SUM(K14:K16)</f>
        <v>1647.6800000000017</v>
      </c>
    </row>
    <row r="18" spans="1:18" x14ac:dyDescent="0.25">
      <c r="C18"/>
      <c r="G18"/>
      <c r="K18"/>
    </row>
    <row r="19" spans="1:18" x14ac:dyDescent="0.25">
      <c r="C19"/>
      <c r="G19"/>
      <c r="K19"/>
    </row>
    <row r="21" spans="1:18" x14ac:dyDescent="0.25">
      <c r="B21" s="13" t="s">
        <v>39</v>
      </c>
      <c r="F21" s="13" t="s">
        <v>40</v>
      </c>
      <c r="J21" s="13" t="s">
        <v>41</v>
      </c>
    </row>
    <row r="22" spans="1:18" x14ac:dyDescent="0.25">
      <c r="B22" t="s">
        <v>31</v>
      </c>
      <c r="C22" s="12">
        <v>19602.509999999998</v>
      </c>
      <c r="F22" t="s">
        <v>31</v>
      </c>
      <c r="G22" s="12">
        <v>37131.5</v>
      </c>
      <c r="J22" t="s">
        <v>31</v>
      </c>
      <c r="K22" s="12">
        <v>62500</v>
      </c>
      <c r="M22" s="16">
        <v>46023</v>
      </c>
      <c r="N22" s="12">
        <v>9332.1299999999992</v>
      </c>
    </row>
    <row r="23" spans="1:18" x14ac:dyDescent="0.25">
      <c r="B23" t="s">
        <v>32</v>
      </c>
      <c r="C23" s="12">
        <v>-8055.56</v>
      </c>
      <c r="F23" t="s">
        <v>42</v>
      </c>
      <c r="G23" s="12">
        <v>-18423.46</v>
      </c>
      <c r="J23" t="s">
        <v>32</v>
      </c>
      <c r="K23" s="12">
        <v>-28668.22</v>
      </c>
      <c r="M23" s="16">
        <v>46054</v>
      </c>
      <c r="N23" s="12">
        <v>8429.0400000000009</v>
      </c>
    </row>
    <row r="24" spans="1:18" x14ac:dyDescent="0.25">
      <c r="B24" t="s">
        <v>33</v>
      </c>
      <c r="C24" s="12">
        <v>-490.06</v>
      </c>
      <c r="F24" t="s">
        <v>33</v>
      </c>
      <c r="G24" s="12">
        <v>-928.29</v>
      </c>
      <c r="J24" t="s">
        <v>33</v>
      </c>
      <c r="K24" s="12">
        <v>-1562.5</v>
      </c>
      <c r="M24" s="16">
        <v>46082</v>
      </c>
      <c r="N24" s="12">
        <v>9332.1299999999992</v>
      </c>
    </row>
    <row r="25" spans="1:18" x14ac:dyDescent="0.25">
      <c r="C25" s="14">
        <f>SUM(C22:C24)</f>
        <v>11056.889999999998</v>
      </c>
      <c r="G25" s="14">
        <f>SUM(G22:G24)</f>
        <v>17779.75</v>
      </c>
      <c r="J25" t="s">
        <v>35</v>
      </c>
      <c r="K25" s="12">
        <v>-9.25</v>
      </c>
      <c r="M25" s="16">
        <v>46113</v>
      </c>
      <c r="N25" s="12">
        <v>9031.09</v>
      </c>
    </row>
    <row r="26" spans="1:18" x14ac:dyDescent="0.25">
      <c r="C26"/>
      <c r="K26" s="14">
        <f>SUM((K22+K23+K24+K25)-N29)</f>
        <v>25475.829999999998</v>
      </c>
      <c r="M26" s="16">
        <v>46143</v>
      </c>
      <c r="N26" s="12">
        <v>6784.2</v>
      </c>
    </row>
    <row r="27" spans="1:18" x14ac:dyDescent="0.25">
      <c r="M27" s="16">
        <v>46199</v>
      </c>
      <c r="N27" s="12">
        <v>6565.35</v>
      </c>
    </row>
    <row r="28" spans="1:18" x14ac:dyDescent="0.25">
      <c r="M28" s="16">
        <v>46229</v>
      </c>
      <c r="N28" s="12">
        <v>6784.2</v>
      </c>
    </row>
    <row r="29" spans="1:18" x14ac:dyDescent="0.25">
      <c r="A29" s="13"/>
      <c r="B29" s="13" t="s">
        <v>43</v>
      </c>
      <c r="C29" s="15"/>
      <c r="D29" s="13"/>
      <c r="E29" s="13"/>
      <c r="F29" s="13" t="s">
        <v>44</v>
      </c>
      <c r="G29" s="15"/>
      <c r="H29" s="13"/>
      <c r="I29" s="13"/>
      <c r="J29" s="13" t="s">
        <v>23</v>
      </c>
      <c r="K29" s="15"/>
      <c r="L29" s="13"/>
      <c r="M29" s="16">
        <v>46260</v>
      </c>
      <c r="N29" s="12">
        <v>6784.2</v>
      </c>
      <c r="O29" s="13"/>
      <c r="P29" s="13"/>
      <c r="Q29" s="13"/>
      <c r="R29" s="13"/>
    </row>
    <row r="30" spans="1:18" x14ac:dyDescent="0.25">
      <c r="B30" t="s">
        <v>31</v>
      </c>
      <c r="C30" s="12">
        <v>6898.02</v>
      </c>
      <c r="F30" t="s">
        <v>31</v>
      </c>
      <c r="G30" s="12">
        <v>48873.5</v>
      </c>
      <c r="J30" t="s">
        <v>31</v>
      </c>
      <c r="K30" s="12">
        <v>33571.08</v>
      </c>
    </row>
    <row r="31" spans="1:18" x14ac:dyDescent="0.25">
      <c r="B31" t="s">
        <v>32</v>
      </c>
      <c r="C31" s="12">
        <v>0</v>
      </c>
      <c r="F31" t="s">
        <v>42</v>
      </c>
      <c r="G31" s="12">
        <v>-18837.48</v>
      </c>
      <c r="J31" t="s">
        <v>32</v>
      </c>
      <c r="K31" s="12">
        <v>-24310.13</v>
      </c>
    </row>
    <row r="32" spans="1:18" x14ac:dyDescent="0.25">
      <c r="B32" t="s">
        <v>33</v>
      </c>
      <c r="C32" s="12">
        <v>-172.45</v>
      </c>
      <c r="F32" t="s">
        <v>33</v>
      </c>
      <c r="G32" s="12">
        <v>-799.31</v>
      </c>
      <c r="J32" t="s">
        <v>33</v>
      </c>
      <c r="K32" s="12">
        <v>-839.28</v>
      </c>
    </row>
    <row r="33" spans="2:13" x14ac:dyDescent="0.25">
      <c r="C33" s="14">
        <f>SUM(C30:C32)</f>
        <v>6725.5700000000006</v>
      </c>
      <c r="G33" s="14">
        <f>SUM(G30:G32)</f>
        <v>29236.71</v>
      </c>
      <c r="K33" s="14">
        <f>SUM(K30:K32)</f>
        <v>8421.67</v>
      </c>
    </row>
    <row r="36" spans="2:13" x14ac:dyDescent="0.25">
      <c r="L36" s="14">
        <f>SUM(C9,C17,C25,C33,G10,G17,G25,G33,K10,K17,K26,K33)</f>
        <v>180283.41999999998</v>
      </c>
      <c r="M36" s="19" t="s">
        <v>57</v>
      </c>
    </row>
    <row r="41" spans="2:13" ht="18.75" x14ac:dyDescent="0.3">
      <c r="B41" s="18" t="s">
        <v>45</v>
      </c>
    </row>
    <row r="42" spans="2:13" ht="18.75" x14ac:dyDescent="0.3">
      <c r="B42" s="18" t="s">
        <v>28</v>
      </c>
    </row>
    <row r="44" spans="2:13" x14ac:dyDescent="0.25">
      <c r="B44" s="13" t="s">
        <v>46</v>
      </c>
      <c r="G44" s="13" t="s">
        <v>47</v>
      </c>
      <c r="H44" s="12"/>
    </row>
    <row r="45" spans="2:13" x14ac:dyDescent="0.25">
      <c r="B45" t="s">
        <v>31</v>
      </c>
      <c r="C45" s="12">
        <v>234622.5</v>
      </c>
      <c r="G45"/>
      <c r="H45" s="12">
        <f>SUM(C44:C66)</f>
        <v>879830.81999999983</v>
      </c>
    </row>
    <row r="46" spans="2:13" x14ac:dyDescent="0.25">
      <c r="G46"/>
      <c r="H46" s="12"/>
    </row>
    <row r="47" spans="2:13" x14ac:dyDescent="0.25">
      <c r="B47" s="13" t="s">
        <v>48</v>
      </c>
      <c r="G47"/>
      <c r="H47" s="12"/>
    </row>
    <row r="48" spans="2:13" x14ac:dyDescent="0.25">
      <c r="B48" t="s">
        <v>31</v>
      </c>
      <c r="C48" s="12">
        <v>35000</v>
      </c>
      <c r="G48"/>
      <c r="H48" s="12"/>
    </row>
    <row r="49" spans="2:9" x14ac:dyDescent="0.25">
      <c r="G49" s="13" t="s">
        <v>49</v>
      </c>
      <c r="H49" s="12"/>
    </row>
    <row r="50" spans="2:9" x14ac:dyDescent="0.25">
      <c r="B50" s="13" t="s">
        <v>50</v>
      </c>
      <c r="G50"/>
      <c r="H50" s="12">
        <v>-810333.28</v>
      </c>
    </row>
    <row r="51" spans="2:9" x14ac:dyDescent="0.25">
      <c r="B51" t="s">
        <v>31</v>
      </c>
      <c r="C51" s="12">
        <v>133333.32999999999</v>
      </c>
      <c r="G51"/>
      <c r="H51" s="12"/>
    </row>
    <row r="52" spans="2:9" x14ac:dyDescent="0.25">
      <c r="G52"/>
      <c r="H52" s="12"/>
    </row>
    <row r="53" spans="2:9" x14ac:dyDescent="0.25">
      <c r="B53" s="13" t="s">
        <v>51</v>
      </c>
      <c r="G53"/>
    </row>
    <row r="54" spans="2:9" x14ac:dyDescent="0.25">
      <c r="B54" t="s">
        <v>31</v>
      </c>
      <c r="C54" s="12">
        <v>83333.33</v>
      </c>
      <c r="G54"/>
      <c r="H54" s="13" t="s">
        <v>52</v>
      </c>
    </row>
    <row r="55" spans="2:9" x14ac:dyDescent="0.25">
      <c r="G55"/>
      <c r="H55" s="12">
        <v>-20833.330000000002</v>
      </c>
    </row>
    <row r="56" spans="2:9" x14ac:dyDescent="0.25">
      <c r="B56" s="13" t="s">
        <v>53</v>
      </c>
      <c r="G56"/>
      <c r="H56" s="12"/>
    </row>
    <row r="57" spans="2:9" x14ac:dyDescent="0.25">
      <c r="B57" t="s">
        <v>31</v>
      </c>
      <c r="C57" s="12">
        <v>77500</v>
      </c>
      <c r="G57"/>
      <c r="H57" s="12"/>
    </row>
    <row r="58" spans="2:9" x14ac:dyDescent="0.25">
      <c r="G58" s="13"/>
      <c r="H58" s="15"/>
    </row>
    <row r="59" spans="2:9" ht="17.25" x14ac:dyDescent="0.4">
      <c r="B59" s="13" t="s">
        <v>54</v>
      </c>
      <c r="G59"/>
      <c r="H59" s="17">
        <f>SUM(H45+H50+H55)</f>
        <v>48664.209999999803</v>
      </c>
      <c r="I59" s="13" t="s">
        <v>58</v>
      </c>
    </row>
    <row r="60" spans="2:9" x14ac:dyDescent="0.25">
      <c r="B60" t="s">
        <v>31</v>
      </c>
      <c r="C60" s="12">
        <v>60833.33</v>
      </c>
      <c r="G60"/>
      <c r="H60" s="12"/>
    </row>
    <row r="61" spans="2:9" x14ac:dyDescent="0.25">
      <c r="G61"/>
      <c r="H61" s="12"/>
    </row>
    <row r="62" spans="2:9" x14ac:dyDescent="0.25">
      <c r="B62" s="13" t="s">
        <v>55</v>
      </c>
      <c r="G62"/>
      <c r="H62" s="12"/>
    </row>
    <row r="63" spans="2:9" x14ac:dyDescent="0.25">
      <c r="B63" t="s">
        <v>31</v>
      </c>
      <c r="C63" s="12">
        <v>108333.33</v>
      </c>
      <c r="G63"/>
      <c r="H63" s="12"/>
    </row>
    <row r="64" spans="2:9" x14ac:dyDescent="0.25">
      <c r="G64"/>
      <c r="H64" s="12"/>
    </row>
    <row r="65" spans="2:12" x14ac:dyDescent="0.25">
      <c r="B65" s="13" t="s">
        <v>56</v>
      </c>
      <c r="G65"/>
      <c r="H65" s="12"/>
    </row>
    <row r="66" spans="2:12" x14ac:dyDescent="0.25">
      <c r="B66" t="s">
        <v>31</v>
      </c>
      <c r="C66" s="12">
        <v>146875</v>
      </c>
      <c r="G66"/>
      <c r="H66" s="12"/>
    </row>
    <row r="67" spans="2:12" x14ac:dyDescent="0.25">
      <c r="G67"/>
      <c r="H67" s="12"/>
    </row>
    <row r="70" spans="2:12" x14ac:dyDescent="0.25">
      <c r="L70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728FD-2669-454B-A3B1-875065A60FB6}">
  <dimension ref="A3:S84"/>
  <sheetViews>
    <sheetView tabSelected="1" workbookViewId="0">
      <pane xSplit="1" topLeftCell="O1" activePane="topRight" state="frozen"/>
      <selection pane="topRight" activeCell="U16" sqref="U16"/>
    </sheetView>
  </sheetViews>
  <sheetFormatPr defaultRowHeight="15" x14ac:dyDescent="0.25"/>
  <cols>
    <col min="1" max="1" width="32.7109375" customWidth="1"/>
    <col min="2" max="2" width="14" style="3" hidden="1" customWidth="1"/>
    <col min="3" max="3" width="14.140625" style="2" hidden="1" customWidth="1"/>
    <col min="4" max="4" width="12.7109375" hidden="1" customWidth="1"/>
    <col min="5" max="5" width="12.5703125" hidden="1" customWidth="1"/>
    <col min="6" max="6" width="14.28515625" hidden="1" customWidth="1"/>
    <col min="7" max="10" width="12.5703125" hidden="1" customWidth="1"/>
    <col min="11" max="14" width="14.28515625" bestFit="1" customWidth="1"/>
    <col min="15" max="15" width="13.5703125" bestFit="1" customWidth="1"/>
    <col min="16" max="19" width="14.28515625" bestFit="1" customWidth="1"/>
  </cols>
  <sheetData>
    <row r="3" spans="1:19" s="7" customFormat="1" ht="15.75" x14ac:dyDescent="0.25">
      <c r="A3" s="8" t="s">
        <v>9</v>
      </c>
      <c r="B3" s="5">
        <v>45762</v>
      </c>
      <c r="C3" s="6">
        <v>45792</v>
      </c>
      <c r="D3" s="6">
        <v>45823</v>
      </c>
      <c r="E3" s="6">
        <v>45853</v>
      </c>
      <c r="F3" s="9">
        <v>45884</v>
      </c>
      <c r="G3" s="9">
        <v>45915</v>
      </c>
      <c r="H3" s="9">
        <v>45945</v>
      </c>
      <c r="I3" s="9">
        <v>45976</v>
      </c>
      <c r="J3" s="9">
        <v>46006</v>
      </c>
      <c r="K3" s="5">
        <v>46037</v>
      </c>
      <c r="L3" s="5">
        <v>46068</v>
      </c>
      <c r="M3" s="9">
        <v>46096</v>
      </c>
      <c r="N3" s="9">
        <v>46127</v>
      </c>
      <c r="O3" s="10">
        <v>46157</v>
      </c>
      <c r="P3" s="9">
        <v>46188</v>
      </c>
      <c r="Q3" s="9">
        <v>46218</v>
      </c>
      <c r="R3" s="9">
        <v>46249</v>
      </c>
      <c r="S3" s="9">
        <v>46280</v>
      </c>
    </row>
    <row r="4" spans="1:19" x14ac:dyDescent="0.25">
      <c r="A4" s="4" t="s">
        <v>0</v>
      </c>
      <c r="B4" s="2">
        <v>4315.28</v>
      </c>
      <c r="C4" s="2">
        <v>1319.87</v>
      </c>
      <c r="D4" s="1">
        <v>12222.29</v>
      </c>
      <c r="E4" s="1">
        <v>2695.8</v>
      </c>
      <c r="F4" s="1">
        <v>14170</v>
      </c>
      <c r="G4" s="1">
        <v>15621.69</v>
      </c>
      <c r="H4" s="1">
        <v>14011.82</v>
      </c>
      <c r="I4" s="1">
        <v>16230.44</v>
      </c>
      <c r="J4" s="1">
        <v>29458.65</v>
      </c>
      <c r="K4" s="1">
        <v>1731643.88</v>
      </c>
      <c r="L4" s="1">
        <v>2785.55</v>
      </c>
      <c r="M4" s="1">
        <v>2785.55</v>
      </c>
      <c r="N4" s="1">
        <v>2573.85</v>
      </c>
      <c r="O4" s="11">
        <v>2530.66</v>
      </c>
      <c r="P4" s="1">
        <v>2487.48</v>
      </c>
      <c r="Q4" s="1">
        <v>2444.31</v>
      </c>
      <c r="R4" s="1">
        <v>2401.14</v>
      </c>
      <c r="S4" s="1">
        <v>2357.9699999999998</v>
      </c>
    </row>
    <row r="5" spans="1:19" x14ac:dyDescent="0.25">
      <c r="A5" s="4" t="s">
        <v>19</v>
      </c>
      <c r="B5" s="2"/>
      <c r="D5" s="1"/>
      <c r="E5" s="1"/>
      <c r="F5" s="1"/>
      <c r="G5" s="1"/>
      <c r="H5" s="1"/>
      <c r="I5" s="1"/>
      <c r="J5" s="1"/>
      <c r="K5" s="1">
        <v>0</v>
      </c>
      <c r="L5" s="1">
        <v>0</v>
      </c>
      <c r="M5" s="1">
        <v>0</v>
      </c>
      <c r="N5" s="1">
        <v>0</v>
      </c>
      <c r="O5" s="1">
        <v>0</v>
      </c>
      <c r="Q5" s="1">
        <v>0</v>
      </c>
      <c r="R5" s="1">
        <v>0</v>
      </c>
    </row>
    <row r="6" spans="1:19" x14ac:dyDescent="0.25">
      <c r="A6" s="4" t="s">
        <v>1</v>
      </c>
      <c r="B6" s="2">
        <v>132592.41</v>
      </c>
      <c r="C6" s="2">
        <f>132592.41+90677.76-68060.04</f>
        <v>155210.13</v>
      </c>
      <c r="D6" s="1">
        <v>175241</v>
      </c>
      <c r="E6" s="1">
        <v>184827.94</v>
      </c>
      <c r="F6" s="1">
        <v>190320.52</v>
      </c>
      <c r="G6" s="1">
        <v>185776.3</v>
      </c>
      <c r="H6" s="1">
        <v>183554.19</v>
      </c>
      <c r="I6" s="1">
        <v>189493.94</v>
      </c>
      <c r="J6" s="1">
        <v>208664.28</v>
      </c>
      <c r="K6" s="1">
        <v>654037.02</v>
      </c>
      <c r="L6" s="1">
        <v>157062.01999999999</v>
      </c>
      <c r="M6" s="1">
        <v>157062.01999999999</v>
      </c>
      <c r="N6" s="1">
        <v>155359.26</v>
      </c>
      <c r="O6" s="11">
        <v>155304.89000000001</v>
      </c>
      <c r="P6" s="1">
        <v>155251.44</v>
      </c>
      <c r="Q6" s="1">
        <v>163531.65</v>
      </c>
      <c r="R6" s="1">
        <v>161953.21</v>
      </c>
      <c r="S6" s="1">
        <v>11898.35</v>
      </c>
    </row>
    <row r="7" spans="1:19" x14ac:dyDescent="0.25">
      <c r="A7" s="4" t="s">
        <v>20</v>
      </c>
      <c r="B7" s="2"/>
      <c r="D7" s="1"/>
      <c r="E7" s="1"/>
      <c r="F7" s="1"/>
      <c r="G7" s="1"/>
      <c r="H7" s="1"/>
      <c r="I7" s="1"/>
      <c r="J7" s="1"/>
      <c r="K7" s="1">
        <v>83324.44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</row>
    <row r="8" spans="1:19" x14ac:dyDescent="0.25">
      <c r="A8" s="4" t="s">
        <v>2</v>
      </c>
      <c r="B8" s="2">
        <v>274576.38</v>
      </c>
      <c r="C8" s="2">
        <v>171427.09</v>
      </c>
      <c r="D8" s="1">
        <v>241342</v>
      </c>
      <c r="E8" s="1">
        <v>252373.5</v>
      </c>
      <c r="F8" s="1">
        <v>278147.56</v>
      </c>
      <c r="G8" s="1">
        <v>292742.74</v>
      </c>
      <c r="H8" s="1">
        <v>304266.95</v>
      </c>
      <c r="I8" s="1">
        <v>304418.65999999997</v>
      </c>
      <c r="J8" s="1">
        <v>322313.13</v>
      </c>
      <c r="K8" s="1">
        <v>1523557.56</v>
      </c>
      <c r="L8" s="1">
        <v>136559.85</v>
      </c>
      <c r="M8" s="1">
        <v>134238.01999999999</v>
      </c>
      <c r="N8" s="1">
        <v>132603.17000000001</v>
      </c>
      <c r="O8" s="11">
        <v>132490.04999999999</v>
      </c>
      <c r="P8" s="1">
        <v>132377.48000000001</v>
      </c>
      <c r="Q8" s="1">
        <v>147385.15</v>
      </c>
      <c r="R8" s="1">
        <v>154142.35</v>
      </c>
      <c r="S8" s="1">
        <v>154026.89000000001</v>
      </c>
    </row>
    <row r="9" spans="1:19" x14ac:dyDescent="0.25">
      <c r="A9" s="4" t="s">
        <v>37</v>
      </c>
      <c r="B9" s="2"/>
      <c r="D9" s="1"/>
      <c r="E9" s="1"/>
      <c r="F9" s="1"/>
      <c r="G9" s="1"/>
      <c r="H9" s="1"/>
      <c r="I9" s="1"/>
      <c r="J9" s="1"/>
      <c r="K9" s="1">
        <v>27464.77</v>
      </c>
      <c r="L9" s="1">
        <v>108679.31</v>
      </c>
      <c r="M9" s="1">
        <v>1834.59</v>
      </c>
      <c r="N9" s="1">
        <v>2764.23</v>
      </c>
      <c r="O9" s="11">
        <v>8495.19</v>
      </c>
      <c r="P9" s="1">
        <v>15428.36</v>
      </c>
      <c r="Q9" s="1">
        <v>16326</v>
      </c>
      <c r="R9" s="1">
        <v>7670.79</v>
      </c>
      <c r="S9" s="1">
        <v>2680.53</v>
      </c>
    </row>
    <row r="10" spans="1:19" x14ac:dyDescent="0.25">
      <c r="A10" s="4" t="s">
        <v>18</v>
      </c>
      <c r="B10" s="2"/>
      <c r="D10" s="1"/>
      <c r="E10" s="1"/>
      <c r="F10" s="1"/>
      <c r="G10" s="1"/>
      <c r="H10" s="1"/>
      <c r="I10" s="1"/>
      <c r="J10" s="1"/>
      <c r="K10" s="1">
        <v>268742.24</v>
      </c>
      <c r="L10" s="1">
        <v>90716.9</v>
      </c>
      <c r="M10" s="1">
        <v>112511.76</v>
      </c>
      <c r="N10" s="1">
        <v>119185.49</v>
      </c>
      <c r="O10" s="11">
        <v>320162.57</v>
      </c>
      <c r="P10" s="1">
        <v>342046.2</v>
      </c>
      <c r="Q10" s="1">
        <v>217993.60000000001</v>
      </c>
      <c r="R10" s="1">
        <v>227511.66</v>
      </c>
      <c r="S10" s="1">
        <v>53469.77</v>
      </c>
    </row>
    <row r="11" spans="1:19" x14ac:dyDescent="0.25">
      <c r="A11" s="4" t="s">
        <v>22</v>
      </c>
      <c r="B11" s="2"/>
      <c r="D11" s="1"/>
      <c r="E11" s="1"/>
      <c r="F11" s="1"/>
      <c r="G11" s="1"/>
      <c r="H11" s="1"/>
      <c r="I11" s="1"/>
      <c r="J11" s="1"/>
      <c r="K11" s="1">
        <v>91790.13</v>
      </c>
      <c r="L11" s="1">
        <v>51821</v>
      </c>
      <c r="M11" s="1">
        <v>62325.96</v>
      </c>
      <c r="N11" s="1">
        <v>62331</v>
      </c>
      <c r="O11" s="11">
        <v>22356.74</v>
      </c>
      <c r="P11" s="1">
        <v>46614.45</v>
      </c>
      <c r="Q11" s="1">
        <v>57118.54</v>
      </c>
      <c r="R11" s="1">
        <v>57123.39</v>
      </c>
      <c r="S11" s="1">
        <v>67628.240000000005</v>
      </c>
    </row>
    <row r="12" spans="1:19" x14ac:dyDescent="0.25">
      <c r="A12" s="4" t="s">
        <v>3</v>
      </c>
      <c r="B12" s="2">
        <v>42304.91</v>
      </c>
      <c r="C12" s="2">
        <v>74581.14</v>
      </c>
      <c r="D12" s="1">
        <v>98607.37</v>
      </c>
      <c r="E12" s="1">
        <v>126334.68</v>
      </c>
      <c r="F12" s="1">
        <v>157628.24</v>
      </c>
      <c r="G12" s="1">
        <v>188940.55</v>
      </c>
      <c r="H12" s="1">
        <v>210720.4</v>
      </c>
      <c r="I12" s="1">
        <v>147537.60999999999</v>
      </c>
      <c r="J12" s="1">
        <v>181311.46</v>
      </c>
      <c r="K12" s="1">
        <v>229724.1</v>
      </c>
      <c r="L12" s="1">
        <v>67566.19</v>
      </c>
      <c r="M12" s="1">
        <v>94901.35</v>
      </c>
      <c r="N12" s="1">
        <v>134547.24</v>
      </c>
      <c r="O12" s="11">
        <v>174193.7</v>
      </c>
      <c r="P12" s="1">
        <v>388308.67</v>
      </c>
      <c r="Q12" s="1">
        <v>442738.12</v>
      </c>
      <c r="R12" s="1">
        <v>476277.54</v>
      </c>
      <c r="S12" s="1">
        <v>506472.74</v>
      </c>
    </row>
    <row r="13" spans="1:19" x14ac:dyDescent="0.25">
      <c r="A13" s="4" t="s">
        <v>21</v>
      </c>
      <c r="B13" s="2"/>
      <c r="D13" s="1"/>
      <c r="E13" s="1"/>
      <c r="F13" s="1"/>
      <c r="G13" s="1"/>
      <c r="H13" s="1"/>
      <c r="I13" s="1"/>
      <c r="J13" s="1"/>
      <c r="K13" s="1">
        <v>189347.81</v>
      </c>
      <c r="L13" s="1">
        <v>189363.89</v>
      </c>
      <c r="M13" s="1">
        <v>197253.42</v>
      </c>
      <c r="N13" s="1">
        <v>197269.98</v>
      </c>
      <c r="O13" s="11">
        <v>197286.19</v>
      </c>
      <c r="P13" s="1">
        <v>197302.95</v>
      </c>
      <c r="Q13" s="1">
        <v>205194.36</v>
      </c>
      <c r="R13" s="1">
        <v>189929.99</v>
      </c>
      <c r="S13" s="1">
        <v>197821.33</v>
      </c>
    </row>
    <row r="14" spans="1:19" x14ac:dyDescent="0.25">
      <c r="A14" s="4" t="s">
        <v>4</v>
      </c>
      <c r="B14" s="2">
        <v>45298.57</v>
      </c>
      <c r="C14" s="2">
        <v>67303.33</v>
      </c>
      <c r="D14" s="1">
        <v>81433.09</v>
      </c>
      <c r="E14" s="1">
        <v>97570.49</v>
      </c>
      <c r="F14" s="1">
        <v>102565.13</v>
      </c>
      <c r="G14" s="1">
        <v>121406.28</v>
      </c>
      <c r="H14" s="1">
        <v>133719.93</v>
      </c>
      <c r="I14" s="1">
        <v>153908.57999999999</v>
      </c>
      <c r="J14" s="1">
        <v>152342.54</v>
      </c>
      <c r="K14" s="1">
        <v>175453.84</v>
      </c>
      <c r="L14" s="1">
        <v>97672.58</v>
      </c>
      <c r="M14" s="1">
        <v>95099.42</v>
      </c>
      <c r="N14" s="1">
        <v>117318.16</v>
      </c>
      <c r="O14" s="11">
        <v>139516.22</v>
      </c>
      <c r="P14" s="1">
        <v>261714.84</v>
      </c>
      <c r="Q14" s="1">
        <v>277045.57</v>
      </c>
      <c r="R14" s="1">
        <v>293207.05</v>
      </c>
      <c r="S14" s="1">
        <v>308548.57</v>
      </c>
    </row>
    <row r="15" spans="1:19" x14ac:dyDescent="0.25">
      <c r="A15" s="4" t="s">
        <v>5</v>
      </c>
      <c r="B15" s="2">
        <v>494545.53</v>
      </c>
      <c r="C15" s="2">
        <v>169356.47</v>
      </c>
      <c r="D15" s="1">
        <v>185708.16</v>
      </c>
      <c r="E15" s="1">
        <v>208857.28</v>
      </c>
      <c r="F15" s="1">
        <v>233668.22</v>
      </c>
      <c r="G15" s="1">
        <v>252279.16</v>
      </c>
      <c r="H15" s="1">
        <v>222385.09</v>
      </c>
      <c r="I15" s="1">
        <v>147672.73000000001</v>
      </c>
      <c r="J15" s="1">
        <v>171420.48</v>
      </c>
      <c r="K15" s="1">
        <v>195161.53</v>
      </c>
      <c r="L15" s="1">
        <v>215968.37</v>
      </c>
      <c r="M15" s="1">
        <v>242034.38</v>
      </c>
      <c r="N15" s="1">
        <v>258470.02</v>
      </c>
      <c r="O15" s="11">
        <v>284473.34000000003</v>
      </c>
      <c r="P15" s="1">
        <v>310475.84999999998</v>
      </c>
      <c r="Q15" s="1">
        <v>86146.41</v>
      </c>
      <c r="R15" s="1">
        <v>106499.99</v>
      </c>
      <c r="S15" s="1">
        <v>133133.99</v>
      </c>
    </row>
    <row r="16" spans="1:19" x14ac:dyDescent="0.25">
      <c r="A16" s="4" t="s">
        <v>6</v>
      </c>
      <c r="B16" s="2">
        <v>397974.73</v>
      </c>
      <c r="C16" s="2">
        <v>149383.97</v>
      </c>
      <c r="D16" s="1">
        <v>148534.21</v>
      </c>
      <c r="E16" s="1">
        <v>143298.70000000001</v>
      </c>
      <c r="F16" s="1">
        <v>144707.94</v>
      </c>
      <c r="G16" s="1">
        <v>139917.18</v>
      </c>
      <c r="H16" s="1">
        <v>103293.82</v>
      </c>
      <c r="I16" s="1">
        <v>140130.66</v>
      </c>
      <c r="J16" s="1">
        <v>140888.65</v>
      </c>
      <c r="K16" s="1">
        <v>141646.64000000001</v>
      </c>
      <c r="L16" s="1">
        <v>105274.66</v>
      </c>
      <c r="M16" s="1">
        <v>144052.31</v>
      </c>
      <c r="N16" s="1">
        <v>139242.39000000001</v>
      </c>
      <c r="O16" s="11">
        <v>140834.04</v>
      </c>
      <c r="P16" s="1">
        <v>142425.93</v>
      </c>
      <c r="Q16" s="1">
        <v>44016.89</v>
      </c>
      <c r="R16" s="1">
        <v>28214.09</v>
      </c>
      <c r="S16" s="1">
        <v>29811.87</v>
      </c>
    </row>
    <row r="17" spans="1:19" x14ac:dyDescent="0.25">
      <c r="A17" s="4" t="s">
        <v>7</v>
      </c>
      <c r="B17" s="2">
        <v>213.03</v>
      </c>
      <c r="C17" s="2">
        <v>2436.16</v>
      </c>
      <c r="D17" s="1">
        <v>5483.1</v>
      </c>
      <c r="E17" s="1">
        <v>9597.65</v>
      </c>
      <c r="F17" s="1">
        <v>32483.95</v>
      </c>
      <c r="G17" s="1">
        <v>19867</v>
      </c>
      <c r="H17" s="1">
        <v>14588.68</v>
      </c>
      <c r="I17" s="1">
        <v>1180.73</v>
      </c>
      <c r="J17" s="1">
        <v>2682.61</v>
      </c>
      <c r="K17" s="1">
        <v>309714.21000000002</v>
      </c>
      <c r="L17" s="1">
        <v>297080.21999999997</v>
      </c>
      <c r="M17" s="1">
        <v>303074.37</v>
      </c>
      <c r="N17" s="1">
        <v>166427.37</v>
      </c>
      <c r="O17" s="11">
        <v>166427.37</v>
      </c>
      <c r="P17" s="1">
        <v>166427.37</v>
      </c>
      <c r="Q17" s="1">
        <v>133513.28</v>
      </c>
      <c r="R17" s="1">
        <v>30933.78</v>
      </c>
      <c r="S17" s="1">
        <v>29934.78</v>
      </c>
    </row>
    <row r="18" spans="1:19" x14ac:dyDescent="0.25">
      <c r="A18" s="4" t="s">
        <v>8</v>
      </c>
      <c r="B18" s="2">
        <v>173281.18</v>
      </c>
      <c r="C18" s="2">
        <v>256528.62</v>
      </c>
      <c r="D18" s="1">
        <v>20052.259999999998</v>
      </c>
      <c r="E18" s="1">
        <v>27747.22</v>
      </c>
      <c r="F18" s="1">
        <v>42178.05</v>
      </c>
      <c r="G18" s="1">
        <v>55446.77</v>
      </c>
      <c r="H18" s="1">
        <v>70009.37</v>
      </c>
      <c r="I18" s="1">
        <v>79918.22</v>
      </c>
      <c r="J18" s="1">
        <v>92156.98</v>
      </c>
      <c r="K18" s="1">
        <v>99857.78</v>
      </c>
      <c r="L18" s="1">
        <v>30317.05</v>
      </c>
      <c r="M18" s="1">
        <v>30170.880000000001</v>
      </c>
      <c r="N18" s="1">
        <v>5707.29</v>
      </c>
      <c r="O18" s="11">
        <v>5565.94</v>
      </c>
      <c r="P18" s="1">
        <v>5424.59</v>
      </c>
      <c r="Q18" s="1">
        <v>5283.98</v>
      </c>
      <c r="R18" s="1">
        <v>3618.4</v>
      </c>
      <c r="S18" s="1">
        <v>3477.82</v>
      </c>
    </row>
    <row r="19" spans="1:19" x14ac:dyDescent="0.25">
      <c r="A19" s="4" t="s">
        <v>25</v>
      </c>
      <c r="B19" s="2"/>
      <c r="D19" s="1"/>
      <c r="E19" s="1"/>
      <c r="F19" s="1"/>
      <c r="G19" s="1"/>
      <c r="H19" s="1"/>
      <c r="I19" s="1"/>
      <c r="J19" s="1"/>
      <c r="K19" s="1">
        <v>787.03</v>
      </c>
      <c r="L19" s="1">
        <v>787.03</v>
      </c>
      <c r="M19" s="1">
        <v>727.5</v>
      </c>
      <c r="N19" s="1">
        <v>1242.9000000000001</v>
      </c>
      <c r="O19" s="11">
        <v>1183.26</v>
      </c>
      <c r="P19" s="1">
        <v>0</v>
      </c>
      <c r="Q19" s="1">
        <v>0</v>
      </c>
      <c r="R19" s="1">
        <v>0</v>
      </c>
      <c r="S19" s="1">
        <v>0</v>
      </c>
    </row>
    <row r="20" spans="1:19" x14ac:dyDescent="0.25">
      <c r="A20" s="4" t="s">
        <v>13</v>
      </c>
      <c r="B20" s="2"/>
      <c r="D20" s="1"/>
      <c r="E20" s="1">
        <v>122402.08</v>
      </c>
      <c r="F20" s="1">
        <v>93932.98</v>
      </c>
      <c r="G20" s="1">
        <v>118183.52</v>
      </c>
      <c r="H20" s="1">
        <v>124230.75</v>
      </c>
      <c r="I20" s="1">
        <v>175251.11</v>
      </c>
      <c r="J20" s="1">
        <v>198230.25</v>
      </c>
      <c r="K20" s="1">
        <v>232865.39</v>
      </c>
      <c r="L20" s="1">
        <v>249010.07</v>
      </c>
      <c r="M20" s="1">
        <v>283646.06</v>
      </c>
      <c r="N20" s="1">
        <v>294683.19</v>
      </c>
      <c r="O20" s="11">
        <v>79314.929999999993</v>
      </c>
      <c r="P20" s="1">
        <v>100573.13</v>
      </c>
      <c r="Q20" s="1">
        <v>131081.26999999999</v>
      </c>
      <c r="R20" s="1">
        <v>159620.56</v>
      </c>
      <c r="S20" s="1">
        <v>164580.93</v>
      </c>
    </row>
    <row r="21" spans="1:19" x14ac:dyDescent="0.25">
      <c r="A21" s="4" t="s">
        <v>14</v>
      </c>
      <c r="B21" s="2"/>
      <c r="D21" s="1"/>
      <c r="E21" s="1">
        <v>38743.58</v>
      </c>
      <c r="F21" s="1">
        <v>63176.44</v>
      </c>
      <c r="G21" s="1">
        <v>137967.48000000001</v>
      </c>
      <c r="H21" s="1">
        <v>136134.41</v>
      </c>
      <c r="I21" s="1">
        <v>135902.28</v>
      </c>
      <c r="J21" s="1">
        <v>125151.84</v>
      </c>
      <c r="K21" s="1">
        <v>100482.11</v>
      </c>
      <c r="L21" s="1">
        <v>102668.9</v>
      </c>
      <c r="M21" s="1">
        <v>104851.3</v>
      </c>
      <c r="N21" s="1">
        <v>101502.31</v>
      </c>
      <c r="O21" s="11">
        <v>103623.76</v>
      </c>
      <c r="P21" s="1">
        <v>105822.6</v>
      </c>
      <c r="Q21" s="1">
        <v>109565.3</v>
      </c>
      <c r="R21" s="1">
        <v>115539.55</v>
      </c>
      <c r="S21" s="1">
        <v>127090.63</v>
      </c>
    </row>
    <row r="22" spans="1:19" x14ac:dyDescent="0.25">
      <c r="A22" s="4" t="s">
        <v>15</v>
      </c>
      <c r="B22" s="2"/>
      <c r="D22" s="1"/>
      <c r="E22" s="1">
        <v>33036.33</v>
      </c>
      <c r="F22" s="1">
        <v>51192.39</v>
      </c>
      <c r="G22" s="1">
        <v>100746.52</v>
      </c>
      <c r="H22" s="1">
        <v>100440.21</v>
      </c>
      <c r="I22" s="1">
        <v>101467.57</v>
      </c>
      <c r="J22" s="1">
        <v>91854.98</v>
      </c>
      <c r="K22" s="1">
        <v>67967.240000000005</v>
      </c>
      <c r="L22" s="1">
        <v>70618.12</v>
      </c>
      <c r="M22" s="1">
        <v>73273.81</v>
      </c>
      <c r="N22" s="1">
        <v>70394.039999999994</v>
      </c>
      <c r="O22" s="11">
        <v>72987.56</v>
      </c>
      <c r="P22" s="1">
        <v>75654.880000000005</v>
      </c>
      <c r="Q22" s="1">
        <v>80379.83</v>
      </c>
      <c r="R22" s="1">
        <v>86006.62</v>
      </c>
      <c r="S22" s="1">
        <v>97202.11</v>
      </c>
    </row>
    <row r="23" spans="1:19" x14ac:dyDescent="0.25">
      <c r="A23" s="4" t="s">
        <v>16</v>
      </c>
      <c r="B23" s="2"/>
      <c r="D23" s="1"/>
      <c r="E23" s="1">
        <v>49825.71</v>
      </c>
      <c r="F23" s="1">
        <v>56692.31</v>
      </c>
      <c r="G23" s="1">
        <v>63565.02</v>
      </c>
      <c r="H23" s="1">
        <v>69924.899999999994</v>
      </c>
      <c r="I23" s="1">
        <v>76459.92</v>
      </c>
      <c r="J23" s="1">
        <v>81674.27</v>
      </c>
      <c r="K23" s="1">
        <v>88384.19</v>
      </c>
      <c r="L23" s="1">
        <v>95100.1</v>
      </c>
      <c r="M23" s="1">
        <v>101819.88</v>
      </c>
      <c r="N23" s="1">
        <v>104952.02</v>
      </c>
      <c r="O23" s="11">
        <v>111677.59</v>
      </c>
      <c r="P23" s="1">
        <v>118403.16</v>
      </c>
      <c r="Q23" s="1">
        <v>125128.73</v>
      </c>
      <c r="R23" s="1">
        <v>130279.3</v>
      </c>
      <c r="S23" s="1">
        <v>136021.12</v>
      </c>
    </row>
    <row r="24" spans="1:19" x14ac:dyDescent="0.25">
      <c r="A24" s="4" t="s">
        <v>17</v>
      </c>
      <c r="D24" s="2"/>
      <c r="E24" s="1">
        <v>10314.450000000001</v>
      </c>
      <c r="F24" s="1">
        <v>39144.01</v>
      </c>
      <c r="G24" s="1">
        <v>75476.820000000007</v>
      </c>
      <c r="H24" s="1">
        <v>96609.54</v>
      </c>
      <c r="I24" s="1">
        <v>67052.39</v>
      </c>
      <c r="J24" s="1">
        <v>106053.95</v>
      </c>
      <c r="K24" s="1">
        <v>121239.67</v>
      </c>
      <c r="L24" s="1">
        <v>136455.39000000001</v>
      </c>
      <c r="M24" s="1">
        <v>151684.68</v>
      </c>
      <c r="N24" s="1">
        <v>166170.07</v>
      </c>
      <c r="O24" s="11">
        <v>181401.26</v>
      </c>
      <c r="P24" s="1">
        <v>196743.82</v>
      </c>
      <c r="Q24" s="1">
        <v>187672.83</v>
      </c>
      <c r="R24" s="1">
        <v>202919.14</v>
      </c>
      <c r="S24" s="1">
        <v>180241.27</v>
      </c>
    </row>
    <row r="25" spans="1:19" x14ac:dyDescent="0.25">
      <c r="A25" s="4" t="s">
        <v>23</v>
      </c>
      <c r="D25" s="2"/>
      <c r="E25" s="1"/>
      <c r="F25" s="1"/>
      <c r="G25" s="1"/>
      <c r="H25" s="1"/>
      <c r="I25" s="1"/>
      <c r="J25" s="1"/>
      <c r="K25" s="1">
        <v>73260.98</v>
      </c>
      <c r="L25" s="1">
        <v>77517.06</v>
      </c>
      <c r="M25" s="1">
        <v>24658.41</v>
      </c>
      <c r="N25" s="1">
        <v>29203.85</v>
      </c>
      <c r="O25" s="11">
        <v>35600.57</v>
      </c>
      <c r="P25" s="1">
        <v>42420.33</v>
      </c>
      <c r="Q25" s="1">
        <v>75039.039999999994</v>
      </c>
      <c r="R25" s="1">
        <v>107345.74</v>
      </c>
      <c r="S25" s="1">
        <v>115751.83</v>
      </c>
    </row>
    <row r="26" spans="1:19" x14ac:dyDescent="0.25">
      <c r="A26" s="4" t="s">
        <v>26</v>
      </c>
      <c r="D26" s="2"/>
      <c r="E26" s="1"/>
      <c r="F26" s="1"/>
      <c r="G26" s="1"/>
      <c r="H26" s="1"/>
      <c r="I26" s="1"/>
      <c r="J26" s="1"/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155121.46</v>
      </c>
      <c r="Q26" s="1">
        <v>0</v>
      </c>
      <c r="R26" s="1">
        <v>0</v>
      </c>
      <c r="S26" s="1">
        <v>0</v>
      </c>
    </row>
    <row r="27" spans="1:19" x14ac:dyDescent="0.25">
      <c r="A27" s="4" t="s">
        <v>59</v>
      </c>
      <c r="D27" s="2"/>
      <c r="E27" s="1"/>
      <c r="F27" s="1"/>
      <c r="G27" s="1"/>
      <c r="H27" s="1"/>
      <c r="I27" s="1"/>
      <c r="J27" s="1"/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145958.97</v>
      </c>
      <c r="R27" s="1">
        <v>154089.1</v>
      </c>
      <c r="S27" s="1">
        <v>153523.38</v>
      </c>
    </row>
    <row r="28" spans="1:19" x14ac:dyDescent="0.25">
      <c r="A28" s="4"/>
      <c r="D28" s="2"/>
      <c r="E28" s="1"/>
      <c r="F28" s="1"/>
      <c r="G28" s="1"/>
      <c r="H28" s="1"/>
      <c r="I28" s="1"/>
      <c r="J28" s="1"/>
      <c r="K28" s="1"/>
      <c r="L28" s="1"/>
      <c r="M28" s="1"/>
      <c r="N28" s="1"/>
      <c r="O28" s="11"/>
    </row>
    <row r="29" spans="1:19" x14ac:dyDescent="0.25">
      <c r="A29" s="4" t="s">
        <v>10</v>
      </c>
      <c r="B29" s="2">
        <v>326419.59999999998</v>
      </c>
      <c r="C29" s="2">
        <v>378819.08</v>
      </c>
      <c r="D29" s="1">
        <v>484683.73</v>
      </c>
      <c r="E29" s="1">
        <v>542151.80000000005</v>
      </c>
      <c r="F29" s="1">
        <v>660041.93999999994</v>
      </c>
      <c r="G29" s="1">
        <v>733100.26</v>
      </c>
      <c r="H29" s="1">
        <v>905145.47</v>
      </c>
      <c r="I29" s="1">
        <v>946407.33</v>
      </c>
      <c r="J29" s="1">
        <v>498375.15</v>
      </c>
      <c r="K29" s="1">
        <v>504667.42</v>
      </c>
      <c r="L29" s="1">
        <v>459293.55</v>
      </c>
      <c r="M29" s="1">
        <v>489570.73</v>
      </c>
      <c r="N29" s="1">
        <v>486269.99</v>
      </c>
      <c r="O29" s="11">
        <v>374986.08</v>
      </c>
      <c r="P29" s="1">
        <v>458510.42</v>
      </c>
      <c r="Q29" s="1">
        <v>445875.44</v>
      </c>
      <c r="R29" s="1">
        <v>444636.34</v>
      </c>
      <c r="S29" s="1">
        <v>87793.279999999999</v>
      </c>
    </row>
    <row r="30" spans="1:19" x14ac:dyDescent="0.25">
      <c r="A30" s="4" t="s">
        <v>24</v>
      </c>
      <c r="B30" s="2"/>
      <c r="D30" s="1"/>
      <c r="E30" s="1"/>
      <c r="F30" s="1"/>
      <c r="G30" s="1"/>
      <c r="H30" s="1"/>
      <c r="I30" s="1"/>
      <c r="J30" s="1"/>
      <c r="K30" s="1">
        <v>4365855.07</v>
      </c>
      <c r="L30" s="1">
        <v>3885091.44</v>
      </c>
      <c r="M30" s="1">
        <v>3768902.43</v>
      </c>
      <c r="N30" s="1">
        <v>3403572.31</v>
      </c>
      <c r="O30" s="11">
        <v>3043465.53</v>
      </c>
      <c r="P30" s="1">
        <v>2483510.73</v>
      </c>
      <c r="Q30" s="1">
        <v>1796556.65</v>
      </c>
      <c r="R30" s="1">
        <v>1601564.87</v>
      </c>
      <c r="S30" s="1">
        <v>1548120.37</v>
      </c>
    </row>
    <row r="31" spans="1:19" x14ac:dyDescent="0.25">
      <c r="A31" s="4" t="s">
        <v>11</v>
      </c>
      <c r="B31" s="2">
        <v>206653.82</v>
      </c>
      <c r="C31" s="2">
        <v>247699.14</v>
      </c>
      <c r="D31" s="1">
        <v>356184.86</v>
      </c>
      <c r="E31" s="1">
        <v>377899.06</v>
      </c>
      <c r="F31" s="1">
        <v>377829.18</v>
      </c>
      <c r="G31" s="1">
        <v>377777.22</v>
      </c>
      <c r="H31" s="1">
        <v>494712.73</v>
      </c>
      <c r="I31" s="1">
        <v>494664.79</v>
      </c>
      <c r="J31" s="1">
        <v>186835.41</v>
      </c>
      <c r="K31" s="1">
        <v>186795.47</v>
      </c>
      <c r="L31" s="1">
        <v>186753.33</v>
      </c>
      <c r="M31" s="1">
        <v>186710.91</v>
      </c>
      <c r="N31" s="1">
        <v>176457.35</v>
      </c>
      <c r="O31" s="11">
        <v>176414.58</v>
      </c>
      <c r="P31" s="1">
        <v>176371.69</v>
      </c>
      <c r="Q31" s="1">
        <v>176329.19</v>
      </c>
      <c r="R31" s="1">
        <v>176286.64</v>
      </c>
      <c r="S31" s="1">
        <v>161200.14000000001</v>
      </c>
    </row>
    <row r="32" spans="1:19" x14ac:dyDescent="0.25">
      <c r="A32" s="4" t="s">
        <v>12</v>
      </c>
      <c r="B32" s="2">
        <v>66036.179999999993</v>
      </c>
      <c r="C32" s="2">
        <v>79393.59</v>
      </c>
      <c r="D32" s="1">
        <v>45433.88</v>
      </c>
      <c r="E32" s="1">
        <v>29572.95</v>
      </c>
      <c r="F32" s="1">
        <v>12955.6</v>
      </c>
      <c r="G32" s="1">
        <v>8106.34</v>
      </c>
      <c r="H32" s="1">
        <v>897.96</v>
      </c>
      <c r="I32" s="1">
        <v>2797.82</v>
      </c>
      <c r="J32" s="1">
        <v>2712.97</v>
      </c>
      <c r="K32" s="1">
        <v>2667.07</v>
      </c>
      <c r="L32" s="1">
        <v>78507.09</v>
      </c>
      <c r="M32" s="1">
        <v>78461.08</v>
      </c>
      <c r="N32" s="1">
        <v>78417.679999999993</v>
      </c>
      <c r="O32" s="11">
        <v>82193.279999999999</v>
      </c>
      <c r="P32" s="1">
        <v>7147.84</v>
      </c>
      <c r="Q32" s="1">
        <v>7104.19</v>
      </c>
      <c r="R32" s="1">
        <v>7060.25</v>
      </c>
      <c r="S32" s="1">
        <v>7016.31</v>
      </c>
    </row>
    <row r="33" spans="2:5" x14ac:dyDescent="0.25">
      <c r="B33" s="2"/>
      <c r="E33" s="1"/>
    </row>
    <row r="34" spans="2:5" x14ac:dyDescent="0.25">
      <c r="B34" s="2"/>
      <c r="E34" s="1"/>
    </row>
    <row r="35" spans="2:5" x14ac:dyDescent="0.25">
      <c r="E35" s="1"/>
    </row>
    <row r="36" spans="2:5" x14ac:dyDescent="0.25">
      <c r="E36" s="1"/>
    </row>
    <row r="37" spans="2:5" x14ac:dyDescent="0.25">
      <c r="E37" s="1"/>
    </row>
    <row r="38" spans="2:5" x14ac:dyDescent="0.25">
      <c r="E38" s="1"/>
    </row>
    <row r="39" spans="2:5" x14ac:dyDescent="0.25">
      <c r="E39" s="1"/>
    </row>
    <row r="40" spans="2:5" x14ac:dyDescent="0.25">
      <c r="E40" s="1"/>
    </row>
    <row r="41" spans="2:5" x14ac:dyDescent="0.25">
      <c r="E41" s="1"/>
    </row>
    <row r="42" spans="2:5" x14ac:dyDescent="0.25">
      <c r="E42" s="1"/>
    </row>
    <row r="43" spans="2:5" x14ac:dyDescent="0.25">
      <c r="E43" s="1"/>
    </row>
    <row r="44" spans="2:5" x14ac:dyDescent="0.25">
      <c r="E44" s="1"/>
    </row>
    <row r="45" spans="2:5" x14ac:dyDescent="0.25">
      <c r="E45" s="1"/>
    </row>
    <row r="46" spans="2:5" x14ac:dyDescent="0.25">
      <c r="E46" s="1"/>
    </row>
    <row r="47" spans="2:5" x14ac:dyDescent="0.25">
      <c r="E47" s="1"/>
    </row>
    <row r="48" spans="2:5" x14ac:dyDescent="0.25">
      <c r="E48" s="1"/>
    </row>
    <row r="49" spans="5:5" x14ac:dyDescent="0.25">
      <c r="E49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  <row r="55" spans="5:5" x14ac:dyDescent="0.25">
      <c r="E55" s="1"/>
    </row>
    <row r="56" spans="5:5" x14ac:dyDescent="0.25">
      <c r="E56" s="1"/>
    </row>
    <row r="57" spans="5:5" x14ac:dyDescent="0.25">
      <c r="E57" s="1"/>
    </row>
    <row r="58" spans="5:5" x14ac:dyDescent="0.25">
      <c r="E58" s="1"/>
    </row>
    <row r="59" spans="5:5" x14ac:dyDescent="0.25">
      <c r="E59" s="1"/>
    </row>
    <row r="60" spans="5:5" x14ac:dyDescent="0.25">
      <c r="E60" s="1"/>
    </row>
    <row r="61" spans="5:5" x14ac:dyDescent="0.25">
      <c r="E61" s="1"/>
    </row>
    <row r="62" spans="5:5" x14ac:dyDescent="0.25">
      <c r="E62" s="1"/>
    </row>
    <row r="63" spans="5:5" x14ac:dyDescent="0.25">
      <c r="E63" s="1"/>
    </row>
    <row r="64" spans="5:5" x14ac:dyDescent="0.25">
      <c r="E64" s="1"/>
    </row>
    <row r="65" spans="5:5" x14ac:dyDescent="0.25">
      <c r="E65" s="1"/>
    </row>
    <row r="66" spans="5:5" x14ac:dyDescent="0.25">
      <c r="E66" s="1"/>
    </row>
    <row r="67" spans="5:5" x14ac:dyDescent="0.25">
      <c r="E67" s="1"/>
    </row>
    <row r="68" spans="5:5" x14ac:dyDescent="0.25">
      <c r="E68" s="1"/>
    </row>
    <row r="69" spans="5:5" x14ac:dyDescent="0.25">
      <c r="E69" s="1"/>
    </row>
    <row r="70" spans="5:5" x14ac:dyDescent="0.25">
      <c r="E70" s="1"/>
    </row>
    <row r="71" spans="5:5" x14ac:dyDescent="0.25">
      <c r="E71" s="1"/>
    </row>
    <row r="72" spans="5:5" x14ac:dyDescent="0.25">
      <c r="E72" s="1"/>
    </row>
    <row r="73" spans="5:5" x14ac:dyDescent="0.25">
      <c r="E73" s="1"/>
    </row>
    <row r="74" spans="5:5" x14ac:dyDescent="0.25">
      <c r="E74" s="1"/>
    </row>
    <row r="75" spans="5:5" x14ac:dyDescent="0.25">
      <c r="E75" s="1"/>
    </row>
    <row r="76" spans="5:5" x14ac:dyDescent="0.25">
      <c r="E76" s="1"/>
    </row>
    <row r="77" spans="5:5" x14ac:dyDescent="0.25">
      <c r="E77" s="1"/>
    </row>
    <row r="78" spans="5:5" x14ac:dyDescent="0.25">
      <c r="E78" s="1"/>
    </row>
    <row r="79" spans="5:5" x14ac:dyDescent="0.25">
      <c r="E79" s="1"/>
    </row>
    <row r="80" spans="5:5" x14ac:dyDescent="0.25">
      <c r="E80" s="1"/>
    </row>
    <row r="81" spans="5:5" x14ac:dyDescent="0.25">
      <c r="E81" s="1"/>
    </row>
    <row r="82" spans="5:5" x14ac:dyDescent="0.25">
      <c r="E82" s="1"/>
    </row>
    <row r="83" spans="5:5" x14ac:dyDescent="0.25">
      <c r="E83" s="1"/>
    </row>
    <row r="84" spans="5:5" x14ac:dyDescent="0.25">
      <c r="E84" s="1"/>
    </row>
  </sheetData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C489F70F94B44A9E2A44BFB147DB7E" ma:contentTypeVersion="9" ma:contentTypeDescription="Create a new document." ma:contentTypeScope="" ma:versionID="18d6c97f8b569efcc139fa1fa61e40bb">
  <xsd:schema xmlns:xsd="http://www.w3.org/2001/XMLSchema" xmlns:xs="http://www.w3.org/2001/XMLSchema" xmlns:p="http://schemas.microsoft.com/office/2006/metadata/properties" xmlns:ns3="ebf3dd6d-4fce-4e74-a8fe-dd603d1a184c" targetNamespace="http://schemas.microsoft.com/office/2006/metadata/properties" ma:root="true" ma:fieldsID="df9d1adf0fbe3728be8787c816e2609b" ns3:_="">
    <xsd:import namespace="ebf3dd6d-4fce-4e74-a8fe-dd603d1a184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f3dd6d-4fce-4e74-a8fe-dd603d1a184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bf3dd6d-4fce-4e74-a8fe-dd603d1a184c" xsi:nil="true"/>
  </documentManagement>
</p:properties>
</file>

<file path=customXml/itemProps1.xml><?xml version="1.0" encoding="utf-8"?>
<ds:datastoreItem xmlns:ds="http://schemas.openxmlformats.org/officeDocument/2006/customXml" ds:itemID="{E973763A-2EDF-44A9-ABBC-F98DE990EDA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822B971-F100-4C1E-B6E0-DEA53FAF2C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f3dd6d-4fce-4e74-a8fe-dd603d1a18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87994A6-9036-4186-A101-644D605A2521}">
  <ds:schemaRefs>
    <ds:schemaRef ds:uri="ebf3dd6d-4fce-4e74-a8fe-dd603d1a184c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Portfolio Spread</vt:lpstr>
      <vt:lpstr>Bank Balance - Mid 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Dassie Dubovick</dc:creator>
  <cp:lastModifiedBy>Amit Raiber</cp:lastModifiedBy>
  <dcterms:created xsi:type="dcterms:W3CDTF">2025-06-06T16:27:30Z</dcterms:created>
  <dcterms:modified xsi:type="dcterms:W3CDTF">2026-09-15T14:06:53Z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0x01010041C489F70F94B44A9E2A44BFB147DB7E</vt:lpwstr>
  </property>
</Properties>
</file>